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hidePivotFieldList="1"/>
  <mc:AlternateContent xmlns:mc="http://schemas.openxmlformats.org/markup-compatibility/2006">
    <mc:Choice Requires="x15">
      <x15ac:absPath xmlns:x15ac="http://schemas.microsoft.com/office/spreadsheetml/2010/11/ac" url="/Users/alfianafriansyah/Documents/Data Analyst/Hari Senin Bootcamp/Mission/"/>
    </mc:Choice>
  </mc:AlternateContent>
  <xr:revisionPtr revIDLastSave="0" documentId="13_ncr:1_{94DF036E-678E-2B4F-B243-DE584585727C}" xr6:coauthVersionLast="47" xr6:coauthVersionMax="47" xr10:uidLastSave="{00000000-0000-0000-0000-000000000000}"/>
  <bookViews>
    <workbookView xWindow="0" yWindow="740" windowWidth="29400" windowHeight="17280" activeTab="5" xr2:uid="{00000000-000D-0000-FFFF-FFFF00000000}"/>
  </bookViews>
  <sheets>
    <sheet name="Raw Data" sheetId="6" r:id="rId1"/>
    <sheet name="📢Brief" sheetId="1" r:id="rId2"/>
    <sheet name="Data Cleaning" sheetId="2" r:id="rId3"/>
    <sheet name="Pivot Table" sheetId="3" r:id="rId4"/>
    <sheet name="Dashboard" sheetId="4" r:id="rId5"/>
    <sheet name="Insight, Summary &amp; Strategy" sheetId="5" r:id="rId6"/>
  </sheets>
  <definedNames>
    <definedName name="Slicer_Gender">#N/A</definedName>
    <definedName name="Slicer_Income_Level">#N/A</definedName>
    <definedName name="Slicer_Social_Media_Influenc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47" i="3" l="1"/>
  <c r="A3" i="4" s="1"/>
  <c r="L2" i="2"/>
  <c r="E12" i="3"/>
  <c r="D3" i="4" l="1"/>
</calcChain>
</file>

<file path=xl/sharedStrings.xml><?xml version="1.0" encoding="utf-8"?>
<sst xmlns="http://schemas.openxmlformats.org/spreadsheetml/2006/main" count="13173" uniqueCount="1147">
  <si>
    <t>🕵️‍♂️INSTRUKSI PENGERJAAN🕵️‍♂️</t>
  </si>
  <si>
    <t>Pahami konteks studi kasus dan dataset</t>
  </si>
  <si>
    <r>
      <rPr>
        <b/>
        <sz val="10"/>
        <rFont val="DM Sans"/>
      </rPr>
      <t xml:space="preserve">Tahap Data Cleaning (isi sesuai dengan sheet atau pakai format kalian sendiri) -&gt; </t>
    </r>
    <r>
      <rPr>
        <b/>
        <u/>
        <sz val="10"/>
        <color rgb="FF1155CC"/>
        <rFont val="DM Sans"/>
      </rPr>
      <t>Data Cleaning &amp; Preparation</t>
    </r>
    <r>
      <rPr>
        <b/>
        <sz val="10"/>
        <rFont val="DM Sans"/>
      </rPr>
      <t xml:space="preserve"> </t>
    </r>
  </si>
  <si>
    <t>- Periksa apakah ada duplikat, hapus jika perlu.</t>
  </si>
  <si>
    <r>
      <rPr>
        <sz val="10"/>
        <color theme="1"/>
        <rFont val="DM Sans"/>
      </rPr>
      <t>- Tangani missing values jika ada (cek apakah ada kolom kosong/null), jika ada isi</t>
    </r>
    <r>
      <rPr>
        <b/>
        <sz val="10"/>
        <color rgb="FF980000"/>
        <rFont val="DM Sans"/>
      </rPr>
      <t xml:space="preserve"> jadi 0</t>
    </r>
  </si>
  <si>
    <t>- Pastikan tidak ada tanda kurung () atau , dalam kolom Purchase_Category</t>
  </si>
  <si>
    <r>
      <rPr>
        <sz val="10"/>
        <color theme="1"/>
        <rFont val="DM Sans"/>
      </rPr>
      <t>- Pastikan kolom</t>
    </r>
    <r>
      <rPr>
        <b/>
        <sz val="10"/>
        <color theme="1"/>
        <rFont val="DM Sans"/>
      </rPr>
      <t xml:space="preserve"> Age dan Purchase</t>
    </r>
    <r>
      <rPr>
        <sz val="10"/>
        <color theme="1"/>
        <rFont val="DM Sans"/>
      </rPr>
      <t xml:space="preserve"> dalam format numerik.</t>
    </r>
  </si>
  <si>
    <t>- Konsistensikan tulisan dengan huruf kapital di awal kalimat, tidak boleh ada yang kapital semua, misalnya 
   office suPplies -&gt; Office Supplies
   NONE -&gt; None</t>
  </si>
  <si>
    <r>
      <rPr>
        <b/>
        <sz val="10"/>
        <rFont val="DM Sans"/>
      </rPr>
      <t xml:space="preserve">Jawab Semua Pertanyaan Bisnis, gunakan Pivot Table, SUMIFS, atau rumus Excel -&gt; </t>
    </r>
    <r>
      <rPr>
        <b/>
        <u/>
        <sz val="10"/>
        <color rgb="FF1155CC"/>
        <rFont val="DM Sans"/>
      </rPr>
      <t>Perhitungan dan Pivot Table</t>
    </r>
    <r>
      <rPr>
        <b/>
        <sz val="10"/>
        <rFont val="DM Sans"/>
      </rPr>
      <t xml:space="preserve"> </t>
    </r>
  </si>
  <si>
    <t>- Total Purchase per Gender
- Total Purchase per Income Level</t>
  </si>
  <si>
    <t>- Kategori produk yang memiliki penjualan tertinggi</t>
  </si>
  <si>
    <t>- Daerah atau kota yang memiliki pelanggan paling aktif atau paling loyal</t>
  </si>
  <si>
    <t>- Pengaruh diskon terhadap frekuensi pembelian</t>
  </si>
  <si>
    <t>- Pengaruh sosial media terhadap jumlah pembelian</t>
  </si>
  <si>
    <r>
      <rPr>
        <b/>
        <sz val="10"/>
        <rFont val="DM Sans"/>
      </rPr>
      <t xml:space="preserve">Visualisasi Data, Buat minimal 3 chart -&gt; </t>
    </r>
    <r>
      <rPr>
        <b/>
        <u/>
        <sz val="10"/>
        <color rgb="FF1155CC"/>
        <rFont val="DM Sans"/>
      </rPr>
      <t>Visualisasi Data</t>
    </r>
    <r>
      <rPr>
        <b/>
        <sz val="10"/>
        <rFont val="DM Sans"/>
      </rPr>
      <t xml:space="preserve"> </t>
    </r>
  </si>
  <si>
    <t>Bar chart : Total Pembelian Berdasarkan Kategori Produk</t>
  </si>
  <si>
    <t>Pie chart: Distribusi Pelanggan Berdasarkan Gender</t>
  </si>
  <si>
    <t>Bar chart : Kota dengan Pelanggan Paling Aktif atau Paling Loyal</t>
  </si>
  <si>
    <r>
      <rPr>
        <b/>
        <sz val="10"/>
        <rFont val="DM Sans"/>
      </rPr>
      <t xml:space="preserve">Tulis Insight &amp; Rekomendasi -&gt; </t>
    </r>
    <r>
      <rPr>
        <b/>
        <u/>
        <sz val="10"/>
        <color rgb="FF1155CC"/>
        <rFont val="DM Sans"/>
      </rPr>
      <t>Insight Summary &amp; Strategy</t>
    </r>
    <r>
      <rPr>
        <b/>
        <sz val="10"/>
        <rFont val="DM Sans"/>
      </rPr>
      <t xml:space="preserve"> </t>
    </r>
  </si>
  <si>
    <t>Customer_ID</t>
  </si>
  <si>
    <t>Age</t>
  </si>
  <si>
    <t>Gender</t>
  </si>
  <si>
    <t>Income_Level</t>
  </si>
  <si>
    <t>Location</t>
  </si>
  <si>
    <t>Purchase_Category</t>
  </si>
  <si>
    <t>Purchase_Amount (Rp)</t>
  </si>
  <si>
    <t>Frequency_of_Purchase</t>
  </si>
  <si>
    <t>Social_Media_Influence</t>
  </si>
  <si>
    <t>Discount_Used</t>
  </si>
  <si>
    <t>Analisis data SuryaMart dan jawab beberapa pertanyaan berikut:</t>
  </si>
  <si>
    <t>Hint</t>
  </si>
  <si>
    <t>Berapa total pembelian berdasarkan gender dan income level? (dihitung masing-masing).</t>
  </si>
  <si>
    <t>Gunakan Pivot Table:
- Rows: Gender / Income Level
- Values: ...</t>
  </si>
  <si>
    <t>Kategori produk apa yang menghasilkan penjualan tertinggi?</t>
  </si>
  <si>
    <t>Gunakan Pivot Table:
- Rows: Purchase_Category
- Values: ....</t>
  </si>
  <si>
    <t>Kota mana yang memiliki pelanggan paling aktif berdasarkan frekuensi pembelian?</t>
  </si>
  <si>
    <t>Gunakan Pivot Table:
- Rows: Location
- Values: ....</t>
  </si>
  <si>
    <t>Apakah pelanggan dengan frekuensi pembelian tinggi cenderung menggunakan diskon?</t>
  </si>
  <si>
    <t>Gunakan Filter atau Pivot Table:
- Rows: .....
- Values: Average of Frequency_of_Purchase</t>
  </si>
  <si>
    <t>Apakah pengaruh sosial media berdampak pada besarnya jumlah pembelian?</t>
  </si>
  <si>
    <t>Gunakan Pivot Table:
- Rows: .....
- Values: Average of Purchase_Amount</t>
  </si>
  <si>
    <t>Setelah menjawab pertanyaan bisnis, tulislah insight yang kamu temukan dari data. Kemudian, beri saran atau strategi untuk:
1. Menargetkan kampanye promosi berdasarkan lokasi dan segmen pelanggan potensial
2. Meningkatkan penjualan produk tertentu di kota atau kelompok usia tertentu
3. Mengoptimalkan penggunaan diskon untuk segmen yang berpotensi meningkatkan pembelian
🔴Kalian boleh menulis lebih dari satu insight atau strategi.
🔴Satu insight bisa berasal dari beberapa temuan atau pertanyaan bisnis.</t>
  </si>
  <si>
    <t>Nomor</t>
  </si>
  <si>
    <t>Question Business</t>
  </si>
  <si>
    <t>Temuan</t>
  </si>
  <si>
    <t>Insight</t>
  </si>
  <si>
    <t>Rekomendasi Strategi</t>
  </si>
  <si>
    <t>Contoh</t>
  </si>
  <si>
    <t>Produk apa yang paling populer di kalangan usia tertentu?</t>
  </si>
  <si>
    <t>Pelanggan usia 35–44 mendominasi pembelian kategori “Gardening &amp; Outdoors” dengan rata-rata pembelian tertinggi.</t>
  </si>
  <si>
    <t>Segmen dewasa awal dengan minat tinggi pada aktivitas luar ruang merupakan target pasar potensial.</t>
  </si>
  <si>
    <t>Buat campaign bertema “Happy Weekend with Gardening” atau diskon musiman yang menyasar usia 35+ dengan kategori terkait.</t>
  </si>
  <si>
    <t>37-611-6911</t>
  </si>
  <si>
    <t>Female</t>
  </si>
  <si>
    <t>Middle</t>
  </si>
  <si>
    <t>Surabaya</t>
  </si>
  <si>
    <t>Gardening &amp; Outdoors</t>
  </si>
  <si>
    <t>None</t>
  </si>
  <si>
    <t>29-392-9296</t>
  </si>
  <si>
    <t>Male</t>
  </si>
  <si>
    <t>High</t>
  </si>
  <si>
    <t>Bandung</t>
  </si>
  <si>
    <t>Food &amp; Beverages</t>
  </si>
  <si>
    <t>Medium</t>
  </si>
  <si>
    <t>84-649-5117</t>
  </si>
  <si>
    <t>Papua</t>
  </si>
  <si>
    <t>Office Supplies</t>
  </si>
  <si>
    <t>Low</t>
  </si>
  <si>
    <t>48-980-6078</t>
  </si>
  <si>
    <t>Home Appliances</t>
  </si>
  <si>
    <t>91-170-9072</t>
  </si>
  <si>
    <t>Furniture</t>
  </si>
  <si>
    <t>82-561-4233</t>
  </si>
  <si>
    <t>Medan</t>
  </si>
  <si>
    <t>90-144-9193</t>
  </si>
  <si>
    <t>88-661-4689</t>
  </si>
  <si>
    <t>Books</t>
  </si>
  <si>
    <t>37-065-3182</t>
  </si>
  <si>
    <t>Makassar</t>
  </si>
  <si>
    <t>84-894-9222</t>
  </si>
  <si>
    <t>Sports &amp; Outdoors</t>
  </si>
  <si>
    <t>44-674-4037</t>
  </si>
  <si>
    <t>Mobile Accessories</t>
  </si>
  <si>
    <t>78-116-8349</t>
  </si>
  <si>
    <t>19-933-8095</t>
  </si>
  <si>
    <t>Jakarta</t>
  </si>
  <si>
    <t>Luxury Goods</t>
  </si>
  <si>
    <t>80-684-5072</t>
  </si>
  <si>
    <t>Animal Feed</t>
  </si>
  <si>
    <t>23-302-7502</t>
  </si>
  <si>
    <t>Health Care</t>
  </si>
  <si>
    <t>90-069-8934</t>
  </si>
  <si>
    <t>Hotels</t>
  </si>
  <si>
    <t>45-073-7243</t>
  </si>
  <si>
    <t>89-883-2101</t>
  </si>
  <si>
    <t>00-477-9449</t>
  </si>
  <si>
    <t>Packages)</t>
  </si>
  <si>
    <t>67-159-7366</t>
  </si>
  <si>
    <t>Electronics</t>
  </si>
  <si>
    <t>85-691-4293</t>
  </si>
  <si>
    <t>Software &amp; Apps</t>
  </si>
  <si>
    <t>56-085-0464</t>
  </si>
  <si>
    <t>Baby Products</t>
  </si>
  <si>
    <t>33-264-2822</t>
  </si>
  <si>
    <t>Toys &amp; Games</t>
  </si>
  <si>
    <t>95-478-2650</t>
  </si>
  <si>
    <t>04-349-6759</t>
  </si>
  <si>
    <t>21-755-8745</t>
  </si>
  <si>
    <t>29-625-7057</t>
  </si>
  <si>
    <t>Arts &amp; Crafts</t>
  </si>
  <si>
    <t>58-623-8404</t>
  </si>
  <si>
    <t>56-506-4709</t>
  </si>
  <si>
    <t>25-839-8670</t>
  </si>
  <si>
    <t>Health Supplements</t>
  </si>
  <si>
    <t>89-194-0596</t>
  </si>
  <si>
    <t>55-163-1389</t>
  </si>
  <si>
    <t>28-225-4286</t>
  </si>
  <si>
    <t>14-305-8712</t>
  </si>
  <si>
    <t>85-738-6864</t>
  </si>
  <si>
    <t>17-198-5155</t>
  </si>
  <si>
    <t>15-354-9904</t>
  </si>
  <si>
    <t>Groceries</t>
  </si>
  <si>
    <t>35-198-9248</t>
  </si>
  <si>
    <t>03-950-6074</t>
  </si>
  <si>
    <t>19-999-0134</t>
  </si>
  <si>
    <t>57-989-1487</t>
  </si>
  <si>
    <t>07-816-2673</t>
  </si>
  <si>
    <t>70-761-3550</t>
  </si>
  <si>
    <t>38-242-3251</t>
  </si>
  <si>
    <t>95-525-0842</t>
  </si>
  <si>
    <t>37-101-4922</t>
  </si>
  <si>
    <t>37-128-5425</t>
  </si>
  <si>
    <t>27-439-9545</t>
  </si>
  <si>
    <t>37-126-7954</t>
  </si>
  <si>
    <t>Clothing</t>
  </si>
  <si>
    <t>82-990-0504</t>
  </si>
  <si>
    <t>21-734-0212</t>
  </si>
  <si>
    <t>Beauty &amp; Personal Care</t>
  </si>
  <si>
    <t>76-148-9413</t>
  </si>
  <si>
    <t>53-639-3774</t>
  </si>
  <si>
    <t>Travel &amp; Leisure (Flights</t>
  </si>
  <si>
    <t>20-817-9584</t>
  </si>
  <si>
    <t>18-655-3670</t>
  </si>
  <si>
    <t>72-431-5021</t>
  </si>
  <si>
    <t>07-479-3919</t>
  </si>
  <si>
    <t>17-032-6274</t>
  </si>
  <si>
    <t>64-166-9097</t>
  </si>
  <si>
    <t>39-499-3854</t>
  </si>
  <si>
    <t>39-636-5871</t>
  </si>
  <si>
    <t>71-667-2334</t>
  </si>
  <si>
    <t>35-192-9050</t>
  </si>
  <si>
    <t>91-440-0011</t>
  </si>
  <si>
    <t>20-830-4758</t>
  </si>
  <si>
    <t>84-337-1016</t>
  </si>
  <si>
    <t>09-346-4992</t>
  </si>
  <si>
    <t>75-083-3608</t>
  </si>
  <si>
    <t>29-779-7209</t>
  </si>
  <si>
    <t>12-409-5166</t>
  </si>
  <si>
    <t>07-024-4995</t>
  </si>
  <si>
    <t>74-478-5950</t>
  </si>
  <si>
    <t>31-395-1286</t>
  </si>
  <si>
    <t>60-838-4334</t>
  </si>
  <si>
    <t>71-197-8227</t>
  </si>
  <si>
    <t>15-530-3861</t>
  </si>
  <si>
    <t>clothing</t>
  </si>
  <si>
    <t>30-567-4471</t>
  </si>
  <si>
    <t>04-465-1819</t>
  </si>
  <si>
    <t>Jewelry &amp; Accessories</t>
  </si>
  <si>
    <t>69-692-0614</t>
  </si>
  <si>
    <t>12-839-8066</t>
  </si>
  <si>
    <t>05-465-8765</t>
  </si>
  <si>
    <t>81-580-3810</t>
  </si>
  <si>
    <t>74-353-6312</t>
  </si>
  <si>
    <t>78-824-1887</t>
  </si>
  <si>
    <t>31-218-0024</t>
  </si>
  <si>
    <t>15-711-4107</t>
  </si>
  <si>
    <t>76-672-1193</t>
  </si>
  <si>
    <t>46-503-5589</t>
  </si>
  <si>
    <t>87-499-6916</t>
  </si>
  <si>
    <t>30-520-8656</t>
  </si>
  <si>
    <t>36-323-3504</t>
  </si>
  <si>
    <t>93-810-4051</t>
  </si>
  <si>
    <t>66-515-3648</t>
  </si>
  <si>
    <t>health care</t>
  </si>
  <si>
    <t>09-216-1957</t>
  </si>
  <si>
    <t>23-253-2565</t>
  </si>
  <si>
    <t>74-509-4985</t>
  </si>
  <si>
    <t>05-857-1572</t>
  </si>
  <si>
    <t>26-521-8328</t>
  </si>
  <si>
    <t>31-147-6197</t>
  </si>
  <si>
    <t>90-093-0469</t>
  </si>
  <si>
    <t>38-935-1865</t>
  </si>
  <si>
    <t>75-953-8663</t>
  </si>
  <si>
    <t>38-478-2681</t>
  </si>
  <si>
    <t>70-895-5298</t>
  </si>
  <si>
    <t>02-653-5884</t>
  </si>
  <si>
    <t>11-719-8800</t>
  </si>
  <si>
    <t>59-355-5251</t>
  </si>
  <si>
    <t>82-572-9091</t>
  </si>
  <si>
    <t>86-044-1071</t>
  </si>
  <si>
    <t>08-733-0300</t>
  </si>
  <si>
    <t>70-108-1493</t>
  </si>
  <si>
    <t>46-230-8307</t>
  </si>
  <si>
    <t>74-431-0242</t>
  </si>
  <si>
    <t>78-272-6417</t>
  </si>
  <si>
    <t>13-792-4356</t>
  </si>
  <si>
    <t>04-563-9091</t>
  </si>
  <si>
    <t>79-592-5396</t>
  </si>
  <si>
    <t>39-952-4459</t>
  </si>
  <si>
    <t>67-935-7964</t>
  </si>
  <si>
    <t>26-828-2720</t>
  </si>
  <si>
    <t>57-410-7415</t>
  </si>
  <si>
    <t>62-989-8214</t>
  </si>
  <si>
    <t>73-827-2774</t>
  </si>
  <si>
    <t>19-643-1879</t>
  </si>
  <si>
    <t>57-345-3921</t>
  </si>
  <si>
    <t>98-817-6731</t>
  </si>
  <si>
    <t>31-788-0864</t>
  </si>
  <si>
    <t>27-806-4972</t>
  </si>
  <si>
    <t>48-343-1220</t>
  </si>
  <si>
    <t>15-640-6493</t>
  </si>
  <si>
    <t>64-846-7450</t>
  </si>
  <si>
    <t>58-788-8938</t>
  </si>
  <si>
    <t>52-240-3825</t>
  </si>
  <si>
    <t>60-618-2561</t>
  </si>
  <si>
    <t>hotels</t>
  </si>
  <si>
    <t>94-969-6819</t>
  </si>
  <si>
    <t>76-982-8107</t>
  </si>
  <si>
    <t>52-779-8972</t>
  </si>
  <si>
    <t>40-520-3271</t>
  </si>
  <si>
    <t>79-884-5600</t>
  </si>
  <si>
    <t>80-607-9947</t>
  </si>
  <si>
    <t>87-290-8263</t>
  </si>
  <si>
    <t>99-316-9993</t>
  </si>
  <si>
    <t>54-164-2243</t>
  </si>
  <si>
    <t>14-784-5606</t>
  </si>
  <si>
    <t>47-992-7446</t>
  </si>
  <si>
    <t>37-513-5073</t>
  </si>
  <si>
    <t>93-473-7248</t>
  </si>
  <si>
    <t>72-830-1211</t>
  </si>
  <si>
    <t>87-934-6762</t>
  </si>
  <si>
    <t>71-975-9564</t>
  </si>
  <si>
    <t>40-232-5631</t>
  </si>
  <si>
    <t>22-414-4955</t>
  </si>
  <si>
    <t>99-089-1930</t>
  </si>
  <si>
    <t>62-198-2511</t>
  </si>
  <si>
    <t>21-297-1223</t>
  </si>
  <si>
    <t>10-961-9336</t>
  </si>
  <si>
    <t>71-473-2656</t>
  </si>
  <si>
    <t>84-954-2973</t>
  </si>
  <si>
    <t>22-382-9636</t>
  </si>
  <si>
    <t>89-724-2536</t>
  </si>
  <si>
    <t>85-391-1888</t>
  </si>
  <si>
    <t>84-934-2483</t>
  </si>
  <si>
    <t>96-229-1698</t>
  </si>
  <si>
    <t>36-948-6994</t>
  </si>
  <si>
    <t>43-172-9431</t>
  </si>
  <si>
    <t>53-690-5759</t>
  </si>
  <si>
    <t>00-496-3067</t>
  </si>
  <si>
    <t>10-330-6387</t>
  </si>
  <si>
    <t>furniture</t>
  </si>
  <si>
    <t>87-590-8963</t>
  </si>
  <si>
    <t>47-931-2642</t>
  </si>
  <si>
    <t>76-501-6422</t>
  </si>
  <si>
    <t>39-274-2175</t>
  </si>
  <si>
    <t>62-493-5282</t>
  </si>
  <si>
    <t>18-841-7253</t>
  </si>
  <si>
    <t>18-097-5707</t>
  </si>
  <si>
    <t>83-792-5141</t>
  </si>
  <si>
    <t>65-036-2410</t>
  </si>
  <si>
    <t>67-593-9579</t>
  </si>
  <si>
    <t>33-484-6674</t>
  </si>
  <si>
    <t>65-249-5416</t>
  </si>
  <si>
    <t>17-328-4678</t>
  </si>
  <si>
    <t>00-733-8770</t>
  </si>
  <si>
    <t>47-501-3435</t>
  </si>
  <si>
    <t>46-779-7065</t>
  </si>
  <si>
    <t>91-603-1565</t>
  </si>
  <si>
    <t>35-122-5020</t>
  </si>
  <si>
    <t>63-684-4073</t>
  </si>
  <si>
    <t>74-483-2893</t>
  </si>
  <si>
    <t>72-728-4406</t>
  </si>
  <si>
    <t>13-588-2488</t>
  </si>
  <si>
    <t>79-861-6506</t>
  </si>
  <si>
    <t>66-974-6707</t>
  </si>
  <si>
    <t>95-112-6724</t>
  </si>
  <si>
    <t>27-262-6874</t>
  </si>
  <si>
    <t>92-908-5062</t>
  </si>
  <si>
    <t>70-014-6406</t>
  </si>
  <si>
    <t>52-908-9971</t>
  </si>
  <si>
    <t>57-623-5362</t>
  </si>
  <si>
    <t>48-315-0196</t>
  </si>
  <si>
    <t>71-959-3896</t>
  </si>
  <si>
    <t>29-987-3969</t>
  </si>
  <si>
    <t>78-613-1546</t>
  </si>
  <si>
    <t>43-664-4451</t>
  </si>
  <si>
    <t>34-095-3364</t>
  </si>
  <si>
    <t>72-393-6893</t>
  </si>
  <si>
    <t>73-707-2809</t>
  </si>
  <si>
    <t>04-609-7885</t>
  </si>
  <si>
    <t>73-139-4306</t>
  </si>
  <si>
    <t>23-794-8196</t>
  </si>
  <si>
    <t>66-050-6391</t>
  </si>
  <si>
    <t>22-311-5460</t>
  </si>
  <si>
    <t>51-917-0766</t>
  </si>
  <si>
    <t>53-013-1026</t>
  </si>
  <si>
    <t>29-779-3457</t>
  </si>
  <si>
    <t>18-047-5540</t>
  </si>
  <si>
    <t>89-438-5310</t>
  </si>
  <si>
    <t>23-985-3535</t>
  </si>
  <si>
    <t>67-939-2463</t>
  </si>
  <si>
    <t>03-623-6767</t>
  </si>
  <si>
    <t>86-749-6914</t>
  </si>
  <si>
    <t>03-977-8103</t>
  </si>
  <si>
    <t>03-827-4021</t>
  </si>
  <si>
    <t>68-507-4747</t>
  </si>
  <si>
    <t>73-942-8440</t>
  </si>
  <si>
    <t>21-821-6398</t>
  </si>
  <si>
    <t>64-641-7874</t>
  </si>
  <si>
    <t>53-459-7870</t>
  </si>
  <si>
    <t>36-240-3240</t>
  </si>
  <si>
    <t>54-936-4361</t>
  </si>
  <si>
    <t>67-209-0990</t>
  </si>
  <si>
    <t>19-667-0201</t>
  </si>
  <si>
    <t>36-274-5269</t>
  </si>
  <si>
    <t>09-948-3150</t>
  </si>
  <si>
    <t>19-873-9468</t>
  </si>
  <si>
    <t>37-748-4988</t>
  </si>
  <si>
    <t>08-755-1170</t>
  </si>
  <si>
    <t>07-402-7433</t>
  </si>
  <si>
    <t>60-073-3575</t>
  </si>
  <si>
    <t>97-237-3483</t>
  </si>
  <si>
    <t>93-675-1619</t>
  </si>
  <si>
    <t>43-884-2577</t>
  </si>
  <si>
    <t>33-200-7615</t>
  </si>
  <si>
    <t>63-631-8261</t>
  </si>
  <si>
    <t>34-016-7909</t>
  </si>
  <si>
    <t>82-304-6495</t>
  </si>
  <si>
    <t>70-207-6999</t>
  </si>
  <si>
    <t>71-780-8195</t>
  </si>
  <si>
    <t>93-356-8589</t>
  </si>
  <si>
    <t>92-142-9480</t>
  </si>
  <si>
    <t>53-042-5685</t>
  </si>
  <si>
    <t>35-853-2222</t>
  </si>
  <si>
    <t>83-670-9273</t>
  </si>
  <si>
    <t>37-783-6086</t>
  </si>
  <si>
    <t>79-902-8144</t>
  </si>
  <si>
    <t>41-009-7879</t>
  </si>
  <si>
    <t>89-302-8461</t>
  </si>
  <si>
    <t>23-066-1915</t>
  </si>
  <si>
    <t>39-090-0124</t>
  </si>
  <si>
    <t>41-854-0707</t>
  </si>
  <si>
    <t>04-352-1558</t>
  </si>
  <si>
    <t>93-867-8303</t>
  </si>
  <si>
    <t>31-088-6950</t>
  </si>
  <si>
    <t>43-616-8365</t>
  </si>
  <si>
    <t>71-876-9118</t>
  </si>
  <si>
    <t>18-263-0366</t>
  </si>
  <si>
    <t>25-502-1415</t>
  </si>
  <si>
    <t>50-000-9588</t>
  </si>
  <si>
    <t>32-338-5967</t>
  </si>
  <si>
    <t>19-311-9149</t>
  </si>
  <si>
    <t>94-212-7169</t>
  </si>
  <si>
    <t>17-246-6194</t>
  </si>
  <si>
    <t>26-672-1285</t>
  </si>
  <si>
    <t>00-265-0556</t>
  </si>
  <si>
    <t>76-397-3294</t>
  </si>
  <si>
    <t>43-612-8079</t>
  </si>
  <si>
    <t>17-213-2834</t>
  </si>
  <si>
    <t>36-214-1586</t>
  </si>
  <si>
    <t>32-414-1466</t>
  </si>
  <si>
    <t>12-699-6543</t>
  </si>
  <si>
    <t>83-427-3218</t>
  </si>
  <si>
    <t>61-663-9008</t>
  </si>
  <si>
    <t>86-917-7481</t>
  </si>
  <si>
    <t>66-086-2306</t>
  </si>
  <si>
    <t>43-671-9834</t>
  </si>
  <si>
    <t>90-888-8726</t>
  </si>
  <si>
    <t>23-085-0811</t>
  </si>
  <si>
    <t>85-192-9218</t>
  </si>
  <si>
    <t>82-671-7236</t>
  </si>
  <si>
    <t>42-674-3987</t>
  </si>
  <si>
    <t>41-934-7739</t>
  </si>
  <si>
    <t>48-825-0400</t>
  </si>
  <si>
    <t>30-133-5120</t>
  </si>
  <si>
    <t>29-827-8515</t>
  </si>
  <si>
    <t>91-724-4633</t>
  </si>
  <si>
    <t>10-328-5732</t>
  </si>
  <si>
    <t>38-912-1128</t>
  </si>
  <si>
    <t>07-751-9620</t>
  </si>
  <si>
    <t>81-877-9170</t>
  </si>
  <si>
    <t>19-885-2597</t>
  </si>
  <si>
    <t>82-389-2029</t>
  </si>
  <si>
    <t>97-463-0048</t>
  </si>
  <si>
    <t>91-572-6135</t>
  </si>
  <si>
    <t>10-232-0685</t>
  </si>
  <si>
    <t>77-761-7475</t>
  </si>
  <si>
    <t>78-826-3039</t>
  </si>
  <si>
    <t>86-668-1045</t>
  </si>
  <si>
    <t>14-603-9698</t>
  </si>
  <si>
    <t>23-752-2213</t>
  </si>
  <si>
    <t>71-486-8561</t>
  </si>
  <si>
    <t>76-382-7162</t>
  </si>
  <si>
    <t>28-947-4295</t>
  </si>
  <si>
    <t>84-765-0748</t>
  </si>
  <si>
    <t>54-207-8349</t>
  </si>
  <si>
    <t>20-419-0341</t>
  </si>
  <si>
    <t>52-005-9914</t>
  </si>
  <si>
    <t>34-846-7805</t>
  </si>
  <si>
    <t>26-596-5461</t>
  </si>
  <si>
    <t>20-157-8631</t>
  </si>
  <si>
    <t>91-199-9097</t>
  </si>
  <si>
    <t>55-846-2579</t>
  </si>
  <si>
    <t>83-455-7266</t>
  </si>
  <si>
    <t>67-599-9267</t>
  </si>
  <si>
    <t>41-501-9276</t>
  </si>
  <si>
    <t>99-509-4653</t>
  </si>
  <si>
    <t>31-284-5722</t>
  </si>
  <si>
    <t>88-000-9227</t>
  </si>
  <si>
    <t>52-726-9328</t>
  </si>
  <si>
    <t>60-198-5417</t>
  </si>
  <si>
    <t>00-107-4749</t>
  </si>
  <si>
    <t>88-428-8409</t>
  </si>
  <si>
    <t>21-313-7424</t>
  </si>
  <si>
    <t>79-973-7862</t>
  </si>
  <si>
    <t>81-814-3498</t>
  </si>
  <si>
    <t>34-375-8138</t>
  </si>
  <si>
    <t>05-067-9686</t>
  </si>
  <si>
    <t>61-951-7929</t>
  </si>
  <si>
    <t>53-667-0793</t>
  </si>
  <si>
    <t>61-212-1117</t>
  </si>
  <si>
    <t>09-443-7536</t>
  </si>
  <si>
    <t>27-463-5671</t>
  </si>
  <si>
    <t>53-380-3968</t>
  </si>
  <si>
    <t>42-969-0735</t>
  </si>
  <si>
    <t>12-440-5464</t>
  </si>
  <si>
    <t>33-467-2534</t>
  </si>
  <si>
    <t>35-418-0288</t>
  </si>
  <si>
    <t>33-787-2143</t>
  </si>
  <si>
    <t>58-528-6262</t>
  </si>
  <si>
    <t>31-060-2716</t>
  </si>
  <si>
    <t>81-515-5823</t>
  </si>
  <si>
    <t>90-858-0453</t>
  </si>
  <si>
    <t>28-874-8938</t>
  </si>
  <si>
    <t>89-625-5542</t>
  </si>
  <si>
    <t>07-966-8728</t>
  </si>
  <si>
    <t>94-408-2581</t>
  </si>
  <si>
    <t>55-301-9368</t>
  </si>
  <si>
    <t>72-336-1992</t>
  </si>
  <si>
    <t>06-008-2805</t>
  </si>
  <si>
    <t>77-178-6086</t>
  </si>
  <si>
    <t>28-832-2885</t>
  </si>
  <si>
    <t>75-210-7391</t>
  </si>
  <si>
    <t>60-470-3563</t>
  </si>
  <si>
    <t>24-241-7171</t>
  </si>
  <si>
    <t>53-784-1855</t>
  </si>
  <si>
    <t>83-561-3374</t>
  </si>
  <si>
    <t>96-121-0629</t>
  </si>
  <si>
    <t>00-275-9990</t>
  </si>
  <si>
    <t>36-593-2907</t>
  </si>
  <si>
    <t>22-692-3470</t>
  </si>
  <si>
    <t>90-322-7329</t>
  </si>
  <si>
    <t>28-395-9872</t>
  </si>
  <si>
    <t>79-297-1061</t>
  </si>
  <si>
    <t>93-649-9356</t>
  </si>
  <si>
    <t>27-543-7069</t>
  </si>
  <si>
    <t>96-079-9597</t>
  </si>
  <si>
    <t>38-940-4942</t>
  </si>
  <si>
    <t>82-014-2564</t>
  </si>
  <si>
    <t>70-699-5799</t>
  </si>
  <si>
    <t>53-240-2040</t>
  </si>
  <si>
    <t>27-742-2776</t>
  </si>
  <si>
    <t>55-620-7906</t>
  </si>
  <si>
    <t>04-213-4617</t>
  </si>
  <si>
    <t>79-384-7469</t>
  </si>
  <si>
    <t>30-839-5589</t>
  </si>
  <si>
    <t>76-848-9229</t>
  </si>
  <si>
    <t>98-559-6096</t>
  </si>
  <si>
    <t>56-810-2066</t>
  </si>
  <si>
    <t>55-580-7707</t>
  </si>
  <si>
    <t>18-605-0795</t>
  </si>
  <si>
    <t>86-268-2904</t>
  </si>
  <si>
    <t>75-847-7630</t>
  </si>
  <si>
    <t>76-910-2337</t>
  </si>
  <si>
    <t>56-719-7145</t>
  </si>
  <si>
    <t>14-025-2335</t>
  </si>
  <si>
    <t>10-300-8072</t>
  </si>
  <si>
    <t>73-698-2326</t>
  </si>
  <si>
    <t>01-023-2094</t>
  </si>
  <si>
    <t>65-359-4645</t>
  </si>
  <si>
    <t>33-405-7978</t>
  </si>
  <si>
    <t>09-783-7921</t>
  </si>
  <si>
    <t>76-561-2427</t>
  </si>
  <si>
    <t>82-467-3300</t>
  </si>
  <si>
    <t>92-946-7398</t>
  </si>
  <si>
    <t>59-891-2990</t>
  </si>
  <si>
    <t>22-579-3978</t>
  </si>
  <si>
    <t>22-352-0576</t>
  </si>
  <si>
    <t>28-676-0614</t>
  </si>
  <si>
    <t>07-211-9364</t>
  </si>
  <si>
    <t>98-238-6733</t>
  </si>
  <si>
    <t>72-006-3769</t>
  </si>
  <si>
    <t>75-845-3143</t>
  </si>
  <si>
    <t>26-028-2671</t>
  </si>
  <si>
    <t>55-876-7407</t>
  </si>
  <si>
    <t>47-720-9520</t>
  </si>
  <si>
    <t>42-207-5005</t>
  </si>
  <si>
    <t>47-266-2261</t>
  </si>
  <si>
    <t>77-642-7686</t>
  </si>
  <si>
    <t>37-468-8133</t>
  </si>
  <si>
    <t>00-335-5034</t>
  </si>
  <si>
    <t>95-148-1769</t>
  </si>
  <si>
    <t>72-324-1243</t>
  </si>
  <si>
    <t>62-687-5354</t>
  </si>
  <si>
    <t>54-634-0814</t>
  </si>
  <si>
    <t>64-769-5737</t>
  </si>
  <si>
    <t>62-892-2088</t>
  </si>
  <si>
    <t>53-951-2529</t>
  </si>
  <si>
    <t>00-264-3797</t>
  </si>
  <si>
    <t>88-445-9235</t>
  </si>
  <si>
    <t>65-539-9955</t>
  </si>
  <si>
    <t>89-730-1134</t>
  </si>
  <si>
    <t>74-051-7865</t>
  </si>
  <si>
    <t>40-450-4266</t>
  </si>
  <si>
    <t>78-796-5651</t>
  </si>
  <si>
    <t>78-163-4800</t>
  </si>
  <si>
    <t>90-272-5701</t>
  </si>
  <si>
    <t>14-118-5229</t>
  </si>
  <si>
    <t>24-662-2119</t>
  </si>
  <si>
    <t>61-794-8438</t>
  </si>
  <si>
    <t>21-959-5766</t>
  </si>
  <si>
    <t>42-518-2602</t>
  </si>
  <si>
    <t>35-850-8676</t>
  </si>
  <si>
    <t>07-958-2231</t>
  </si>
  <si>
    <t>78-503-0416</t>
  </si>
  <si>
    <t>46-167-7999</t>
  </si>
  <si>
    <t>93-989-8649</t>
  </si>
  <si>
    <t>98-130-8811</t>
  </si>
  <si>
    <t>18-614-2070</t>
  </si>
  <si>
    <t>80-277-3242</t>
  </si>
  <si>
    <t>44-949-9040</t>
  </si>
  <si>
    <t>04-545-9162</t>
  </si>
  <si>
    <t>51-320-2801</t>
  </si>
  <si>
    <t>50-510-5119</t>
  </si>
  <si>
    <t>63-964-6954</t>
  </si>
  <si>
    <t>55-569-9247</t>
  </si>
  <si>
    <t>02-911-0447</t>
  </si>
  <si>
    <t>77-626-7240</t>
  </si>
  <si>
    <t>75-915-9803</t>
  </si>
  <si>
    <t>78-905-2660</t>
  </si>
  <si>
    <t>02-677-6735</t>
  </si>
  <si>
    <t>20-460-9796</t>
  </si>
  <si>
    <t>57-587-4005</t>
  </si>
  <si>
    <t>99-477-8256</t>
  </si>
  <si>
    <t>03-992-3728</t>
  </si>
  <si>
    <t>24-878-4507</t>
  </si>
  <si>
    <t>22-106-8347</t>
  </si>
  <si>
    <t>81-479-0790</t>
  </si>
  <si>
    <t>03-023-9932</t>
  </si>
  <si>
    <t>36-632-2460</t>
  </si>
  <si>
    <t>32-799-7704</t>
  </si>
  <si>
    <t>09-369-0588</t>
  </si>
  <si>
    <t>87-727-6434</t>
  </si>
  <si>
    <t>18-793-9543</t>
  </si>
  <si>
    <t>63-625-5757</t>
  </si>
  <si>
    <t>93-413-4758</t>
  </si>
  <si>
    <t>15-663-7994</t>
  </si>
  <si>
    <t>29-319-4519</t>
  </si>
  <si>
    <t>40-347-2903</t>
  </si>
  <si>
    <t>18-452-1635</t>
  </si>
  <si>
    <t>47-710-5471</t>
  </si>
  <si>
    <t>88-167-7129</t>
  </si>
  <si>
    <t>86-771-9082</t>
  </si>
  <si>
    <t>46-678-4172</t>
  </si>
  <si>
    <t>14-249-1256</t>
  </si>
  <si>
    <t>75-617-1460</t>
  </si>
  <si>
    <t>10-247-0192</t>
  </si>
  <si>
    <t>94-120-9525</t>
  </si>
  <si>
    <t>22-234-9315</t>
  </si>
  <si>
    <t>37-560-7247</t>
  </si>
  <si>
    <t>91-857-0797</t>
  </si>
  <si>
    <t>19-344-0102</t>
  </si>
  <si>
    <t>48-609-7715</t>
  </si>
  <si>
    <t>13-571-6506</t>
  </si>
  <si>
    <t>47-073-6440</t>
  </si>
  <si>
    <t>50-303-1693</t>
  </si>
  <si>
    <t>69-157-9577</t>
  </si>
  <si>
    <t>09-513-4923</t>
  </si>
  <si>
    <t>82-975-8569</t>
  </si>
  <si>
    <t>70-774-7728</t>
  </si>
  <si>
    <t>13-015-8097</t>
  </si>
  <si>
    <t>68-391-7279</t>
  </si>
  <si>
    <t>28-764-3337</t>
  </si>
  <si>
    <t>00-285-9607</t>
  </si>
  <si>
    <t>04-832-3559</t>
  </si>
  <si>
    <t>27-613-5005</t>
  </si>
  <si>
    <t>49-825-3438</t>
  </si>
  <si>
    <t>31-783-9785</t>
  </si>
  <si>
    <t>58-059-8187</t>
  </si>
  <si>
    <t>74-882-6648</t>
  </si>
  <si>
    <t>03-180-9200</t>
  </si>
  <si>
    <t>46-578-1425</t>
  </si>
  <si>
    <t>13-588-5783</t>
  </si>
  <si>
    <t>25-085-7917</t>
  </si>
  <si>
    <t>66-085-1226</t>
  </si>
  <si>
    <t>37-037-1765</t>
  </si>
  <si>
    <t>48-630-6410</t>
  </si>
  <si>
    <t>50-471-0212</t>
  </si>
  <si>
    <t>48-642-5768</t>
  </si>
  <si>
    <t>15-152-9751</t>
  </si>
  <si>
    <t>23-451-9920</t>
  </si>
  <si>
    <t>09-775-4058</t>
  </si>
  <si>
    <t>43-595-0966</t>
  </si>
  <si>
    <t>56-592-0089</t>
  </si>
  <si>
    <t>29-374-1297</t>
  </si>
  <si>
    <t>80-728-6133</t>
  </si>
  <si>
    <t>58-502-7490</t>
  </si>
  <si>
    <t>23-537-0742</t>
  </si>
  <si>
    <t>22-483-3115</t>
  </si>
  <si>
    <t>57-372-5969</t>
  </si>
  <si>
    <t>37-283-9076</t>
  </si>
  <si>
    <t>39-075-3518</t>
  </si>
  <si>
    <t>84-315-7189</t>
  </si>
  <si>
    <t>75-964-5589</t>
  </si>
  <si>
    <t>06-594-3417</t>
  </si>
  <si>
    <t>08-297-3351</t>
  </si>
  <si>
    <t>05-546-5128</t>
  </si>
  <si>
    <t>79-759-6726</t>
  </si>
  <si>
    <t>12-851-1771</t>
  </si>
  <si>
    <t>79-960-1714</t>
  </si>
  <si>
    <t>30-417-6981</t>
  </si>
  <si>
    <t>91-532-5399</t>
  </si>
  <si>
    <t>89-997-9041</t>
  </si>
  <si>
    <t>26-235-6745</t>
  </si>
  <si>
    <t>99-080-9462</t>
  </si>
  <si>
    <t>87-056-8987</t>
  </si>
  <si>
    <t>06-160-8063</t>
  </si>
  <si>
    <t>73-434-2308</t>
  </si>
  <si>
    <t>84-260-6464</t>
  </si>
  <si>
    <t>00-149-4481</t>
  </si>
  <si>
    <t>05-710-6109</t>
  </si>
  <si>
    <t>84-724-8407</t>
  </si>
  <si>
    <t>45-795-1873</t>
  </si>
  <si>
    <t>06-647-3248</t>
  </si>
  <si>
    <t>06-767-5206</t>
  </si>
  <si>
    <t>94-288-4423</t>
  </si>
  <si>
    <t>49-891-9711</t>
  </si>
  <si>
    <t>08-806-0588</t>
  </si>
  <si>
    <t>94-746-2001</t>
  </si>
  <si>
    <t>38-943-5744</t>
  </si>
  <si>
    <t>98-535-8497</t>
  </si>
  <si>
    <t>33-243-8793</t>
  </si>
  <si>
    <t>99-581-5577</t>
  </si>
  <si>
    <t>64-180-2404</t>
  </si>
  <si>
    <t>73-097-0986</t>
  </si>
  <si>
    <t>88-051-0567</t>
  </si>
  <si>
    <t>44-715-9594</t>
  </si>
  <si>
    <t>84-188-6577</t>
  </si>
  <si>
    <t>19-116-4723</t>
  </si>
  <si>
    <t>21-783-9242</t>
  </si>
  <si>
    <t>95-528-2313</t>
  </si>
  <si>
    <t>94-682-4886</t>
  </si>
  <si>
    <t>55-944-9669</t>
  </si>
  <si>
    <t>32-314-2958</t>
  </si>
  <si>
    <t>67-697-2331</t>
  </si>
  <si>
    <t>28-855-1639</t>
  </si>
  <si>
    <t>38-069-8615</t>
  </si>
  <si>
    <t>58-233-5963</t>
  </si>
  <si>
    <t>02-004-0620</t>
  </si>
  <si>
    <t>78-822-9328</t>
  </si>
  <si>
    <t>73-359-1998</t>
  </si>
  <si>
    <t>84-459-7736</t>
  </si>
  <si>
    <t>07-395-5818</t>
  </si>
  <si>
    <t>07-560-6637</t>
  </si>
  <si>
    <t>61-926-1691</t>
  </si>
  <si>
    <t>68-129-1060</t>
  </si>
  <si>
    <t>04-052-5592</t>
  </si>
  <si>
    <t>41-215-6092</t>
  </si>
  <si>
    <t>89-833-7175</t>
  </si>
  <si>
    <t>08-117-9893</t>
  </si>
  <si>
    <t>24-109-2173</t>
  </si>
  <si>
    <t>79-939-2140</t>
  </si>
  <si>
    <t>95-999-0984</t>
  </si>
  <si>
    <t>64-799-3174</t>
  </si>
  <si>
    <t>27-018-2262</t>
  </si>
  <si>
    <t>38-881-0766</t>
  </si>
  <si>
    <t>17-344-8603</t>
  </si>
  <si>
    <t>51-387-9144</t>
  </si>
  <si>
    <t>42-101-8525</t>
  </si>
  <si>
    <t>69-157-6752</t>
  </si>
  <si>
    <t>27-843-5553</t>
  </si>
  <si>
    <t>04-468-5487</t>
  </si>
  <si>
    <t>08-584-8296</t>
  </si>
  <si>
    <t>81-014-4502</t>
  </si>
  <si>
    <t>65-167-9819</t>
  </si>
  <si>
    <t>19-925-2376</t>
  </si>
  <si>
    <t>03-669-7519</t>
  </si>
  <si>
    <t>00-520-4376</t>
  </si>
  <si>
    <t>62-701-1037</t>
  </si>
  <si>
    <t>87-806-4478</t>
  </si>
  <si>
    <t>04-809-8989</t>
  </si>
  <si>
    <t>39-867-1989</t>
  </si>
  <si>
    <t>45-584-7333</t>
  </si>
  <si>
    <t>85-885-6579</t>
  </si>
  <si>
    <t>65-457-2840</t>
  </si>
  <si>
    <t>82-726-1255</t>
  </si>
  <si>
    <t>90-602-3583</t>
  </si>
  <si>
    <t>02-711-1034</t>
  </si>
  <si>
    <t>27-347-7437</t>
  </si>
  <si>
    <t>95-675-7816</t>
  </si>
  <si>
    <t>87-418-1400</t>
  </si>
  <si>
    <t>73-991-0066</t>
  </si>
  <si>
    <t>62-273-8089</t>
  </si>
  <si>
    <t>51-220-3072</t>
  </si>
  <si>
    <t>17-648-0171</t>
  </si>
  <si>
    <t>11-975-9054</t>
  </si>
  <si>
    <t>75-518-2831</t>
  </si>
  <si>
    <t>13-297-9777</t>
  </si>
  <si>
    <t>81-604-7906</t>
  </si>
  <si>
    <t>87-518-0375</t>
  </si>
  <si>
    <t>53-437-2629</t>
  </si>
  <si>
    <t>46-681-0764</t>
  </si>
  <si>
    <t>43-990-6454</t>
  </si>
  <si>
    <t>55-570-3804</t>
  </si>
  <si>
    <t>29-067-4901</t>
  </si>
  <si>
    <t>93-957-6269</t>
  </si>
  <si>
    <t>81-225-6647</t>
  </si>
  <si>
    <t>64-706-7841</t>
  </si>
  <si>
    <t>47-178-9529</t>
  </si>
  <si>
    <t>63-808-3641</t>
  </si>
  <si>
    <t>85-738-8909</t>
  </si>
  <si>
    <t>40-224-1057</t>
  </si>
  <si>
    <t>24-853-1635</t>
  </si>
  <si>
    <t>61-627-1822</t>
  </si>
  <si>
    <t>89-392-5002</t>
  </si>
  <si>
    <t>71-573-6085</t>
  </si>
  <si>
    <t>91-810-3612</t>
  </si>
  <si>
    <t>07-323-0255</t>
  </si>
  <si>
    <t>81-054-5343</t>
  </si>
  <si>
    <t>14-854-9545</t>
  </si>
  <si>
    <t>52-150-4629</t>
  </si>
  <si>
    <t>48-918-4473</t>
  </si>
  <si>
    <t>06-764-5496</t>
  </si>
  <si>
    <t>67-036-4295</t>
  </si>
  <si>
    <t>35-880-9374</t>
  </si>
  <si>
    <t>08-614-6177</t>
  </si>
  <si>
    <t>35-879-0014</t>
  </si>
  <si>
    <t>91-570-2695</t>
  </si>
  <si>
    <t>54-193-3526</t>
  </si>
  <si>
    <t>55-237-7991</t>
  </si>
  <si>
    <t>90-569-7391</t>
  </si>
  <si>
    <t>88-395-8741</t>
  </si>
  <si>
    <t>06-638-0433</t>
  </si>
  <si>
    <t>84-208-7045</t>
  </si>
  <si>
    <t>71-568-0867</t>
  </si>
  <si>
    <t>18-925-1867</t>
  </si>
  <si>
    <t>69-394-1424</t>
  </si>
  <si>
    <t>91-695-8237</t>
  </si>
  <si>
    <t>68-458-0904</t>
  </si>
  <si>
    <t>28-862-5550</t>
  </si>
  <si>
    <t>85-666-7449</t>
  </si>
  <si>
    <t>30-987-7421</t>
  </si>
  <si>
    <t>39-107-6852</t>
  </si>
  <si>
    <t>85-467-6564</t>
  </si>
  <si>
    <t>82-692-9306</t>
  </si>
  <si>
    <t>18-593-8611</t>
  </si>
  <si>
    <t>93-093-0556</t>
  </si>
  <si>
    <t>59-080-5779</t>
  </si>
  <si>
    <t>64-915-2968</t>
  </si>
  <si>
    <t>94-495-3402</t>
  </si>
  <si>
    <t>84-458-6432</t>
  </si>
  <si>
    <t>46-452-3822</t>
  </si>
  <si>
    <t>54-877-5699</t>
  </si>
  <si>
    <t>15-146-4456</t>
  </si>
  <si>
    <t>76-620-2994</t>
  </si>
  <si>
    <t>60-834-3348</t>
  </si>
  <si>
    <t>77-742-5663</t>
  </si>
  <si>
    <t>05-167-0833</t>
  </si>
  <si>
    <t>86-182-9556</t>
  </si>
  <si>
    <t>14-415-2802</t>
  </si>
  <si>
    <t>49-469-9163</t>
  </si>
  <si>
    <t>67-937-6624</t>
  </si>
  <si>
    <t>91-761-9492</t>
  </si>
  <si>
    <t>19-184-7665</t>
  </si>
  <si>
    <t>19-383-9741</t>
  </si>
  <si>
    <t>15-625-4047</t>
  </si>
  <si>
    <t>81-820-4735</t>
  </si>
  <si>
    <t>71-436-6908</t>
  </si>
  <si>
    <t>73-145-5784</t>
  </si>
  <si>
    <t>50-637-1630</t>
  </si>
  <si>
    <t>44-938-7475</t>
  </si>
  <si>
    <t>55-279-3045</t>
  </si>
  <si>
    <t>59-997-3903</t>
  </si>
  <si>
    <t>12-029-9344</t>
  </si>
  <si>
    <t>41-130-2570</t>
  </si>
  <si>
    <t>25-285-7453</t>
  </si>
  <si>
    <t>47-225-8686</t>
  </si>
  <si>
    <t>33-519-4214</t>
  </si>
  <si>
    <t>03-991-2098</t>
  </si>
  <si>
    <t>30-735-8744</t>
  </si>
  <si>
    <t>13-848-5757</t>
  </si>
  <si>
    <t>21-300-2001</t>
  </si>
  <si>
    <t>38-587-1781</t>
  </si>
  <si>
    <t>66-557-1474</t>
  </si>
  <si>
    <t>03-422-8710</t>
  </si>
  <si>
    <t>39-731-8532</t>
  </si>
  <si>
    <t>80-830-3184</t>
  </si>
  <si>
    <t>97-505-8416</t>
  </si>
  <si>
    <t>98-585-4742</t>
  </si>
  <si>
    <t>51-302-9537</t>
  </si>
  <si>
    <t>88-313-2633</t>
  </si>
  <si>
    <t>61-286-0069</t>
  </si>
  <si>
    <t>35-907-0586</t>
  </si>
  <si>
    <t>30-522-1574</t>
  </si>
  <si>
    <t>43-715-8777</t>
  </si>
  <si>
    <t>94-692-4313</t>
  </si>
  <si>
    <t>96-915-4091</t>
  </si>
  <si>
    <t>67-073-5578</t>
  </si>
  <si>
    <t>27-010-9462</t>
  </si>
  <si>
    <t>19-689-4556</t>
  </si>
  <si>
    <t>53-143-6147</t>
  </si>
  <si>
    <t>02-725-7664</t>
  </si>
  <si>
    <t>54-439-4748</t>
  </si>
  <si>
    <t>66-949-9895</t>
  </si>
  <si>
    <t>20-648-1010</t>
  </si>
  <si>
    <t>79-939-5393</t>
  </si>
  <si>
    <t>89-249-8369</t>
  </si>
  <si>
    <t>85-366-1482</t>
  </si>
  <si>
    <t>34-874-7357</t>
  </si>
  <si>
    <t>11-820-5039</t>
  </si>
  <si>
    <t>73-846-1423</t>
  </si>
  <si>
    <t>90-363-8040</t>
  </si>
  <si>
    <t>65-533-1660</t>
  </si>
  <si>
    <t>98-376-8787</t>
  </si>
  <si>
    <t>18-938-9896</t>
  </si>
  <si>
    <t>04-829-7037</t>
  </si>
  <si>
    <t>93-455-0576</t>
  </si>
  <si>
    <t>84-637-9188</t>
  </si>
  <si>
    <t>81-111-7832</t>
  </si>
  <si>
    <t>77-401-8183</t>
  </si>
  <si>
    <t>01-484-8220</t>
  </si>
  <si>
    <t>11-121-0709</t>
  </si>
  <si>
    <t>36-649-0081</t>
  </si>
  <si>
    <t>61-176-8712</t>
  </si>
  <si>
    <t>75-526-2611</t>
  </si>
  <si>
    <t>72-339-1854</t>
  </si>
  <si>
    <t>80-360-6324</t>
  </si>
  <si>
    <t>24-591-4327</t>
  </si>
  <si>
    <t>58-487-8848</t>
  </si>
  <si>
    <t>61-453-3503</t>
  </si>
  <si>
    <t>63-680-7694</t>
  </si>
  <si>
    <t>51-431-7150</t>
  </si>
  <si>
    <t>23-039-9347</t>
  </si>
  <si>
    <t>18-832-6916</t>
  </si>
  <si>
    <t>29-438-8126</t>
  </si>
  <si>
    <t>68-201-1633</t>
  </si>
  <si>
    <t>07-314-2945</t>
  </si>
  <si>
    <t>64-490-6975</t>
  </si>
  <si>
    <t>91-789-3191</t>
  </si>
  <si>
    <t>83-714-9649</t>
  </si>
  <si>
    <t>33-203-4230</t>
  </si>
  <si>
    <t>90-918-2833</t>
  </si>
  <si>
    <t>53-409-1176</t>
  </si>
  <si>
    <t>52-491-3386</t>
  </si>
  <si>
    <t>10-870-3357</t>
  </si>
  <si>
    <t>41-816-7753</t>
  </si>
  <si>
    <t>68-296-5978</t>
  </si>
  <si>
    <t>03-874-9055</t>
  </si>
  <si>
    <t>28-123-8406</t>
  </si>
  <si>
    <t>01-089-2223</t>
  </si>
  <si>
    <t>23-758-1012</t>
  </si>
  <si>
    <t>34-788-8387</t>
  </si>
  <si>
    <t>53-865-9342</t>
  </si>
  <si>
    <t>79-052-8470</t>
  </si>
  <si>
    <t>86-359-7320</t>
  </si>
  <si>
    <t>27-111-2242</t>
  </si>
  <si>
    <t>84-538-0238</t>
  </si>
  <si>
    <t>04-660-2742</t>
  </si>
  <si>
    <t>96-496-9833</t>
  </si>
  <si>
    <t>27-672-6081</t>
  </si>
  <si>
    <t>66-033-0540</t>
  </si>
  <si>
    <t>99-643-9845</t>
  </si>
  <si>
    <t>27-571-9402</t>
  </si>
  <si>
    <t>10-430-5821</t>
  </si>
  <si>
    <t>36-835-7445</t>
  </si>
  <si>
    <t>41-602-4042</t>
  </si>
  <si>
    <t>63-743-6962</t>
  </si>
  <si>
    <t>66-772-9922</t>
  </si>
  <si>
    <t>23-246-5927</t>
  </si>
  <si>
    <t>74-022-7557</t>
  </si>
  <si>
    <t>78-214-5658</t>
  </si>
  <si>
    <t>25-286-8786</t>
  </si>
  <si>
    <t>55-955-9889</t>
  </si>
  <si>
    <t>34-237-3943</t>
  </si>
  <si>
    <t>19-386-9088</t>
  </si>
  <si>
    <t>16-583-2801</t>
  </si>
  <si>
    <t>83-752-5439</t>
  </si>
  <si>
    <t>25-485-2023</t>
  </si>
  <si>
    <t>90-822-7664</t>
  </si>
  <si>
    <t>22-039-6819</t>
  </si>
  <si>
    <t>50-395-1941</t>
  </si>
  <si>
    <t>99-771-9310</t>
  </si>
  <si>
    <t>18-518-0140</t>
  </si>
  <si>
    <t>57-000-8646</t>
  </si>
  <si>
    <t>81-926-9297</t>
  </si>
  <si>
    <t>53-070-2625</t>
  </si>
  <si>
    <t>63-217-7638</t>
  </si>
  <si>
    <t>64-120-6212</t>
  </si>
  <si>
    <t>01-404-3425</t>
  </si>
  <si>
    <t>68-971-6148</t>
  </si>
  <si>
    <t>22-053-4627</t>
  </si>
  <si>
    <t>09-258-0424</t>
  </si>
  <si>
    <t>56-782-9001</t>
  </si>
  <si>
    <t>05-506-7216</t>
  </si>
  <si>
    <t>47-356-9730</t>
  </si>
  <si>
    <t>42-898-6421</t>
  </si>
  <si>
    <t>17-364-8685</t>
  </si>
  <si>
    <t>13-618-9438</t>
  </si>
  <si>
    <t>32-457-2982</t>
  </si>
  <si>
    <t>43-386-2489</t>
  </si>
  <si>
    <t>67-438-2378</t>
  </si>
  <si>
    <t>65-431-1264</t>
  </si>
  <si>
    <t>73-367-8478</t>
  </si>
  <si>
    <t>84-162-8799</t>
  </si>
  <si>
    <t>51-546-9992</t>
  </si>
  <si>
    <t>89-189-3295</t>
  </si>
  <si>
    <t>45-776-7217</t>
  </si>
  <si>
    <t>71-354-5174</t>
  </si>
  <si>
    <t>05-975-6985</t>
  </si>
  <si>
    <t>42-859-2475</t>
  </si>
  <si>
    <t>34-094-1923</t>
  </si>
  <si>
    <t>57-797-8139</t>
  </si>
  <si>
    <t>21-048-8669</t>
  </si>
  <si>
    <t>30-038-8752</t>
  </si>
  <si>
    <t>06-237-7338</t>
  </si>
  <si>
    <t>71-817-5422</t>
  </si>
  <si>
    <t>68-512-0568</t>
  </si>
  <si>
    <t>18-633-9387</t>
  </si>
  <si>
    <t>08-977-4418</t>
  </si>
  <si>
    <t>97-738-8095</t>
  </si>
  <si>
    <t>15-421-1255</t>
  </si>
  <si>
    <t>92-142-4328</t>
  </si>
  <si>
    <t>06-357-6548</t>
  </si>
  <si>
    <t>59-261-4453</t>
  </si>
  <si>
    <t>35-644-3184</t>
  </si>
  <si>
    <t>30-528-9105</t>
  </si>
  <si>
    <t>14-709-8547</t>
  </si>
  <si>
    <t>80-508-9866</t>
  </si>
  <si>
    <t>27-100-0661</t>
  </si>
  <si>
    <t>68-488-7343</t>
  </si>
  <si>
    <t>63-304-1852</t>
  </si>
  <si>
    <t>53-843-5619</t>
  </si>
  <si>
    <t>44-786-7696</t>
  </si>
  <si>
    <t>45-631-4619</t>
  </si>
  <si>
    <t>11-850-1953</t>
  </si>
  <si>
    <t>20-421-2544</t>
  </si>
  <si>
    <t>37-100-8709</t>
  </si>
  <si>
    <t>78-361-5100</t>
  </si>
  <si>
    <t>67-676-5945</t>
  </si>
  <si>
    <t>67-639-5838</t>
  </si>
  <si>
    <t>51-415-1931</t>
  </si>
  <si>
    <t>96-764-3843</t>
  </si>
  <si>
    <t>16-730-2056</t>
  </si>
  <si>
    <t>22-157-2494</t>
  </si>
  <si>
    <t>29-341-6463</t>
  </si>
  <si>
    <t>64-906-4475</t>
  </si>
  <si>
    <t>36-340-8494</t>
  </si>
  <si>
    <t>77-031-4898</t>
  </si>
  <si>
    <t>86-097-9642</t>
  </si>
  <si>
    <t>64-090-3433</t>
  </si>
  <si>
    <t>96-140-1936</t>
  </si>
  <si>
    <t>38-830-6976</t>
  </si>
  <si>
    <t>82-864-1154</t>
  </si>
  <si>
    <t>79-711-6779</t>
  </si>
  <si>
    <t>22-860-9860</t>
  </si>
  <si>
    <t>72-590-6161</t>
  </si>
  <si>
    <t>76-213-5806</t>
  </si>
  <si>
    <t>66-894-5431</t>
  </si>
  <si>
    <t>20-939-3906</t>
  </si>
  <si>
    <t>86-390-9555</t>
  </si>
  <si>
    <t>91-602-0761</t>
  </si>
  <si>
    <t>62-974-7965</t>
  </si>
  <si>
    <t>21-232-1397</t>
  </si>
  <si>
    <t>31-364-4144</t>
  </si>
  <si>
    <t>99-945-7193</t>
  </si>
  <si>
    <t>91-053-3261</t>
  </si>
  <si>
    <t>50-447-5171</t>
  </si>
  <si>
    <t>89-754-7244</t>
  </si>
  <si>
    <t>56-072-7011</t>
  </si>
  <si>
    <t>74-281-3421</t>
  </si>
  <si>
    <t>86-068-2133</t>
  </si>
  <si>
    <t>03-102-0288</t>
  </si>
  <si>
    <t>74-033-1145</t>
  </si>
  <si>
    <t>24-272-6205</t>
  </si>
  <si>
    <t>90-170-1951</t>
  </si>
  <si>
    <t>73-259-8940</t>
  </si>
  <si>
    <t>77-796-5786</t>
  </si>
  <si>
    <t>23-949-1954</t>
  </si>
  <si>
    <t>51-313-7293</t>
  </si>
  <si>
    <t>62-797-9254</t>
  </si>
  <si>
    <t>27-941-4995</t>
  </si>
  <si>
    <t>01-799-2615</t>
  </si>
  <si>
    <t>82-133-0444</t>
  </si>
  <si>
    <t>43-920-9499</t>
  </si>
  <si>
    <t>17-551-9779</t>
  </si>
  <si>
    <t>49-037-2300</t>
  </si>
  <si>
    <t>95-876-9757</t>
  </si>
  <si>
    <t>47-947-4888</t>
  </si>
  <si>
    <t>83-003-2165</t>
  </si>
  <si>
    <t>27-619-9264</t>
  </si>
  <si>
    <t>49-476-1729</t>
  </si>
  <si>
    <t>64-803-7087</t>
  </si>
  <si>
    <t>01-925-4021</t>
  </si>
  <si>
    <t>51-116-5937</t>
  </si>
  <si>
    <t>72-454-2741</t>
  </si>
  <si>
    <t>96-484-1000</t>
  </si>
  <si>
    <t>07-834-3350</t>
  </si>
  <si>
    <t>11-802-5604</t>
  </si>
  <si>
    <t>41-750-4105</t>
  </si>
  <si>
    <t>31-491-8457</t>
  </si>
  <si>
    <t>86-257-9581</t>
  </si>
  <si>
    <t>22-981-6595</t>
  </si>
  <si>
    <t>54-002-5845</t>
  </si>
  <si>
    <t>31-927-7787</t>
  </si>
  <si>
    <t>46-098-9737</t>
  </si>
  <si>
    <t>27-017-7173</t>
  </si>
  <si>
    <t>53-102-9949</t>
  </si>
  <si>
    <t>02-676-9312</t>
  </si>
  <si>
    <t>28-969-7540</t>
  </si>
  <si>
    <t>30-083-9565</t>
  </si>
  <si>
    <t>30-975-0306</t>
  </si>
  <si>
    <t>14-364-4904</t>
  </si>
  <si>
    <t>08-652-2085</t>
  </si>
  <si>
    <t>67-037-2087</t>
  </si>
  <si>
    <t>09-737-8354</t>
  </si>
  <si>
    <t>12-417-5609</t>
  </si>
  <si>
    <t>25-096-6830</t>
  </si>
  <si>
    <t>91-558-5922</t>
  </si>
  <si>
    <t>25-560-4506</t>
  </si>
  <si>
    <t>33-609-0598</t>
  </si>
  <si>
    <t>45-337-1798</t>
  </si>
  <si>
    <t>34-265-8558</t>
  </si>
  <si>
    <t>67-323-7406</t>
  </si>
  <si>
    <t>40-149-8247</t>
  </si>
  <si>
    <t>37-361-8691</t>
  </si>
  <si>
    <t>17-763-9416</t>
  </si>
  <si>
    <t>56-453-8263</t>
  </si>
  <si>
    <t>19-560-0717</t>
  </si>
  <si>
    <t>40-199-1803</t>
  </si>
  <si>
    <t>09-332-0236</t>
  </si>
  <si>
    <t>83-982-5300</t>
  </si>
  <si>
    <t>46-662-1571</t>
  </si>
  <si>
    <t>20-699-9217</t>
  </si>
  <si>
    <t>26-150-0209</t>
  </si>
  <si>
    <t>94-985-5336</t>
  </si>
  <si>
    <t>97-715-3606</t>
  </si>
  <si>
    <t>02-100-4320</t>
  </si>
  <si>
    <t>16-070-0138</t>
  </si>
  <si>
    <t>82-474-5074</t>
  </si>
  <si>
    <t>36-444-5336</t>
  </si>
  <si>
    <t>54-680-5344</t>
  </si>
  <si>
    <t>16-364-8096</t>
  </si>
  <si>
    <t>62-644-8183</t>
  </si>
  <si>
    <t>59-971-0799</t>
  </si>
  <si>
    <t>64-031-2046</t>
  </si>
  <si>
    <t>87-079-0237</t>
  </si>
  <si>
    <t>78-091-8662</t>
  </si>
  <si>
    <t>62-720-2922</t>
  </si>
  <si>
    <t>47-528-3961</t>
  </si>
  <si>
    <t>21-808-2293</t>
  </si>
  <si>
    <t>22-022-9256</t>
  </si>
  <si>
    <t>96-772-7220</t>
  </si>
  <si>
    <t>25-866-7286</t>
  </si>
  <si>
    <t>72-694-4159</t>
  </si>
  <si>
    <t>10-079-8237</t>
  </si>
  <si>
    <t>47-460-8015</t>
  </si>
  <si>
    <t>06-061-0023</t>
  </si>
  <si>
    <t>80-487-2550</t>
  </si>
  <si>
    <t>23-617-2637</t>
  </si>
  <si>
    <t>60-005-5187</t>
  </si>
  <si>
    <t>24-371-5870</t>
  </si>
  <si>
    <t>02-055-8248</t>
  </si>
  <si>
    <t>48-271-1908</t>
  </si>
  <si>
    <t>54-238-5459</t>
  </si>
  <si>
    <t>85-922-0190</t>
  </si>
  <si>
    <t>46-978-3874</t>
  </si>
  <si>
    <t>53-595-7635</t>
  </si>
  <si>
    <t>08-185-6608</t>
  </si>
  <si>
    <t>20-562-2569</t>
  </si>
  <si>
    <t>41-366-4205</t>
  </si>
  <si>
    <t>77-241-7621</t>
  </si>
  <si>
    <t>53-091-2176</t>
  </si>
  <si>
    <t>48-203-9118</t>
  </si>
  <si>
    <t>Packages</t>
  </si>
  <si>
    <t>Travel &amp; Leisure Flights</t>
  </si>
  <si>
    <t>True</t>
  </si>
  <si>
    <t>False</t>
  </si>
  <si>
    <t>Total Pembelian Berdasarkan Gender</t>
  </si>
  <si>
    <t>Total Pembelian Berdasarkan Income Level</t>
  </si>
  <si>
    <t>Income Level</t>
  </si>
  <si>
    <t>Purchase Category</t>
  </si>
  <si>
    <t>Frequency of Purchase</t>
  </si>
  <si>
    <t>3 Kota teratas dengan pelanggan paling aktif</t>
  </si>
  <si>
    <t>Column Labels</t>
  </si>
  <si>
    <t>Kategori Loyalitas Pembeli</t>
  </si>
  <si>
    <t>Count of Discount_Used</t>
  </si>
  <si>
    <t>Sum of Purchase_Amount (Rp)</t>
  </si>
  <si>
    <t>Berapa total pembelian berdasarkan gender dan income level?</t>
  </si>
  <si>
    <t>5 Kategori Produk Teratas</t>
  </si>
  <si>
    <t>Jumlah Pembelian</t>
  </si>
  <si>
    <t>Tanpa Diskon</t>
  </si>
  <si>
    <t>Diskon</t>
  </si>
  <si>
    <t>10 - 12 Pembelian</t>
  </si>
  <si>
    <t>2 - 5 Pembelian</t>
  </si>
  <si>
    <t>6 - 9 Pembelian</t>
  </si>
  <si>
    <r>
      <t xml:space="preserve">Berdasarkan perhitungan frekuensi pembelian pada masing-masing kategori, terdapat 5 kategori dengan jumlah pembelian terbanyak, yaitu </t>
    </r>
    <r>
      <rPr>
        <b/>
        <i/>
        <sz val="12"/>
        <color rgb="FF000000"/>
        <rFont val="Arial"/>
        <family val="2"/>
        <scheme val="minor"/>
      </rPr>
      <t>Electronics, Home Appliances, Toys &amp; Games, Furniture, dan Sports &amp; Outdoors.</t>
    </r>
  </si>
  <si>
    <r>
      <t xml:space="preserve">Berdasarkan gender, total pembelian untuk perempuan adalah </t>
    </r>
    <r>
      <rPr>
        <b/>
        <i/>
        <sz val="12"/>
        <color rgb="FF000000"/>
        <rFont val="Arial"/>
        <family val="2"/>
        <scheme val="minor"/>
      </rPr>
      <t>Rp2.277.374.080</t>
    </r>
    <r>
      <rPr>
        <i/>
        <sz val="12"/>
        <color rgb="FF000000"/>
        <rFont val="Arial"/>
        <family val="2"/>
        <scheme val="minor"/>
      </rPr>
      <t xml:space="preserve">, sedangkan untuk laki-laki adalah </t>
    </r>
    <r>
      <rPr>
        <b/>
        <i/>
        <sz val="12"/>
        <color rgb="FF000000"/>
        <rFont val="Arial"/>
        <family val="2"/>
        <scheme val="minor"/>
      </rPr>
      <t>Rp1.986.116.060</t>
    </r>
    <r>
      <rPr>
        <i/>
        <sz val="12"/>
        <color rgb="FF000000"/>
        <rFont val="Arial"/>
        <family val="2"/>
        <scheme val="minor"/>
      </rPr>
      <t xml:space="preserve">. Hal ini menunjukkan bahwa </t>
    </r>
    <r>
      <rPr>
        <b/>
        <i/>
        <sz val="12"/>
        <color rgb="FF000000"/>
        <rFont val="Arial"/>
        <family val="2"/>
        <scheme val="minor"/>
      </rPr>
      <t>minat beli pada perempuan lebih tinggi</t>
    </r>
    <r>
      <rPr>
        <i/>
        <sz val="12"/>
        <color rgb="FF000000"/>
        <rFont val="Arial"/>
        <family val="2"/>
        <scheme val="minor"/>
      </rPr>
      <t xml:space="preserve"> dibandingkan laki-laki. Adapun berdasarkan income level, pembeli dengan </t>
    </r>
    <r>
      <rPr>
        <b/>
        <i/>
        <sz val="12"/>
        <color rgb="FF000000"/>
        <rFont val="Arial"/>
        <family val="2"/>
        <scheme val="minor"/>
      </rPr>
      <t>income level yang tinggi</t>
    </r>
    <r>
      <rPr>
        <i/>
        <sz val="12"/>
        <color rgb="FF000000"/>
        <rFont val="Arial"/>
        <family val="2"/>
        <scheme val="minor"/>
      </rPr>
      <t xml:space="preserve"> memiliki riwayat </t>
    </r>
    <r>
      <rPr>
        <b/>
        <i/>
        <sz val="12"/>
        <color rgb="FF000000"/>
        <rFont val="Arial"/>
        <family val="2"/>
        <scheme val="minor"/>
      </rPr>
      <t>pembelian yang lebih banyak</t>
    </r>
    <r>
      <rPr>
        <i/>
        <sz val="12"/>
        <color rgb="FF000000"/>
        <rFont val="Arial"/>
        <family val="2"/>
        <scheme val="minor"/>
      </rPr>
      <t xml:space="preserve"> dibandingkan pembeli dengan income level menengah.</t>
    </r>
  </si>
  <si>
    <r>
      <t xml:space="preserve">Kota dengan pembelian terbanyak adalah </t>
    </r>
    <r>
      <rPr>
        <b/>
        <i/>
        <sz val="12"/>
        <color rgb="FF000000"/>
        <rFont val="Arial"/>
        <family val="2"/>
        <scheme val="minor"/>
      </rPr>
      <t>Bandung</t>
    </r>
    <r>
      <rPr>
        <i/>
        <sz val="12"/>
        <color rgb="FF000000"/>
        <rFont val="Arial"/>
        <family val="2"/>
        <scheme val="minor"/>
      </rPr>
      <t xml:space="preserve"> dengan </t>
    </r>
    <r>
      <rPr>
        <b/>
        <i/>
        <sz val="12"/>
        <color rgb="FF000000"/>
        <rFont val="Arial"/>
        <family val="2"/>
        <scheme val="minor"/>
      </rPr>
      <t>1260</t>
    </r>
    <r>
      <rPr>
        <i/>
        <sz val="12"/>
        <color rgb="FF000000"/>
        <rFont val="Arial"/>
        <family val="2"/>
        <scheme val="minor"/>
      </rPr>
      <t xml:space="preserve"> pembelian, </t>
    </r>
    <r>
      <rPr>
        <b/>
        <i/>
        <sz val="12"/>
        <color rgb="FF000000"/>
        <rFont val="Arial"/>
        <family val="2"/>
        <scheme val="minor"/>
      </rPr>
      <t>Makassar</t>
    </r>
    <r>
      <rPr>
        <i/>
        <sz val="12"/>
        <color rgb="FF000000"/>
        <rFont val="Arial"/>
        <family val="2"/>
        <scheme val="minor"/>
      </rPr>
      <t xml:space="preserve"> dengan </t>
    </r>
    <r>
      <rPr>
        <b/>
        <i/>
        <sz val="12"/>
        <color rgb="FF000000"/>
        <rFont val="Arial"/>
        <family val="2"/>
        <scheme val="minor"/>
      </rPr>
      <t>1195</t>
    </r>
    <r>
      <rPr>
        <i/>
        <sz val="12"/>
        <color rgb="FF000000"/>
        <rFont val="Arial"/>
        <family val="2"/>
        <scheme val="minor"/>
      </rPr>
      <t xml:space="preserve"> pembelian, dan </t>
    </r>
    <r>
      <rPr>
        <b/>
        <i/>
        <sz val="12"/>
        <color rgb="FF000000"/>
        <rFont val="Arial"/>
        <family val="2"/>
        <scheme val="minor"/>
      </rPr>
      <t>Jakarta</t>
    </r>
    <r>
      <rPr>
        <i/>
        <sz val="12"/>
        <color rgb="FF000000"/>
        <rFont val="Arial"/>
        <family val="2"/>
        <scheme val="minor"/>
      </rPr>
      <t xml:space="preserve"> dengan </t>
    </r>
    <r>
      <rPr>
        <b/>
        <i/>
        <sz val="12"/>
        <color rgb="FF000000"/>
        <rFont val="Arial"/>
        <family val="2"/>
        <scheme val="minor"/>
      </rPr>
      <t>1122</t>
    </r>
    <r>
      <rPr>
        <i/>
        <sz val="12"/>
        <color rgb="FF000000"/>
        <rFont val="Arial"/>
        <family val="2"/>
        <scheme val="minor"/>
      </rPr>
      <t xml:space="preserve"> pembelian.</t>
    </r>
  </si>
  <si>
    <t>Pembeli yang menggunakan diskon</t>
  </si>
  <si>
    <r>
      <t xml:space="preserve">Iya! Hal ini terbukti dari data yang menunjukkan bahwa rata-rata pembeli dengan total pembelian terbanyak (yaitu 10 - 12) cenderung menggunakan diskon. Sebanyak </t>
    </r>
    <r>
      <rPr>
        <b/>
        <i/>
        <sz val="12"/>
        <color rgb="FF000000"/>
        <rFont val="Arial"/>
        <family val="2"/>
        <scheme val="minor"/>
      </rPr>
      <t>56,25%</t>
    </r>
    <r>
      <rPr>
        <i/>
        <sz val="12"/>
        <color rgb="FF000000"/>
        <rFont val="Arial"/>
        <family val="2"/>
        <scheme val="minor"/>
      </rPr>
      <t xml:space="preserve"> pembeli dengan jumlah pembelian 12 menggunakan diskon, sedangkan sisanya tidak menggunakan diskon, yaitu sebanyak </t>
    </r>
    <r>
      <rPr>
        <b/>
        <i/>
        <sz val="12"/>
        <color rgb="FF000000"/>
        <rFont val="Arial"/>
        <family val="2"/>
        <scheme val="minor"/>
      </rPr>
      <t>43,75%.</t>
    </r>
    <r>
      <rPr>
        <i/>
        <sz val="12"/>
        <color rgb="FF000000"/>
        <rFont val="Arial"/>
        <family val="2"/>
        <scheme val="minor"/>
      </rPr>
      <t xml:space="preserve"> </t>
    </r>
  </si>
  <si>
    <t>Pengaruh Sosial Media</t>
  </si>
  <si>
    <t>Kelompok High mencatat angka tertinggi, yang menunjukkan bahwa strategi social media marketing berhasil menjangkau dan mengonversi audiens yang sangat aktif secara digital menjadi pembeli. Akan tetapi, pembelian pada kelompok none justru lebih tinggi dibandingkan pada kelompok Medium. Selain itu, pada kelompok Low dan None menghasilkan pembelian yang tinggi, yaitu sebesar 50,12%. Hal ini menunjukkan ada faktor lain yang memiliki pengaruh besar pada pembelian, seperti loyalitas pelanggan lama, kekuatan produk (product quality), rekomendasi dari mulut ke mulut (word of mouth), atau keberadaan toko fisik</t>
  </si>
  <si>
    <t>PEMBELIAN BERDASARKAN GENDER</t>
  </si>
  <si>
    <t>PEMBELIAN BERDASARKAN INCOME LEVEL</t>
  </si>
  <si>
    <t>PELANGGAN DENGAN PEMBELIAN TINGGI (10-12)</t>
  </si>
  <si>
    <t>PENGARUH SOSIAL MEDIA TERHADAP PEMBELIAN</t>
  </si>
  <si>
    <t>UNIT TERJUAL</t>
  </si>
  <si>
    <t>TOTAL REVENUE</t>
  </si>
  <si>
    <t>Total</t>
  </si>
  <si>
    <t>PENJUALAN TERBANYAK</t>
  </si>
  <si>
    <t xml:space="preserve">A. Berdasarkan gender, total pembelian untuk perempuan adalah Rp2.277.374.080, sedangkan untuk laki-laki adalah Rp1.986.116.060. 
B. Adapun berdasarkan income level, pembeli dengan income level yang tinggi memiliki riwayat pembelian yang lebih banyak dibandingkan pembeli dengan income level menengah.						
						</t>
  </si>
  <si>
    <t>A. Pembelian lebih banyak dilakukan oleh perempuan, menunjukkan minat beli yang lebih tinggi dibandingkan laki-laki
B. Pembelian masih didominasi oleh orang-orang dengan finansial tingkat atas</t>
  </si>
  <si>
    <r>
      <t xml:space="preserve">A. </t>
    </r>
    <r>
      <rPr>
        <b/>
        <sz val="12"/>
        <color theme="1"/>
        <rFont val="Arial"/>
        <family val="2"/>
      </rPr>
      <t xml:space="preserve">Targeting Ads &amp; Influencer: </t>
    </r>
    <r>
      <rPr>
        <sz val="12"/>
        <color theme="1"/>
        <rFont val="Arial"/>
        <family val="2"/>
      </rPr>
      <t xml:space="preserve">Mengalokasikan anggaran iklan digital lebih besar pada segmen perempuan, serta berkolaborasi dengan key opinion leaders (KOL) perempuan yang fokus pada home living atau dekorasi luar ruangan.
</t>
    </r>
    <r>
      <rPr>
        <b/>
        <sz val="12"/>
        <color theme="1"/>
        <rFont val="Arial"/>
        <family val="2"/>
      </rPr>
      <t>Bundling Produk:</t>
    </r>
    <r>
      <rPr>
        <sz val="12"/>
        <color theme="1"/>
        <rFont val="Arial"/>
        <family val="2"/>
      </rPr>
      <t xml:space="preserve"> Membuat paket produk "Mom &amp; Kids Gardening" atau dekorasi taman estetik yang cenderung menarik minat beli perempuan untuk memperkuat dominasi pasar di segmen ini.
B. </t>
    </r>
    <r>
      <rPr>
        <b/>
        <sz val="12"/>
        <color theme="1"/>
        <rFont val="Arial"/>
        <family val="2"/>
      </rPr>
      <t>Program Loyalitas Eksklusif</t>
    </r>
    <r>
      <rPr>
        <sz val="12"/>
        <color theme="1"/>
        <rFont val="Arial"/>
        <family val="2"/>
      </rPr>
      <t xml:space="preserve">: Meluncurkan program membership premium atau layanan concierge bagi pembeli dengan income tinggi untuk menjaga retention (pembelian berulang).
</t>
    </r>
    <r>
      <rPr>
        <b/>
        <sz val="12"/>
        <color theme="1"/>
        <rFont val="Arial"/>
        <family val="2"/>
      </rPr>
      <t xml:space="preserve">Up-selling Produk Premium: </t>
    </r>
    <r>
      <rPr>
        <sz val="12"/>
        <color theme="1"/>
        <rFont val="Arial"/>
        <family val="2"/>
      </rPr>
      <t>Menawarkan produk-produk kategori "Gardening &amp; Outdoors" kelas atas (seperti alat otomatisasi taman atau furnitur luar ruang berkualitas tinggi) melalui personalized email marketing yang menonjolkan kualitas dan eksklusivitas.</t>
    </r>
  </si>
  <si>
    <t>Konsumen cenderung memprioritaskan pembelian barang elektronik dibandingkan kategori lainnya, kemungkinan didorong oleh tren gaya hidup digital atau kebutuhan fungsional.</t>
  </si>
  <si>
    <t>1. Optimalisasi Stok &amp; SKU: Memastikan ketersediaan stok produk best-seller di kategori Electronics dan memperluas variasi produk pada sub-kategori yang paling banyak dicari (misalnya aksesori atau model terbaru).
2. Cross-selling dengan Aksesori: Mengimplementasikan strategi penjualan silang (misalnya: menawarkan pelindung layar atau casing setiap pembelian ponsel)
3. Program Cicilan atau Trade-in: Mengingat produk elektronik biasanya memiliki harga satuan yang tinggi, penyediaan opsi pembayaran cicilan 0% atau program tukar tambah (trade-in) dapat mendorong konversi penjualan yang lebih besar.</t>
  </si>
  <si>
    <t>Kota Bandung</t>
  </si>
  <si>
    <t>Kota Bandung memiliki ekosistem konsumen yang sangat dinamis dengan loyalitas yang tinggi, ditunjukkan oleh frekuensi pembelian yang lebih sering dibandingkan kota lain.</t>
  </si>
  <si>
    <t>1. Event Offline &amp; Pop-up Store: Menyelenggarakan acara komunitas, workshop, atau pop-up store di Bandung untuk memperkuat hubungan dengan basis pelanggan paling aktif dan meningkatkan brand awareness secara langsung.
2. Efisiensi Logistik &amp; Same-day Delivery: Mengoptimalkan pusat distribusi atau bekerja sama dengan kurir lokal di area Bandung untuk menawarkan opsi pengiriman instan (same-day) guna menjaga kepuasan pelanggan yang memiliki ekspektasi kecepatan belanja tinggi.</t>
  </si>
  <si>
    <t>Iya benar</t>
  </si>
  <si>
    <t>Penggunaan diskon yang tinggi pada kelompok ini menunjukkan bahwa mereka aktif memantau promosi sebelum memutuskan untuk berbelanja (pemburu promo atau deal hunters).</t>
  </si>
  <si>
    <t>1. Menyelenggarakan promo kilat secara berkala di jam-jam sibuk yang dikhususkan untuk pelanggan dengan riwayat transaksi tinggi guna menjaga momentum pembelian mereka.
2. Menggunakan fitur seperti "Spin the Wheel" atau tantangan belanja tertentu untuk mendapatkan diskon tambahan, mengingat kelompok aktif ini biasanya lebih interaktif terhadap fitur-fitur di aplikasi atau platform.</t>
  </si>
  <si>
    <t>Kelompok High: Mencatat angka tertinggi, membuktikan social media marketing sangat efektif untuk audiens yang sangat aktif secara digital.
Kelompok None vs Medium: Pembelian pada kelompok None (tanpa medsos) justru lebih tinggi daripada kelompok Medium.
Kelompok Low &amp; None: Gabungan keduanya menyumbang porsi besar (50,12%). Ini menandakan adanya faktor kuat di luar media sosial seperti kualitas produk, loyalitas lama, word of mouth, atau toko fisik.</t>
  </si>
  <si>
    <t>Media sosial adalah mesin pertumbuhan yang kuat untuk segmen baru/aktif (High), namun bukan satu-satunya penentu penjualan.
Terdapat ketergantungan yang tinggi pada metode pemasaran konvensional atau organik, mengingat lebih dari separuh total pembelian (50,12%) datang dari pelanggan yang minim atau tidak terpapar interaksi media sosial.
Strategi pemasaran saat ini masih memiliki celah (gap) dalam mengonversi audiens kategori Medium menjadi pembeli aktif.</t>
  </si>
  <si>
    <t>1. Tidak hanya fokus di digital. Memperkuat kanal pemasaran offline atau direct marketing (seperti WhatsApp atau SMS) untuk menjaga basis pelanggan kelompok None dan Low.
2. Karena word of mouth terbukti berpengaruh besar, buatlah program yang memberi insentif kepada pembeli lama jika mereka memberikan ulasan atau merekomendasikan produk ke teman.
3. Melakukan evaluasi pada konten media sosial untuk kelompok Medium. Menggunakan pendekatan konten yang lebih informatif (edukasi produk) daripada sekadar iklan estetik untuk mendorong mereka ke kelompok High.</t>
  </si>
  <si>
    <t>10</t>
  </si>
  <si>
    <t>11</t>
  </si>
  <si>
    <t>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</si>
</sst>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5" formatCode="&quot;Rp&quot;#,##0_);\(&quot;Rp&quot;#,##0\)"/>
    <numFmt numFmtId="42" formatCode="_(&quot;Rp&quot;* #,##0_);_(&quot;Rp&quot;* \(#,##0\);_(&quot;Rp&quot;* &quot;-&quot;_);_(@_)"/>
    <numFmt numFmtId="164" formatCode="&quot;Rp&quot;#,##0"/>
  </numFmts>
  <fonts count="41">
    <font>
      <sz val="10"/>
      <color rgb="FF000000"/>
      <name val="Arial"/>
      <scheme val="minor"/>
    </font>
    <font>
      <sz val="10"/>
      <color theme="1"/>
      <name val="Arial"/>
      <family val="2"/>
    </font>
    <font>
      <b/>
      <sz val="17"/>
      <color rgb="FFFFFFFF"/>
      <name val="DM Sans"/>
    </font>
    <font>
      <b/>
      <sz val="10"/>
      <color theme="1"/>
      <name val="DM Sans"/>
    </font>
    <font>
      <sz val="10"/>
      <name val="Arial"/>
      <family val="2"/>
    </font>
    <font>
      <b/>
      <sz val="10"/>
      <color rgb="FF0000FF"/>
      <name val="DM Sans"/>
    </font>
    <font>
      <sz val="10"/>
      <color theme="1"/>
      <name val="DM Sans"/>
    </font>
    <font>
      <b/>
      <sz val="11"/>
      <color theme="1"/>
      <name val="DM Sans"/>
    </font>
    <font>
      <sz val="10"/>
      <color rgb="FF000000"/>
      <name val="DM Sans"/>
    </font>
    <font>
      <b/>
      <sz val="10"/>
      <color rgb="FFFFFFFF"/>
      <name val="DM Sans"/>
    </font>
    <font>
      <b/>
      <sz val="12"/>
      <color theme="1"/>
      <name val="DM Sans"/>
    </font>
    <font>
      <sz val="10"/>
      <color rgb="FF000000"/>
      <name val="DM Sans"/>
    </font>
    <font>
      <sz val="10"/>
      <color theme="1"/>
      <name val="Arial"/>
      <family val="2"/>
      <scheme val="minor"/>
    </font>
    <font>
      <b/>
      <sz val="9"/>
      <color rgb="FFFFFFFF"/>
      <name val="DM Sans"/>
    </font>
    <font>
      <b/>
      <sz val="12"/>
      <color rgb="FFFFFFFF"/>
      <name val="DM Sans"/>
    </font>
    <font>
      <b/>
      <sz val="10"/>
      <name val="DM Sans"/>
    </font>
    <font>
      <b/>
      <u/>
      <sz val="10"/>
      <color rgb="FF1155CC"/>
      <name val="DM Sans"/>
    </font>
    <font>
      <b/>
      <sz val="10"/>
      <color rgb="FF980000"/>
      <name val="DM Sans"/>
    </font>
    <font>
      <sz val="10"/>
      <color rgb="FF000000"/>
      <name val="Arial"/>
      <family val="2"/>
      <scheme val="minor"/>
    </font>
    <font>
      <b/>
      <sz val="10"/>
      <color rgb="FFFFFFFF"/>
      <name val="Inter"/>
    </font>
    <font>
      <b/>
      <sz val="10"/>
      <color rgb="FFFFFFFF"/>
      <name val="&quot;DM Sans&quot;"/>
    </font>
    <font>
      <sz val="10"/>
      <color theme="1"/>
      <name val="Inter"/>
    </font>
    <font>
      <sz val="10"/>
      <color rgb="FF000000"/>
      <name val="&quot;DM Sans&quot;"/>
    </font>
    <font>
      <sz val="10"/>
      <color rgb="FF000000"/>
      <name val="Inter"/>
    </font>
    <font>
      <i/>
      <sz val="12"/>
      <color rgb="FF000000"/>
      <name val="Arial"/>
      <family val="2"/>
      <scheme val="minor"/>
    </font>
    <font>
      <sz val="12"/>
      <color theme="1"/>
      <name val="DM Sans"/>
    </font>
    <font>
      <sz val="12"/>
      <color rgb="FF000000"/>
      <name val="Arial"/>
      <family val="2"/>
      <scheme val="minor"/>
    </font>
    <font>
      <b/>
      <sz val="12"/>
      <color rgb="FF000000"/>
      <name val="Arial"/>
      <family val="2"/>
      <scheme val="minor"/>
    </font>
    <font>
      <sz val="12"/>
      <name val="Arial"/>
      <family val="2"/>
      <scheme val="minor"/>
    </font>
    <font>
      <b/>
      <i/>
      <sz val="12"/>
      <color rgb="FF000000"/>
      <name val="Arial"/>
      <family val="2"/>
      <scheme val="minor"/>
    </font>
    <font>
      <b/>
      <sz val="16"/>
      <color rgb="FF000000"/>
      <name val="Arial"/>
      <family val="2"/>
      <scheme val="major"/>
    </font>
    <font>
      <b/>
      <sz val="18"/>
      <color theme="0"/>
      <name val="Arial"/>
      <family val="2"/>
      <scheme val="major"/>
    </font>
    <font>
      <b/>
      <sz val="11"/>
      <color theme="0"/>
      <name val="Arial"/>
      <family val="2"/>
      <scheme val="minor"/>
    </font>
    <font>
      <b/>
      <sz val="11"/>
      <color rgb="FFFFFFFF"/>
      <name val="DM Sans"/>
    </font>
    <font>
      <sz val="11"/>
      <name val="Arial"/>
      <family val="2"/>
    </font>
    <font>
      <b/>
      <sz val="18"/>
      <color theme="1"/>
      <name val="Arial"/>
      <family val="2"/>
      <scheme val="major"/>
    </font>
    <font>
      <b/>
      <sz val="18"/>
      <name val="Arial"/>
      <family val="2"/>
      <scheme val="major"/>
    </font>
    <font>
      <sz val="12"/>
      <color theme="1"/>
      <name val="Arial"/>
      <family val="2"/>
    </font>
    <font>
      <i/>
      <sz val="12"/>
      <color theme="1"/>
      <name val="DM Sans"/>
    </font>
    <font>
      <b/>
      <sz val="12"/>
      <color theme="1"/>
      <name val="Arial"/>
      <family val="2"/>
    </font>
    <font>
      <sz val="12"/>
      <color rgb="FF000000"/>
      <name val="Arial"/>
      <family val="2"/>
    </font>
  </fonts>
  <fills count="26">
    <fill>
      <patternFill patternType="none"/>
    </fill>
    <fill>
      <patternFill patternType="gray125"/>
    </fill>
    <fill>
      <patternFill patternType="solid">
        <fgColor rgb="FFFFFF00"/>
        <bgColor rgb="FFFFFF00"/>
      </patternFill>
    </fill>
    <fill>
      <patternFill patternType="solid">
        <fgColor rgb="FF000000"/>
        <bgColor rgb="FF000000"/>
      </patternFill>
    </fill>
    <fill>
      <patternFill patternType="solid">
        <fgColor theme="7"/>
        <bgColor theme="7"/>
      </patternFill>
    </fill>
    <fill>
      <patternFill patternType="solid">
        <fgColor rgb="FF00FF00"/>
        <bgColor rgb="FF00FF00"/>
      </patternFill>
    </fill>
    <fill>
      <patternFill patternType="solid">
        <fgColor rgb="FF0000FF"/>
        <bgColor rgb="FF0000FF"/>
      </patternFill>
    </fill>
    <fill>
      <patternFill patternType="solid">
        <fgColor rgb="FFFF9900"/>
        <bgColor rgb="FFFF9900"/>
      </patternFill>
    </fill>
    <fill>
      <patternFill patternType="solid">
        <fgColor rgb="FFFF0000"/>
        <bgColor rgb="FFFF0000"/>
      </patternFill>
    </fill>
    <fill>
      <patternFill patternType="solid">
        <fgColor theme="7"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2F649F"/>
        <bgColor rgb="FF0000FF"/>
      </patternFill>
    </fill>
    <fill>
      <patternFill patternType="solid">
        <fgColor rgb="FF2F649F"/>
        <bgColor indexed="64"/>
      </patternFill>
    </fill>
    <fill>
      <patternFill patternType="solid">
        <fgColor rgb="FFF6FEED"/>
        <bgColor rgb="FFD9D2E9"/>
      </patternFill>
    </fill>
    <fill>
      <patternFill patternType="solid">
        <fgColor rgb="FFF6FEED"/>
        <bgColor indexed="64"/>
      </patternFill>
    </fill>
    <fill>
      <patternFill patternType="solid">
        <fgColor rgb="FFF6FEED"/>
        <bgColor rgb="FFFFF2CC"/>
      </patternFill>
    </fill>
    <fill>
      <patternFill patternType="solid">
        <fgColor rgb="FFF6FEED"/>
        <bgColor rgb="FFD9EAD3"/>
      </patternFill>
    </fill>
    <fill>
      <patternFill patternType="solid">
        <fgColor rgb="FFF6FEED"/>
        <bgColor rgb="FFEAD1DC"/>
      </patternFill>
    </fill>
    <fill>
      <patternFill patternType="solid">
        <fgColor rgb="FF2F649F"/>
        <bgColor rgb="FFFF00FF"/>
      </patternFill>
    </fill>
    <fill>
      <patternFill patternType="solid">
        <fgColor rgb="FF2F649F"/>
        <bgColor rgb="FFFF9900"/>
      </patternFill>
    </fill>
    <fill>
      <patternFill patternType="solid">
        <fgColor rgb="FF2F649F"/>
        <bgColor rgb="FF00FF00"/>
      </patternFill>
    </fill>
    <fill>
      <patternFill patternType="solid">
        <fgColor rgb="FF00B050"/>
        <bgColor indexed="64"/>
      </patternFill>
    </fill>
    <fill>
      <patternFill patternType="solid">
        <fgColor theme="0"/>
        <bgColor indexed="64"/>
      </patternFill>
    </fill>
    <fill>
      <patternFill patternType="solid">
        <fgColor rgb="FFEFFEDE"/>
        <bgColor indexed="64"/>
      </patternFill>
    </fill>
    <fill>
      <patternFill patternType="solid">
        <fgColor rgb="FFF0FFDF"/>
        <bgColor indexed="64"/>
      </patternFill>
    </fill>
  </fills>
  <borders count="2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style="thin">
        <color rgb="FFFFFFFF"/>
      </left>
      <right/>
      <top/>
      <bottom/>
      <diagonal/>
    </border>
    <border>
      <left/>
      <right style="thin">
        <color rgb="FFFFFFFF"/>
      </right>
      <top/>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style="thin">
        <color rgb="FF000000"/>
      </left>
      <right/>
      <top style="thin">
        <color rgb="FF000000"/>
      </top>
      <bottom style="thin">
        <color rgb="FFFFFFFF"/>
      </bottom>
      <diagonal/>
    </border>
    <border>
      <left/>
      <right/>
      <top style="thin">
        <color rgb="FF000000"/>
      </top>
      <bottom style="thin">
        <color rgb="FFFFFFFF"/>
      </bottom>
      <diagonal/>
    </border>
    <border>
      <left/>
      <right style="thin">
        <color rgb="FFFFFFFF"/>
      </right>
      <top style="thin">
        <color rgb="FF000000"/>
      </top>
      <bottom style="thin">
        <color rgb="FFFFFFFF"/>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s>
  <cellStyleXfs count="1">
    <xf numFmtId="0" fontId="0" fillId="0" borderId="0"/>
  </cellStyleXfs>
  <cellXfs count="120">
    <xf numFmtId="0" fontId="0" fillId="0" borderId="0" xfId="0"/>
    <xf numFmtId="0" fontId="1" fillId="2" borderId="1" xfId="0" applyFont="1" applyFill="1" applyBorder="1" applyAlignment="1">
      <alignment vertical="center"/>
    </xf>
    <xf numFmtId="0" fontId="2" fillId="3" borderId="1" xfId="0" applyFont="1" applyFill="1" applyBorder="1" applyAlignment="1">
      <alignment horizontal="center"/>
    </xf>
    <xf numFmtId="0" fontId="3" fillId="0" borderId="1" xfId="0" applyFont="1" applyBorder="1" applyAlignment="1">
      <alignment horizontal="center" vertical="center"/>
    </xf>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0" fontId="7" fillId="0" borderId="1" xfId="0" applyFont="1" applyBorder="1" applyAlignment="1">
      <alignment horizontal="center" vertical="center"/>
    </xf>
    <xf numFmtId="0" fontId="1" fillId="0" borderId="0" xfId="0" applyFont="1" applyAlignment="1">
      <alignment vertical="center"/>
    </xf>
    <xf numFmtId="0" fontId="1" fillId="0" borderId="0" xfId="0" applyFont="1"/>
    <xf numFmtId="0" fontId="9" fillId="4" borderId="1" xfId="0" applyFont="1" applyFill="1" applyBorder="1" applyAlignment="1">
      <alignment horizontal="center"/>
    </xf>
    <xf numFmtId="1" fontId="9" fillId="4" borderId="1" xfId="0" applyNumberFormat="1" applyFont="1" applyFill="1" applyBorder="1" applyAlignment="1">
      <alignment horizontal="center"/>
    </xf>
    <xf numFmtId="0" fontId="10" fillId="5" borderId="2" xfId="0" applyFont="1" applyFill="1" applyBorder="1" applyAlignment="1">
      <alignment horizontal="center" vertical="center"/>
    </xf>
    <xf numFmtId="0" fontId="10" fillId="2" borderId="1" xfId="0" applyFont="1" applyFill="1" applyBorder="1" applyAlignment="1">
      <alignment horizontal="center" vertical="center"/>
    </xf>
    <xf numFmtId="0" fontId="6" fillId="0" borderId="0" xfId="0" applyFont="1" applyAlignment="1">
      <alignment vertical="center"/>
    </xf>
    <xf numFmtId="0" fontId="6" fillId="0" borderId="1" xfId="0" applyFont="1" applyBorder="1" applyAlignment="1">
      <alignment vertical="center"/>
    </xf>
    <xf numFmtId="0" fontId="1" fillId="0" borderId="7" xfId="0" applyFont="1" applyBorder="1"/>
    <xf numFmtId="0" fontId="12" fillId="0" borderId="7" xfId="0" applyFont="1" applyBorder="1"/>
    <xf numFmtId="0" fontId="1" fillId="0" borderId="7" xfId="0" applyFont="1" applyBorder="1" applyAlignment="1">
      <alignment vertical="center"/>
    </xf>
    <xf numFmtId="0" fontId="14" fillId="7" borderId="1" xfId="0" applyFont="1" applyFill="1" applyBorder="1" applyAlignment="1">
      <alignment horizontal="center" vertical="center"/>
    </xf>
    <xf numFmtId="0" fontId="14" fillId="7" borderId="1" xfId="0" applyFont="1" applyFill="1" applyBorder="1" applyAlignment="1">
      <alignment horizontal="center" vertical="center" wrapText="1"/>
    </xf>
    <xf numFmtId="0" fontId="12" fillId="0" borderId="0" xfId="0" applyFont="1" applyAlignment="1">
      <alignment vertical="center"/>
    </xf>
    <xf numFmtId="0" fontId="19" fillId="6" borderId="1" xfId="0" applyFont="1" applyFill="1" applyBorder="1" applyAlignment="1">
      <alignment horizontal="center"/>
    </xf>
    <xf numFmtId="0" fontId="20" fillId="6" borderId="1" xfId="0" applyFont="1" applyFill="1" applyBorder="1" applyAlignment="1">
      <alignment horizontal="center"/>
    </xf>
    <xf numFmtId="1" fontId="19" fillId="8" borderId="1" xfId="0" applyNumberFormat="1" applyFont="1" applyFill="1" applyBorder="1" applyAlignment="1">
      <alignment horizontal="center"/>
    </xf>
    <xf numFmtId="0" fontId="21" fillId="0" borderId="1" xfId="0" applyFont="1" applyBorder="1" applyAlignment="1">
      <alignment horizontal="center"/>
    </xf>
    <xf numFmtId="0" fontId="22" fillId="0" borderId="6" xfId="0" applyFont="1" applyBorder="1" applyAlignment="1">
      <alignment horizontal="center"/>
    </xf>
    <xf numFmtId="1" fontId="23" fillId="0" borderId="1" xfId="0" applyNumberFormat="1" applyFont="1" applyBorder="1" applyAlignment="1">
      <alignment horizontal="center"/>
    </xf>
    <xf numFmtId="1" fontId="21" fillId="0" borderId="1" xfId="0" applyNumberFormat="1" applyFont="1" applyBorder="1" applyAlignment="1">
      <alignment horizontal="center"/>
    </xf>
    <xf numFmtId="0" fontId="6" fillId="0" borderId="0" xfId="0" applyFont="1" applyAlignment="1">
      <alignment horizontal="center" vertical="center"/>
    </xf>
    <xf numFmtId="0" fontId="0" fillId="0" borderId="0" xfId="0" applyAlignment="1">
      <alignment horizontal="center"/>
    </xf>
    <xf numFmtId="1" fontId="0" fillId="0" borderId="0" xfId="0" applyNumberFormat="1" applyAlignment="1">
      <alignment horizontal="center"/>
    </xf>
    <xf numFmtId="0" fontId="0" fillId="0" borderId="0" xfId="0" applyAlignment="1">
      <alignment horizontal="center" vertical="center"/>
    </xf>
    <xf numFmtId="10" fontId="0" fillId="0" borderId="0" xfId="0" applyNumberFormat="1" applyAlignment="1">
      <alignment horizontal="center" vertical="center"/>
    </xf>
    <xf numFmtId="0" fontId="10" fillId="0" borderId="0" xfId="0" applyFont="1" applyAlignment="1">
      <alignment vertical="center"/>
    </xf>
    <xf numFmtId="0" fontId="18" fillId="0" borderId="0" xfId="0" applyFont="1" applyAlignment="1">
      <alignment vertical="center" wrapText="1"/>
    </xf>
    <xf numFmtId="0" fontId="26" fillId="0" borderId="0" xfId="0" pivotButton="1" applyFont="1"/>
    <xf numFmtId="0" fontId="26" fillId="0" borderId="0" xfId="0" applyFont="1" applyAlignment="1">
      <alignment horizontal="center"/>
    </xf>
    <xf numFmtId="0" fontId="26" fillId="0" borderId="0" xfId="0" applyFont="1" applyAlignment="1">
      <alignment horizontal="left"/>
    </xf>
    <xf numFmtId="3" fontId="26" fillId="0" borderId="0" xfId="0" applyNumberFormat="1" applyFont="1" applyAlignment="1">
      <alignment horizontal="center"/>
    </xf>
    <xf numFmtId="1" fontId="26" fillId="0" borderId="0" xfId="0" applyNumberFormat="1" applyFont="1" applyAlignment="1">
      <alignment horizontal="center"/>
    </xf>
    <xf numFmtId="0" fontId="26" fillId="0" borderId="0" xfId="0" pivotButton="1" applyFont="1" applyAlignment="1">
      <alignment horizontal="center"/>
    </xf>
    <xf numFmtId="0" fontId="26" fillId="0" borderId="0" xfId="0" applyFont="1"/>
    <xf numFmtId="0" fontId="26" fillId="0" borderId="0" xfId="0" pivotButton="1" applyFont="1" applyAlignment="1">
      <alignment horizontal="center" vertical="center"/>
    </xf>
    <xf numFmtId="0" fontId="26" fillId="0" borderId="0" xfId="0" applyFont="1" applyAlignment="1">
      <alignment horizontal="center" vertical="center"/>
    </xf>
    <xf numFmtId="1" fontId="26" fillId="0" borderId="0" xfId="0" applyNumberFormat="1" applyFont="1" applyAlignment="1">
      <alignment horizontal="center" vertical="center"/>
    </xf>
    <xf numFmtId="10" fontId="26" fillId="0" borderId="0" xfId="0" applyNumberFormat="1" applyFont="1" applyAlignment="1">
      <alignment horizontal="center" vertical="center"/>
    </xf>
    <xf numFmtId="0" fontId="4" fillId="15" borderId="12" xfId="0" applyFont="1" applyFill="1" applyBorder="1"/>
    <xf numFmtId="0" fontId="4" fillId="15" borderId="13" xfId="0" applyFont="1" applyFill="1" applyBorder="1"/>
    <xf numFmtId="0" fontId="4" fillId="15" borderId="14" xfId="0" applyFont="1" applyFill="1" applyBorder="1"/>
    <xf numFmtId="0" fontId="0" fillId="15" borderId="0" xfId="0" applyFill="1"/>
    <xf numFmtId="0" fontId="4" fillId="15" borderId="15" xfId="0" applyFont="1" applyFill="1" applyBorder="1"/>
    <xf numFmtId="0" fontId="4" fillId="15" borderId="16" xfId="0" applyFont="1" applyFill="1" applyBorder="1"/>
    <xf numFmtId="0" fontId="4" fillId="15" borderId="17" xfId="0" applyFont="1" applyFill="1" applyBorder="1"/>
    <xf numFmtId="0" fontId="4" fillId="15" borderId="18" xfId="0" applyFont="1" applyFill="1" applyBorder="1"/>
    <xf numFmtId="0" fontId="1" fillId="16" borderId="11" xfId="0" applyFont="1" applyFill="1" applyBorder="1"/>
    <xf numFmtId="0" fontId="1" fillId="18" borderId="11" xfId="0" applyFont="1" applyFill="1" applyBorder="1"/>
    <xf numFmtId="0" fontId="30" fillId="0" borderId="17" xfId="0" applyFont="1" applyBorder="1" applyAlignment="1">
      <alignment horizontal="center" vertical="center"/>
    </xf>
    <xf numFmtId="42" fontId="23" fillId="0" borderId="1" xfId="0" applyNumberFormat="1" applyFont="1" applyBorder="1" applyAlignment="1">
      <alignment horizontal="center"/>
    </xf>
    <xf numFmtId="0" fontId="31" fillId="0" borderId="0" xfId="0" applyFont="1" applyAlignment="1">
      <alignment vertical="center"/>
    </xf>
    <xf numFmtId="0" fontId="31" fillId="0" borderId="17" xfId="0" applyFont="1" applyBorder="1" applyAlignment="1">
      <alignment vertical="center"/>
    </xf>
    <xf numFmtId="0" fontId="1" fillId="23" borderId="7" xfId="0" applyFont="1" applyFill="1" applyBorder="1"/>
    <xf numFmtId="0" fontId="0" fillId="23" borderId="0" xfId="0" applyFill="1"/>
    <xf numFmtId="164" fontId="26" fillId="0" borderId="0" xfId="0" applyNumberFormat="1" applyFont="1" applyAlignment="1">
      <alignment horizontal="center" vertical="center"/>
    </xf>
    <xf numFmtId="1" fontId="0" fillId="0" borderId="0" xfId="0" applyNumberFormat="1"/>
    <xf numFmtId="0" fontId="25" fillId="2" borderId="1" xfId="0" applyFont="1" applyFill="1" applyBorder="1" applyAlignment="1">
      <alignment vertical="center" wrapText="1"/>
    </xf>
    <xf numFmtId="0" fontId="25" fillId="2" borderId="4" xfId="0" applyFont="1" applyFill="1" applyBorder="1" applyAlignment="1">
      <alignment vertical="center" wrapText="1"/>
    </xf>
    <xf numFmtId="0" fontId="25" fillId="0" borderId="1" xfId="0" applyFont="1" applyBorder="1" applyAlignment="1">
      <alignment horizontal="center" vertical="center"/>
    </xf>
    <xf numFmtId="0" fontId="37" fillId="0" borderId="23" xfId="0" applyFont="1" applyBorder="1" applyAlignment="1">
      <alignment vertical="center"/>
    </xf>
    <xf numFmtId="0" fontId="38" fillId="0" borderId="1" xfId="0" applyFont="1" applyBorder="1" applyAlignment="1">
      <alignment horizontal="center" vertical="center"/>
    </xf>
    <xf numFmtId="0" fontId="37" fillId="0" borderId="22" xfId="0" applyFont="1" applyBorder="1" applyAlignment="1">
      <alignment vertical="center" wrapText="1"/>
    </xf>
    <xf numFmtId="0" fontId="37" fillId="0" borderId="4" xfId="0" applyFont="1" applyBorder="1" applyAlignment="1">
      <alignment vertical="center" wrapText="1"/>
    </xf>
    <xf numFmtId="0" fontId="37" fillId="0" borderId="23" xfId="0" applyFont="1" applyBorder="1" applyAlignment="1">
      <alignment vertical="center" wrapText="1"/>
    </xf>
    <xf numFmtId="0" fontId="37" fillId="0" borderId="5" xfId="0" applyFont="1" applyBorder="1" applyAlignment="1">
      <alignment vertical="center" wrapText="1"/>
    </xf>
    <xf numFmtId="0" fontId="37" fillId="0" borderId="24" xfId="0" applyFont="1" applyBorder="1" applyAlignment="1">
      <alignment vertical="center" wrapText="1"/>
    </xf>
    <xf numFmtId="0" fontId="37" fillId="0" borderId="6" xfId="0" applyFont="1" applyBorder="1" applyAlignment="1">
      <alignment vertical="center" wrapText="1"/>
    </xf>
    <xf numFmtId="0" fontId="40" fillId="0" borderId="1" xfId="0" applyFont="1" applyBorder="1" applyAlignment="1">
      <alignment vertical="center" wrapText="1"/>
    </xf>
    <xf numFmtId="10" fontId="28" fillId="0" borderId="0" xfId="0" applyNumberFormat="1" applyFont="1" applyAlignment="1">
      <alignment horizontal="center" vertical="center"/>
    </xf>
    <xf numFmtId="1" fontId="28" fillId="0" borderId="0" xfId="0" applyNumberFormat="1" applyFont="1" applyAlignment="1">
      <alignment horizontal="center" vertical="center"/>
    </xf>
    <xf numFmtId="0" fontId="7" fillId="0" borderId="4" xfId="0" applyFont="1" applyBorder="1" applyAlignment="1">
      <alignment horizontal="center" vertical="center"/>
    </xf>
    <xf numFmtId="0" fontId="4" fillId="0" borderId="5" xfId="0" applyFont="1" applyBorder="1"/>
    <xf numFmtId="0" fontId="4" fillId="0" borderId="6" xfId="0" applyFont="1" applyBorder="1"/>
    <xf numFmtId="0" fontId="1" fillId="0" borderId="2" xfId="0" applyFont="1" applyBorder="1" applyAlignment="1">
      <alignment vertical="center"/>
    </xf>
    <xf numFmtId="0" fontId="4" fillId="0" borderId="3" xfId="0" applyFont="1" applyBorder="1"/>
    <xf numFmtId="0" fontId="3" fillId="0" borderId="4" xfId="0" applyFont="1" applyBorder="1" applyAlignment="1">
      <alignment horizontal="center" vertical="center"/>
    </xf>
    <xf numFmtId="0" fontId="26" fillId="9" borderId="0" xfId="0" applyFont="1" applyFill="1" applyAlignment="1">
      <alignment horizontal="center"/>
    </xf>
    <xf numFmtId="0" fontId="24" fillId="10" borderId="0" xfId="0" applyFont="1" applyFill="1" applyAlignment="1">
      <alignment horizontal="left" vertical="center" wrapText="1"/>
    </xf>
    <xf numFmtId="0" fontId="27" fillId="11" borderId="0" xfId="0" applyFont="1" applyFill="1" applyAlignment="1">
      <alignment horizontal="center"/>
    </xf>
    <xf numFmtId="0" fontId="25" fillId="9" borderId="0" xfId="0" applyFont="1" applyFill="1" applyAlignment="1">
      <alignment horizontal="center" vertical="center"/>
    </xf>
    <xf numFmtId="0" fontId="32" fillId="22" borderId="0" xfId="0" applyFont="1" applyFill="1" applyAlignment="1">
      <alignment horizontal="center" vertical="center"/>
    </xf>
    <xf numFmtId="0" fontId="35" fillId="24" borderId="0" xfId="0" applyFont="1" applyFill="1" applyAlignment="1">
      <alignment horizontal="center" vertical="center"/>
    </xf>
    <xf numFmtId="5" fontId="35" fillId="24" borderId="0" xfId="0" applyNumberFormat="1" applyFont="1" applyFill="1" applyAlignment="1">
      <alignment horizontal="center" vertical="center"/>
    </xf>
    <xf numFmtId="0" fontId="33" fillId="12" borderId="8" xfId="0" applyFont="1" applyFill="1" applyBorder="1" applyAlignment="1">
      <alignment horizontal="center"/>
    </xf>
    <xf numFmtId="0" fontId="34" fillId="13" borderId="9" xfId="0" applyFont="1" applyFill="1" applyBorder="1"/>
    <xf numFmtId="0" fontId="34" fillId="13" borderId="10" xfId="0" applyFont="1" applyFill="1" applyBorder="1"/>
    <xf numFmtId="0" fontId="1" fillId="14" borderId="11" xfId="0" applyFont="1" applyFill="1" applyBorder="1"/>
    <xf numFmtId="0" fontId="4" fillId="15" borderId="12" xfId="0" applyFont="1" applyFill="1" applyBorder="1"/>
    <xf numFmtId="0" fontId="4" fillId="15" borderId="13" xfId="0" applyFont="1" applyFill="1" applyBorder="1"/>
    <xf numFmtId="0" fontId="4" fillId="15" borderId="14" xfId="0" applyFont="1" applyFill="1" applyBorder="1"/>
    <xf numFmtId="0" fontId="0" fillId="15" borderId="0" xfId="0" applyFill="1"/>
    <xf numFmtId="0" fontId="4" fillId="15" borderId="15" xfId="0" applyFont="1" applyFill="1" applyBorder="1"/>
    <xf numFmtId="0" fontId="4" fillId="15" borderId="16" xfId="0" applyFont="1" applyFill="1" applyBorder="1"/>
    <xf numFmtId="0" fontId="4" fillId="15" borderId="17" xfId="0" applyFont="1" applyFill="1" applyBorder="1"/>
    <xf numFmtId="0" fontId="4" fillId="15" borderId="18" xfId="0" applyFont="1" applyFill="1" applyBorder="1"/>
    <xf numFmtId="0" fontId="33" fillId="20" borderId="8" xfId="0" applyFont="1" applyFill="1" applyBorder="1" applyAlignment="1">
      <alignment horizontal="center"/>
    </xf>
    <xf numFmtId="0" fontId="1" fillId="17" borderId="11" xfId="0" applyFont="1" applyFill="1" applyBorder="1"/>
    <xf numFmtId="0" fontId="33" fillId="19" borderId="8" xfId="0" applyFont="1" applyFill="1" applyBorder="1" applyAlignment="1">
      <alignment horizontal="center"/>
    </xf>
    <xf numFmtId="0" fontId="33" fillId="19" borderId="9" xfId="0" applyFont="1" applyFill="1" applyBorder="1" applyAlignment="1">
      <alignment horizontal="center"/>
    </xf>
    <xf numFmtId="0" fontId="33" fillId="19" borderId="10" xfId="0" applyFont="1" applyFill="1" applyBorder="1" applyAlignment="1">
      <alignment horizontal="center"/>
    </xf>
    <xf numFmtId="0" fontId="33" fillId="21" borderId="8" xfId="0" applyFont="1" applyFill="1" applyBorder="1" applyAlignment="1">
      <alignment horizontal="center"/>
    </xf>
    <xf numFmtId="0" fontId="33" fillId="21" borderId="9" xfId="0" applyFont="1" applyFill="1" applyBorder="1" applyAlignment="1">
      <alignment horizontal="center"/>
    </xf>
    <xf numFmtId="0" fontId="33" fillId="21" borderId="10" xfId="0" applyFont="1" applyFill="1" applyBorder="1" applyAlignment="1">
      <alignment horizontal="center"/>
    </xf>
    <xf numFmtId="0" fontId="36" fillId="25" borderId="0" xfId="0" applyFont="1" applyFill="1" applyAlignment="1">
      <alignment horizontal="center" vertical="center"/>
    </xf>
    <xf numFmtId="0" fontId="13" fillId="3" borderId="19" xfId="0" applyFont="1" applyFill="1" applyBorder="1" applyAlignment="1">
      <alignment vertical="center"/>
    </xf>
    <xf numFmtId="0" fontId="4" fillId="0" borderId="20" xfId="0" applyFont="1" applyBorder="1"/>
    <xf numFmtId="0" fontId="4" fillId="0" borderId="21" xfId="0" applyFont="1" applyBorder="1"/>
    <xf numFmtId="0" fontId="6" fillId="0" borderId="1" xfId="0" applyFont="1" applyFill="1" applyBorder="1"/>
    <xf numFmtId="0" fontId="11" fillId="0" borderId="2" xfId="0" applyFont="1" applyFill="1" applyBorder="1" applyAlignment="1">
      <alignment vertical="center"/>
    </xf>
    <xf numFmtId="0" fontId="8" fillId="0" borderId="2" xfId="0" applyFont="1" applyFill="1" applyBorder="1" applyAlignment="1">
      <alignment vertical="center"/>
    </xf>
  </cellXfs>
  <cellStyles count="1">
    <cellStyle name="Normal" xfId="0" builtinId="0"/>
  </cellStyles>
  <dxfs count="67">
    <dxf>
      <font>
        <color rgb="FF9C0006"/>
      </font>
      <fill>
        <patternFill>
          <bgColor rgb="FFFFC7CE"/>
        </patternFill>
      </fill>
    </dxf>
    <dxf>
      <fill>
        <patternFill patternType="solid">
          <fgColor rgb="FFB7E1CD"/>
          <bgColor rgb="FFB7E1CD"/>
        </patternFill>
      </fill>
    </dxf>
    <dxf>
      <fill>
        <patternFill patternType="solid">
          <fgColor rgb="FFB7E1CD"/>
          <bgColor rgb="FFB7E1CD"/>
        </patternFill>
      </fill>
    </dxf>
    <dxf>
      <numFmt numFmtId="0" formatCode="General"/>
    </dxf>
    <dxf>
      <font>
        <sz val="12"/>
      </font>
    </dxf>
    <dxf>
      <font>
        <sz val="12"/>
      </font>
    </dxf>
    <dxf>
      <font>
        <sz val="12"/>
      </font>
    </dxf>
    <dxf>
      <font>
        <sz val="12"/>
      </font>
    </dxf>
    <dxf>
      <alignment horizontal="center"/>
    </dxf>
    <dxf>
      <alignment horizontal="center"/>
    </dxf>
    <dxf>
      <font>
        <color auto="1"/>
      </font>
    </dxf>
    <dxf>
      <font>
        <color auto="1"/>
      </font>
    </dxf>
    <dxf>
      <fill>
        <patternFill patternType="none">
          <bgColor auto="1"/>
        </patternFill>
      </fill>
    </dxf>
    <dxf>
      <fill>
        <patternFill patternType="none">
          <bgColor auto="1"/>
        </patternFill>
      </fill>
    </dxf>
    <dxf>
      <font>
        <color rgb="FFFF0000"/>
      </font>
    </dxf>
    <dxf>
      <font>
        <color rgb="FFFF0000"/>
      </font>
    </dxf>
    <dxf>
      <font>
        <sz val="12"/>
      </font>
    </dxf>
    <dxf>
      <numFmt numFmtId="14" formatCode="0.0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alignment horizontal="center"/>
    </dxf>
    <dxf>
      <alignment horizontal="center"/>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numFmt numFmtId="3" formatCode="#,##0"/>
    </dxf>
    <dxf>
      <numFmt numFmtId="1" formatCode="0"/>
    </dxf>
    <dxf>
      <alignment horizontal="center"/>
    </dxf>
    <dxf>
      <alignment horizontal="center"/>
    </dxf>
    <dxf>
      <font>
        <sz val="12"/>
      </font>
    </dxf>
    <dxf>
      <font>
        <sz val="12"/>
      </font>
    </dxf>
    <dxf>
      <font>
        <sz val="12"/>
      </font>
    </dxf>
    <dxf>
      <font>
        <sz val="12"/>
      </font>
    </dxf>
    <dxf>
      <font>
        <sz val="12"/>
      </font>
    </dxf>
    <dxf>
      <font>
        <sz val="12"/>
      </font>
    </dxf>
    <dxf>
      <numFmt numFmtId="3" formatCode="#,##0"/>
    </dxf>
    <dxf>
      <alignment horizontal="center"/>
    </dxf>
    <dxf>
      <alignment horizontal="center"/>
    </dxf>
    <dxf>
      <alignment horizontal="center"/>
    </dxf>
    <dxf>
      <alignment horizontal="center"/>
    </dxf>
    <dxf>
      <alignment horizontal="center"/>
    </dxf>
  </dxfs>
  <tableStyles count="0" defaultTableStyle="TableStyleMedium2" defaultPivotStyle="PivotStyleLight16"/>
  <colors>
    <mruColors>
      <color rgb="FFF0FFDF"/>
      <color rgb="FFEFFEDE"/>
      <color rgb="FFF4FDD8"/>
      <color rgb="FF2F649F"/>
      <color rgb="FFF6F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[Lembar Jawaban Mission 2.xlsx]Pivot Table!PivotTable2</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1.7604517405374307E-2"/>
              <c:y val="1.234587343248760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13975395338478"/>
                  <c:h val="0.10217283950617281"/>
                </c:manualLayout>
              </c15:layout>
            </c:ext>
          </c:extLst>
        </c:dLbl>
      </c:pivotFmt>
      <c:pivotFmt>
        <c:idx val="2"/>
        <c:spPr>
          <a:solidFill>
            <a:schemeClr val="accent1"/>
          </a:solidFill>
          <a:ln>
            <a:noFill/>
          </a:ln>
          <a:effectLst/>
        </c:spPr>
        <c:dLbl>
          <c:idx val="0"/>
          <c:layout>
            <c:manualLayout>
              <c:x val="-7.4330184600469038E-3"/>
              <c:y val="1.481500923495674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141417846895594"/>
                  <c:h val="0.10217283950617281"/>
                </c:manualLayout>
              </c15:layout>
            </c:ext>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7.4330184600469038E-3"/>
              <c:y val="1.481500923495674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141417846895594"/>
                  <c:h val="0.10217283950617281"/>
                </c:manualLayout>
              </c15:layout>
            </c:ext>
          </c:extLst>
        </c:dLbl>
      </c:pivotFmt>
      <c:pivotFmt>
        <c:idx val="5"/>
        <c:spPr>
          <a:solidFill>
            <a:schemeClr val="accent1"/>
          </a:solidFill>
          <a:ln>
            <a:noFill/>
          </a:ln>
          <a:effectLst/>
        </c:spPr>
        <c:dLbl>
          <c:idx val="0"/>
          <c:layout>
            <c:manualLayout>
              <c:x val="-1.7604517405374307E-2"/>
              <c:y val="1.234587343248760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13975395338478"/>
                  <c:h val="0.10217283950617281"/>
                </c:manualLayout>
              </c15:layout>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7.4330184600469038E-3"/>
              <c:y val="1.481500923495674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141417846895594"/>
                  <c:h val="0.10217283950617281"/>
                </c:manualLayout>
              </c15:layout>
            </c:ext>
          </c:extLst>
        </c:dLbl>
      </c:pivotFmt>
      <c:pivotFmt>
        <c:idx val="8"/>
        <c:spPr>
          <a:solidFill>
            <a:schemeClr val="accent1"/>
          </a:solidFill>
          <a:ln>
            <a:noFill/>
          </a:ln>
          <a:effectLst/>
        </c:spPr>
        <c:dLbl>
          <c:idx val="0"/>
          <c:layout>
            <c:manualLayout>
              <c:x val="-1.7604517405374307E-2"/>
              <c:y val="1.234587343248760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13975395338478"/>
                  <c:h val="0.10217283950617281"/>
                </c:manualLayout>
              </c15:layout>
            </c:ext>
          </c:extLst>
        </c:dLbl>
      </c:pivotFmt>
      <c:pivotFmt>
        <c:idx val="9"/>
        <c:spPr>
          <a:solidFill>
            <a:srgbClr val="2F649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dLbl>
          <c:idx val="0"/>
          <c:layout>
            <c:manualLayout>
              <c:x val="-6.7434328914908553E-2"/>
              <c:y val="6.4650724322394592E-4"/>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141417846895594"/>
                  <c:h val="0.10217283950617281"/>
                </c:manualLayout>
              </c15:layout>
            </c:ext>
          </c:extLst>
        </c:dLbl>
      </c:pivotFmt>
      <c:pivotFmt>
        <c:idx val="11"/>
        <c:spPr>
          <a:solidFill>
            <a:schemeClr val="accent4"/>
          </a:solidFill>
          <a:ln>
            <a:noFill/>
          </a:ln>
          <a:effectLst/>
        </c:spPr>
        <c:dLbl>
          <c:idx val="0"/>
          <c:layout>
            <c:manualLayout>
              <c:x val="-7.3007482675659111E-2"/>
              <c:y val="5.261866113314478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13975395338478"/>
                  <c:h val="0.10217283950617281"/>
                </c:manualLayout>
              </c15:layout>
            </c:ext>
          </c:extLst>
        </c:dLbl>
      </c:pivotFmt>
    </c:pivotFmts>
    <c:plotArea>
      <c:layout/>
      <c:barChart>
        <c:barDir val="bar"/>
        <c:grouping val="clustered"/>
        <c:varyColors val="0"/>
        <c:ser>
          <c:idx val="0"/>
          <c:order val="0"/>
          <c:tx>
            <c:strRef>
              <c:f>'Pivot Table'!$E$8</c:f>
              <c:strCache>
                <c:ptCount val="1"/>
                <c:pt idx="0">
                  <c:v>Total</c:v>
                </c:pt>
              </c:strCache>
            </c:strRef>
          </c:tx>
          <c:spPr>
            <a:solidFill>
              <a:srgbClr val="2F649F"/>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0-4868-2846-939F-4487C2362199}"/>
              </c:ext>
            </c:extLst>
          </c:dPt>
          <c:dPt>
            <c:idx val="1"/>
            <c:invertIfNegative val="0"/>
            <c:bubble3D val="0"/>
            <c:spPr>
              <a:solidFill>
                <a:schemeClr val="accent4"/>
              </a:solidFill>
              <a:ln>
                <a:noFill/>
              </a:ln>
              <a:effectLst/>
            </c:spPr>
            <c:extLst>
              <c:ext xmlns:c16="http://schemas.microsoft.com/office/drawing/2014/chart" uri="{C3380CC4-5D6E-409C-BE32-E72D297353CC}">
                <c16:uniqueId val="{00000001-4868-2846-939F-4487C2362199}"/>
              </c:ext>
            </c:extLst>
          </c:dPt>
          <c:dLbls>
            <c:dLbl>
              <c:idx val="0"/>
              <c:layout>
                <c:manualLayout>
                  <c:x val="-6.7434328914908553E-2"/>
                  <c:y val="6.4650724322394592E-4"/>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141417846895594"/>
                      <c:h val="0.10217283950617281"/>
                    </c:manualLayout>
                  </c15:layout>
                </c:ext>
                <c:ext xmlns:c16="http://schemas.microsoft.com/office/drawing/2014/chart" uri="{C3380CC4-5D6E-409C-BE32-E72D297353CC}">
                  <c16:uniqueId val="{00000000-4868-2846-939F-4487C2362199}"/>
                </c:ext>
              </c:extLst>
            </c:dLbl>
            <c:dLbl>
              <c:idx val="1"/>
              <c:layout>
                <c:manualLayout>
                  <c:x val="-7.3007482675659111E-2"/>
                  <c:y val="5.261866113314478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13975395338478"/>
                      <c:h val="0.10217283950617281"/>
                    </c:manualLayout>
                  </c15:layout>
                </c:ext>
                <c:ext xmlns:c16="http://schemas.microsoft.com/office/drawing/2014/chart" uri="{C3380CC4-5D6E-409C-BE32-E72D297353CC}">
                  <c16:uniqueId val="{00000001-4868-2846-939F-4487C236219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Table'!$D$9:$D$10</c:f>
              <c:strCache>
                <c:ptCount val="2"/>
                <c:pt idx="0">
                  <c:v>Female</c:v>
                </c:pt>
                <c:pt idx="1">
                  <c:v>Male</c:v>
                </c:pt>
              </c:strCache>
            </c:strRef>
          </c:cat>
          <c:val>
            <c:numRef>
              <c:f>'Pivot Table'!$E$9:$E$10</c:f>
              <c:numCache>
                <c:formatCode>#,##0</c:formatCode>
                <c:ptCount val="2"/>
                <c:pt idx="0">
                  <c:v>2277374080</c:v>
                </c:pt>
                <c:pt idx="1">
                  <c:v>1986116060</c:v>
                </c:pt>
              </c:numCache>
            </c:numRef>
          </c:val>
          <c:extLst>
            <c:ext xmlns:c16="http://schemas.microsoft.com/office/drawing/2014/chart" uri="{C3380CC4-5D6E-409C-BE32-E72D297353CC}">
              <c16:uniqueId val="{00000002-4868-2846-939F-4487C2362199}"/>
            </c:ext>
          </c:extLst>
        </c:ser>
        <c:dLbls>
          <c:dLblPos val="ctr"/>
          <c:showLegendKey val="0"/>
          <c:showVal val="1"/>
          <c:showCatName val="0"/>
          <c:showSerName val="0"/>
          <c:showPercent val="0"/>
          <c:showBubbleSize val="0"/>
        </c:dLbls>
        <c:gapWidth val="75"/>
        <c:overlap val="-25"/>
        <c:axId val="1605685456"/>
        <c:axId val="1605687168"/>
      </c:barChart>
      <c:catAx>
        <c:axId val="1605685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05687168"/>
        <c:crosses val="autoZero"/>
        <c:auto val="1"/>
        <c:lblAlgn val="ctr"/>
        <c:lblOffset val="100"/>
        <c:noMultiLvlLbl val="0"/>
      </c:catAx>
      <c:valAx>
        <c:axId val="160568716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05685456"/>
        <c:crosses val="autoZero"/>
        <c:crossBetween val="between"/>
        <c:dispUnits>
          <c:builtInUnit val="millions"/>
          <c:dispUnitsLbl>
            <c:layout>
              <c:manualLayout>
                <c:xMode val="edge"/>
                <c:yMode val="edge"/>
                <c:x val="0.29701270977064914"/>
                <c:y val="0.84869803978715475"/>
              </c:manualLayout>
            </c:layout>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Millions (Rp)</a:t>
                  </a:r>
                </a:p>
              </c:rich>
            </c:tx>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[Lembar Jawaban Mission 2.xlsx]Pivot Table!PivotTable4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F649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dLbl>
          <c:idx val="0"/>
          <c:layout>
            <c:manualLayout>
              <c:x val="-1.5274608489283003E-2"/>
              <c:y val="-2.6175569497093818E-1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dLbl>
          <c:idx val="0"/>
          <c:layout>
            <c:manualLayout>
              <c:x val="2.7554529683895238E-3"/>
              <c:y val="0"/>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84802708604927"/>
          <c:y val="7.0659877012867606E-2"/>
          <c:w val="0.72807536057991717"/>
          <c:h val="0.61569339442639648"/>
        </c:manualLayout>
      </c:layout>
      <c:barChart>
        <c:barDir val="bar"/>
        <c:grouping val="stacked"/>
        <c:varyColors val="0"/>
        <c:ser>
          <c:idx val="0"/>
          <c:order val="0"/>
          <c:tx>
            <c:strRef>
              <c:f>'Pivot Table'!$I$8</c:f>
              <c:strCache>
                <c:ptCount val="1"/>
                <c:pt idx="0">
                  <c:v>Total</c:v>
                </c:pt>
              </c:strCache>
            </c:strRef>
          </c:tx>
          <c:spPr>
            <a:solidFill>
              <a:srgbClr val="2F649F"/>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2-3F6E-9B4B-956E-7A21420FD061}"/>
              </c:ext>
            </c:extLst>
          </c:dPt>
          <c:dPt>
            <c:idx val="1"/>
            <c:invertIfNegative val="0"/>
            <c:bubble3D val="0"/>
            <c:spPr>
              <a:solidFill>
                <a:srgbClr val="00B050"/>
              </a:solidFill>
              <a:ln>
                <a:noFill/>
              </a:ln>
              <a:effectLst/>
            </c:spPr>
            <c:extLst>
              <c:ext xmlns:c16="http://schemas.microsoft.com/office/drawing/2014/chart" uri="{C3380CC4-5D6E-409C-BE32-E72D297353CC}">
                <c16:uniqueId val="{00000001-3F6E-9B4B-956E-7A21420FD061}"/>
              </c:ext>
            </c:extLst>
          </c:dPt>
          <c:dLbls>
            <c:dLbl>
              <c:idx val="0"/>
              <c:layout>
                <c:manualLayout>
                  <c:x val="2.7554529683895238E-3"/>
                  <c:y val="0"/>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F6E-9B4B-956E-7A21420FD061}"/>
                </c:ext>
              </c:extLst>
            </c:dLbl>
            <c:dLbl>
              <c:idx val="1"/>
              <c:layout>
                <c:manualLayout>
                  <c:x val="-1.5274608489283003E-2"/>
                  <c:y val="-2.6175569497093818E-1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F6E-9B4B-956E-7A21420FD0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Table'!$H$9:$H$10</c:f>
              <c:strCache>
                <c:ptCount val="2"/>
                <c:pt idx="0">
                  <c:v>High</c:v>
                </c:pt>
                <c:pt idx="1">
                  <c:v>Middle</c:v>
                </c:pt>
              </c:strCache>
            </c:strRef>
          </c:cat>
          <c:val>
            <c:numRef>
              <c:f>'Pivot Table'!$I$9:$I$10</c:f>
              <c:numCache>
                <c:formatCode>#,##0</c:formatCode>
                <c:ptCount val="2"/>
                <c:pt idx="0">
                  <c:v>2199271595</c:v>
                </c:pt>
                <c:pt idx="1">
                  <c:v>2064218545</c:v>
                </c:pt>
              </c:numCache>
            </c:numRef>
          </c:val>
          <c:extLst>
            <c:ext xmlns:c16="http://schemas.microsoft.com/office/drawing/2014/chart" uri="{C3380CC4-5D6E-409C-BE32-E72D297353CC}">
              <c16:uniqueId val="{00000000-3F6E-9B4B-956E-7A21420FD061}"/>
            </c:ext>
          </c:extLst>
        </c:ser>
        <c:dLbls>
          <c:dLblPos val="inEnd"/>
          <c:showLegendKey val="0"/>
          <c:showVal val="1"/>
          <c:showCatName val="0"/>
          <c:showSerName val="0"/>
          <c:showPercent val="0"/>
          <c:showBubbleSize val="0"/>
        </c:dLbls>
        <c:gapWidth val="75"/>
        <c:overlap val="100"/>
        <c:axId val="405725936"/>
        <c:axId val="405674592"/>
      </c:barChart>
      <c:catAx>
        <c:axId val="405725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05674592"/>
        <c:crosses val="autoZero"/>
        <c:auto val="1"/>
        <c:lblAlgn val="ctr"/>
        <c:lblOffset val="100"/>
        <c:noMultiLvlLbl val="0"/>
      </c:catAx>
      <c:valAx>
        <c:axId val="40567459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05725936"/>
        <c:crosses val="autoZero"/>
        <c:crossBetween val="between"/>
        <c:dispUnits>
          <c:builtInUnit val="millions"/>
          <c:dispUnitsLbl>
            <c:layout>
              <c:manualLayout>
                <c:xMode val="edge"/>
                <c:yMode val="edge"/>
                <c:x val="0.38163132923002202"/>
                <c:y val="0.83758562181863894"/>
              </c:manualLayout>
            </c:layout>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Millions (Rp)</a:t>
                  </a:r>
                </a:p>
              </c:rich>
            </c:tx>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dispUnitsLbl>
        </c:dispUnits>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[Lembar Jawaban Mission 2.xlsx]Pivot Table!PivotTable1</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c:spPr>
      </c:pivotFmt>
      <c:pivotFmt>
        <c:idx val="12"/>
        <c:spPr>
          <a:solidFill>
            <a:schemeClr val="accent3"/>
          </a:solidFill>
          <a:ln>
            <a:noFill/>
          </a:ln>
          <a:effectLst/>
        </c:spPr>
      </c:pivotFmt>
      <c:pivotFmt>
        <c:idx val="13"/>
        <c:spPr>
          <a:solidFill>
            <a:schemeClr val="accent3"/>
          </a:solidFill>
          <a:ln>
            <a:noFill/>
          </a:ln>
          <a:effectLst/>
        </c:spPr>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pivotFmt>
      <c:pivotFmt>
        <c:idx val="16"/>
        <c:spPr>
          <a:solidFill>
            <a:schemeClr val="accent4"/>
          </a:solidFill>
          <a:ln>
            <a:noFill/>
          </a:ln>
          <a:effectLst/>
        </c:spPr>
      </c:pivotFmt>
      <c:pivotFmt>
        <c:idx val="17"/>
        <c:spPr>
          <a:solidFill>
            <a:schemeClr val="accent4"/>
          </a:solidFill>
          <a:ln>
            <a:noFill/>
          </a:ln>
          <a:effectLst/>
        </c:spPr>
      </c:pivotFmt>
    </c:pivotFmts>
    <c:plotArea>
      <c:layout>
        <c:manualLayout>
          <c:layoutTarget val="inner"/>
          <c:xMode val="edge"/>
          <c:yMode val="edge"/>
          <c:x val="0.13414898537115924"/>
          <c:y val="6.552830968388336E-2"/>
          <c:w val="0.67515553958767527"/>
          <c:h val="0.86894338063223331"/>
        </c:manualLayout>
      </c:layout>
      <c:barChart>
        <c:barDir val="bar"/>
        <c:grouping val="clustered"/>
        <c:varyColors val="0"/>
        <c:ser>
          <c:idx val="0"/>
          <c:order val="0"/>
          <c:tx>
            <c:strRef>
              <c:f>'Pivot Table'!$E$24:$E$25</c:f>
              <c:strCache>
                <c:ptCount val="1"/>
                <c:pt idx="0">
                  <c:v>Tanpa Diskon</c:v>
                </c:pt>
              </c:strCache>
            </c:strRef>
          </c:tx>
          <c:spPr>
            <a:solidFill>
              <a:schemeClr val="accent3"/>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1-D60D-4744-9E89-9D7D5E426A03}"/>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3-D60D-4744-9E89-9D7D5E426A03}"/>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D60D-4744-9E89-9D7D5E426A0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Table'!$D$26:$D$28</c:f>
              <c:strCache>
                <c:ptCount val="3"/>
                <c:pt idx="0">
                  <c:v>10</c:v>
                </c:pt>
                <c:pt idx="1">
                  <c:v>11</c:v>
                </c:pt>
                <c:pt idx="2">
                  <c:v>12</c:v>
                </c:pt>
              </c:strCache>
            </c:strRef>
          </c:cat>
          <c:val>
            <c:numRef>
              <c:f>'Pivot Table'!$E$26:$E$28</c:f>
              <c:numCache>
                <c:formatCode>0.00%</c:formatCode>
                <c:ptCount val="3"/>
                <c:pt idx="0">
                  <c:v>0.41052631578947368</c:v>
                </c:pt>
                <c:pt idx="1">
                  <c:v>0.46153846153846156</c:v>
                </c:pt>
                <c:pt idx="2">
                  <c:v>0.4375</c:v>
                </c:pt>
              </c:numCache>
            </c:numRef>
          </c:val>
          <c:extLst>
            <c:ext xmlns:c16="http://schemas.microsoft.com/office/drawing/2014/chart" uri="{C3380CC4-5D6E-409C-BE32-E72D297353CC}">
              <c16:uniqueId val="{00000006-D60D-4744-9E89-9D7D5E426A03}"/>
            </c:ext>
          </c:extLst>
        </c:ser>
        <c:ser>
          <c:idx val="1"/>
          <c:order val="1"/>
          <c:tx>
            <c:strRef>
              <c:f>'Pivot Table'!$F$24:$F$25</c:f>
              <c:strCache>
                <c:ptCount val="1"/>
                <c:pt idx="0">
                  <c:v>Diskon</c:v>
                </c:pt>
              </c:strCache>
            </c:strRef>
          </c:tx>
          <c:spPr>
            <a:solidFill>
              <a:schemeClr val="accent4"/>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8-D60D-4744-9E89-9D7D5E426A03}"/>
              </c:ext>
            </c:extLst>
          </c:dPt>
          <c:dPt>
            <c:idx val="1"/>
            <c:invertIfNegative val="0"/>
            <c:bubble3D val="0"/>
            <c:spPr>
              <a:solidFill>
                <a:schemeClr val="accent4"/>
              </a:solidFill>
              <a:ln>
                <a:noFill/>
              </a:ln>
              <a:effectLst/>
            </c:spPr>
            <c:extLst>
              <c:ext xmlns:c16="http://schemas.microsoft.com/office/drawing/2014/chart" uri="{C3380CC4-5D6E-409C-BE32-E72D297353CC}">
                <c16:uniqueId val="{0000000A-D60D-4744-9E89-9D7D5E426A03}"/>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C-D60D-4744-9E89-9D7D5E426A0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Table'!$D$26:$D$28</c:f>
              <c:strCache>
                <c:ptCount val="3"/>
                <c:pt idx="0">
                  <c:v>10</c:v>
                </c:pt>
                <c:pt idx="1">
                  <c:v>11</c:v>
                </c:pt>
                <c:pt idx="2">
                  <c:v>12</c:v>
                </c:pt>
              </c:strCache>
            </c:strRef>
          </c:cat>
          <c:val>
            <c:numRef>
              <c:f>'Pivot Table'!$F$26:$F$28</c:f>
              <c:numCache>
                <c:formatCode>0.00%</c:formatCode>
                <c:ptCount val="3"/>
                <c:pt idx="0">
                  <c:v>0.58947368421052626</c:v>
                </c:pt>
                <c:pt idx="1">
                  <c:v>0.53846153846153844</c:v>
                </c:pt>
                <c:pt idx="2">
                  <c:v>0.5625</c:v>
                </c:pt>
              </c:numCache>
            </c:numRef>
          </c:val>
          <c:extLst>
            <c:ext xmlns:c16="http://schemas.microsoft.com/office/drawing/2014/chart" uri="{C3380CC4-5D6E-409C-BE32-E72D297353CC}">
              <c16:uniqueId val="{0000000D-D60D-4744-9E89-9D7D5E426A03}"/>
            </c:ext>
          </c:extLst>
        </c:ser>
        <c:dLbls>
          <c:dLblPos val="ctr"/>
          <c:showLegendKey val="0"/>
          <c:showVal val="1"/>
          <c:showCatName val="0"/>
          <c:showSerName val="0"/>
          <c:showPercent val="0"/>
          <c:showBubbleSize val="0"/>
        </c:dLbls>
        <c:gapWidth val="100"/>
        <c:axId val="213941519"/>
        <c:axId val="213939791"/>
      </c:barChart>
      <c:valAx>
        <c:axId val="213939791"/>
        <c:scaling>
          <c:orientation val="minMax"/>
        </c:scaling>
        <c:delete val="1"/>
        <c:axPos val="b"/>
        <c:numFmt formatCode="0%" sourceLinked="0"/>
        <c:majorTickMark val="out"/>
        <c:minorTickMark val="none"/>
        <c:tickLblPos val="nextTo"/>
        <c:crossAx val="213941519"/>
        <c:crosses val="autoZero"/>
        <c:crossBetween val="between"/>
      </c:valAx>
      <c:catAx>
        <c:axId val="2139415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3939791"/>
        <c:crosses val="autoZero"/>
        <c:auto val="1"/>
        <c:lblAlgn val="ctr"/>
        <c:lblOffset val="100"/>
        <c:noMultiLvlLbl val="0"/>
      </c:catAx>
      <c:spPr>
        <a:noFill/>
        <a:ln>
          <a:noFill/>
        </a:ln>
        <a:effectLst/>
      </c:spPr>
    </c:plotArea>
    <c:legend>
      <c:legendPos val="r"/>
      <c:layout>
        <c:manualLayout>
          <c:xMode val="edge"/>
          <c:yMode val="edge"/>
          <c:x val="0.64904849892743544"/>
          <c:y val="0.41313532691672777"/>
          <c:w val="0.26915731942669324"/>
          <c:h val="0.1944943086059731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[Lembar Jawaban Mission 2.xlsx]Pivot Table!PivotTable3</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dLbl>
          <c:idx val="0"/>
          <c:layout>
            <c:manualLayout>
              <c:x val="-1.6492014533365503E-3"/>
              <c:y val="-0.2458179263256032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dLbl>
          <c:idx val="0"/>
          <c:layout>
            <c:manualLayout>
              <c:x val="3.5562758873349293E-3"/>
              <c:y val="-0.1715976597862460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dLbl>
          <c:idx val="0"/>
          <c:layout>
            <c:manualLayout>
              <c:x val="-3.1448647411755571E-4"/>
              <c:y val="-0.3546351635582418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3.0331197828887E-3"/>
              <c:y val="-0.4003945395012408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Table'!$E$41</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4-6CF8-AF45-ACC3-B95443EDC8D3}"/>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3-6CF8-AF45-ACC3-B95443EDC8D3}"/>
              </c:ext>
            </c:extLst>
          </c:dPt>
          <c:dPt>
            <c:idx val="2"/>
            <c:invertIfNegative val="0"/>
            <c:bubble3D val="0"/>
            <c:spPr>
              <a:solidFill>
                <a:srgbClr val="00B050"/>
              </a:solidFill>
              <a:ln>
                <a:noFill/>
              </a:ln>
              <a:effectLst/>
            </c:spPr>
            <c:extLst>
              <c:ext xmlns:c16="http://schemas.microsoft.com/office/drawing/2014/chart" uri="{C3380CC4-5D6E-409C-BE32-E72D297353CC}">
                <c16:uniqueId val="{00000002-6CF8-AF45-ACC3-B95443EDC8D3}"/>
              </c:ext>
            </c:extLst>
          </c:dPt>
          <c:dPt>
            <c:idx val="3"/>
            <c:invertIfNegative val="0"/>
            <c:bubble3D val="0"/>
            <c:spPr>
              <a:solidFill>
                <a:schemeClr val="accent3"/>
              </a:solidFill>
              <a:ln>
                <a:noFill/>
              </a:ln>
              <a:effectLst/>
            </c:spPr>
            <c:extLst>
              <c:ext xmlns:c16="http://schemas.microsoft.com/office/drawing/2014/chart" uri="{C3380CC4-5D6E-409C-BE32-E72D297353CC}">
                <c16:uniqueId val="{00000001-6CF8-AF45-ACC3-B95443EDC8D3}"/>
              </c:ext>
            </c:extLst>
          </c:dPt>
          <c:dLbls>
            <c:dLbl>
              <c:idx val="0"/>
              <c:layout>
                <c:manualLayout>
                  <c:x val="3.0331197828887E-3"/>
                  <c:y val="-0.4003945395012408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CF8-AF45-ACC3-B95443EDC8D3}"/>
                </c:ext>
              </c:extLst>
            </c:dLbl>
            <c:dLbl>
              <c:idx val="1"/>
              <c:layout>
                <c:manualLayout>
                  <c:x val="-3.1448647411755571E-4"/>
                  <c:y val="-0.3546351635582418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CF8-AF45-ACC3-B95443EDC8D3}"/>
                </c:ext>
              </c:extLst>
            </c:dLbl>
            <c:dLbl>
              <c:idx val="2"/>
              <c:layout>
                <c:manualLayout>
                  <c:x val="3.5562758873349293E-3"/>
                  <c:y val="-0.1715976597862460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CF8-AF45-ACC3-B95443EDC8D3}"/>
                </c:ext>
              </c:extLst>
            </c:dLbl>
            <c:dLbl>
              <c:idx val="3"/>
              <c:layout>
                <c:manualLayout>
                  <c:x val="-1.6492014533365503E-3"/>
                  <c:y val="-0.2458179263256032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CF8-AF45-ACC3-B95443EDC8D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Table'!$D$42:$D$45</c:f>
              <c:strCache>
                <c:ptCount val="4"/>
                <c:pt idx="0">
                  <c:v>High</c:v>
                </c:pt>
                <c:pt idx="1">
                  <c:v>Low</c:v>
                </c:pt>
                <c:pt idx="2">
                  <c:v>Medium</c:v>
                </c:pt>
                <c:pt idx="3">
                  <c:v>None</c:v>
                </c:pt>
              </c:strCache>
            </c:strRef>
          </c:cat>
          <c:val>
            <c:numRef>
              <c:f>'Pivot Table'!$E$42:$E$45</c:f>
              <c:numCache>
                <c:formatCode>General</c:formatCode>
                <c:ptCount val="4"/>
                <c:pt idx="0">
                  <c:v>1751</c:v>
                </c:pt>
                <c:pt idx="1">
                  <c:v>1728</c:v>
                </c:pt>
                <c:pt idx="2">
                  <c:v>1626</c:v>
                </c:pt>
                <c:pt idx="3">
                  <c:v>1666</c:v>
                </c:pt>
              </c:numCache>
            </c:numRef>
          </c:val>
          <c:extLst>
            <c:ext xmlns:c16="http://schemas.microsoft.com/office/drawing/2014/chart" uri="{C3380CC4-5D6E-409C-BE32-E72D297353CC}">
              <c16:uniqueId val="{00000000-6CF8-AF45-ACC3-B95443EDC8D3}"/>
            </c:ext>
          </c:extLst>
        </c:ser>
        <c:dLbls>
          <c:dLblPos val="inEnd"/>
          <c:showLegendKey val="0"/>
          <c:showVal val="1"/>
          <c:showCatName val="0"/>
          <c:showSerName val="0"/>
          <c:showPercent val="0"/>
          <c:showBubbleSize val="0"/>
        </c:dLbls>
        <c:gapWidth val="219"/>
        <c:overlap val="100"/>
        <c:axId val="2007849408"/>
        <c:axId val="220465807"/>
      </c:barChart>
      <c:catAx>
        <c:axId val="200784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20465807"/>
        <c:crosses val="autoZero"/>
        <c:auto val="1"/>
        <c:lblAlgn val="ctr"/>
        <c:lblOffset val="100"/>
        <c:noMultiLvlLbl val="0"/>
      </c:catAx>
      <c:valAx>
        <c:axId val="220465807"/>
        <c:scaling>
          <c:orientation val="minMax"/>
        </c:scaling>
        <c:delete val="1"/>
        <c:axPos val="l"/>
        <c:title>
          <c:tx>
            <c:rich>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US" sz="1050" b="1"/>
                  <a:t>Jumlah</a:t>
                </a:r>
                <a:r>
                  <a:rPr lang="en-US" sz="1050" b="1" baseline="0"/>
                  <a:t> Pembelian</a:t>
                </a:r>
                <a:endParaRPr lang="en-US" sz="1050" b="1"/>
              </a:p>
            </c:rich>
          </c:tx>
          <c:overlay val="0"/>
          <c:spPr>
            <a:noFill/>
            <a:ln>
              <a:noFill/>
            </a:ln>
            <a:effectLst/>
          </c:spPr>
          <c:txPr>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2007849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109483</xdr:colOff>
      <xdr:row>7</xdr:row>
      <xdr:rowOff>109483</xdr:rowOff>
    </xdr:from>
    <xdr:to>
      <xdr:col>3</xdr:col>
      <xdr:colOff>886810</xdr:colOff>
      <xdr:row>17</xdr:row>
      <xdr:rowOff>40986</xdr:rowOff>
    </xdr:to>
    <xdr:graphicFrame macro="">
      <xdr:nvGraphicFramePr>
        <xdr:cNvPr id="2" name="Chart 1">
          <a:extLst>
            <a:ext uri="{FF2B5EF4-FFF2-40B4-BE49-F238E27FC236}">
              <a16:creationId xmlns:a16="http://schemas.microsoft.com/office/drawing/2014/main" id="{75DB901C-ACA2-AD42-85CD-5DD9CB87BB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22</xdr:row>
      <xdr:rowOff>142326</xdr:rowOff>
    </xdr:from>
    <xdr:to>
      <xdr:col>3</xdr:col>
      <xdr:colOff>963447</xdr:colOff>
      <xdr:row>34</xdr:row>
      <xdr:rowOff>65689</xdr:rowOff>
    </xdr:to>
    <xdr:graphicFrame macro="">
      <xdr:nvGraphicFramePr>
        <xdr:cNvPr id="3" name="Chart 2">
          <a:extLst>
            <a:ext uri="{FF2B5EF4-FFF2-40B4-BE49-F238E27FC236}">
              <a16:creationId xmlns:a16="http://schemas.microsoft.com/office/drawing/2014/main" id="{465027C9-612E-BA41-A8A2-AA525CB195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32843</xdr:colOff>
      <xdr:row>6</xdr:row>
      <xdr:rowOff>92453</xdr:rowOff>
    </xdr:from>
    <xdr:to>
      <xdr:col>8</xdr:col>
      <xdr:colOff>1437106</xdr:colOff>
      <xdr:row>17</xdr:row>
      <xdr:rowOff>141110</xdr:rowOff>
    </xdr:to>
    <xdr:graphicFrame macro="">
      <xdr:nvGraphicFramePr>
        <xdr:cNvPr id="4" name="Chart 3">
          <a:extLst>
            <a:ext uri="{FF2B5EF4-FFF2-40B4-BE49-F238E27FC236}">
              <a16:creationId xmlns:a16="http://schemas.microsoft.com/office/drawing/2014/main" id="{1B22B244-B6F6-B94F-BBBC-E885D9551A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195879</xdr:colOff>
      <xdr:row>22</xdr:row>
      <xdr:rowOff>128522</xdr:rowOff>
    </xdr:from>
    <xdr:to>
      <xdr:col>8</xdr:col>
      <xdr:colOff>1370264</xdr:colOff>
      <xdr:row>34</xdr:row>
      <xdr:rowOff>62832</xdr:rowOff>
    </xdr:to>
    <xdr:graphicFrame macro="">
      <xdr:nvGraphicFramePr>
        <xdr:cNvPr id="6" name="Chart 5">
          <a:extLst>
            <a:ext uri="{FF2B5EF4-FFF2-40B4-BE49-F238E27FC236}">
              <a16:creationId xmlns:a16="http://schemas.microsoft.com/office/drawing/2014/main" id="{39A148F0-F793-F943-B42D-9245BDC66A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78874</xdr:colOff>
      <xdr:row>5</xdr:row>
      <xdr:rowOff>59045</xdr:rowOff>
    </xdr:from>
    <xdr:to>
      <xdr:col>10</xdr:col>
      <xdr:colOff>192060</xdr:colOff>
      <xdr:row>9</xdr:row>
      <xdr:rowOff>133685</xdr:rowOff>
    </xdr:to>
    <mc:AlternateContent xmlns:mc="http://schemas.openxmlformats.org/markup-compatibility/2006" xmlns:a14="http://schemas.microsoft.com/office/drawing/2010/main">
      <mc:Choice Requires="a14">
        <xdr:graphicFrame macro="">
          <xdr:nvGraphicFramePr>
            <xdr:cNvPr id="27" name="Gender">
              <a:extLst>
                <a:ext uri="{FF2B5EF4-FFF2-40B4-BE49-F238E27FC236}">
                  <a16:creationId xmlns:a16="http://schemas.microsoft.com/office/drawing/2014/main" id="{CADF405D-9026-2885-C0C3-1F43C0443EA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119576" y="1295624"/>
              <a:ext cx="1828800" cy="8321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82661</xdr:colOff>
      <xdr:row>10</xdr:row>
      <xdr:rowOff>40551</xdr:rowOff>
    </xdr:from>
    <xdr:to>
      <xdr:col>10</xdr:col>
      <xdr:colOff>195847</xdr:colOff>
      <xdr:row>14</xdr:row>
      <xdr:rowOff>89123</xdr:rowOff>
    </xdr:to>
    <mc:AlternateContent xmlns:mc="http://schemas.openxmlformats.org/markup-compatibility/2006" xmlns:a14="http://schemas.microsoft.com/office/drawing/2010/main">
      <mc:Choice Requires="a14">
        <xdr:graphicFrame macro="">
          <xdr:nvGraphicFramePr>
            <xdr:cNvPr id="28" name="Income_Level">
              <a:extLst>
                <a:ext uri="{FF2B5EF4-FFF2-40B4-BE49-F238E27FC236}">
                  <a16:creationId xmlns:a16="http://schemas.microsoft.com/office/drawing/2014/main" id="{BDB78DBB-17C6-B88D-21C1-98CC436A26CC}"/>
                </a:ext>
              </a:extLst>
            </xdr:cNvPr>
            <xdr:cNvGraphicFramePr/>
          </xdr:nvGraphicFramePr>
          <xdr:xfrm>
            <a:off x="0" y="0"/>
            <a:ext cx="0" cy="0"/>
          </xdr:xfrm>
          <a:graphic>
            <a:graphicData uri="http://schemas.microsoft.com/office/drawing/2010/slicer">
              <sle:slicer xmlns:sle="http://schemas.microsoft.com/office/drawing/2010/slicer" name="Income_Level"/>
            </a:graphicData>
          </a:graphic>
        </xdr:graphicFrame>
      </mc:Choice>
      <mc:Fallback xmlns="">
        <xdr:sp macro="" textlink="">
          <xdr:nvSpPr>
            <xdr:cNvPr id="0" name=""/>
            <xdr:cNvSpPr>
              <a:spLocks noTextEdit="1"/>
            </xdr:cNvSpPr>
          </xdr:nvSpPr>
          <xdr:spPr>
            <a:xfrm>
              <a:off x="7123363" y="2224060"/>
              <a:ext cx="1828800" cy="8061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90014</xdr:colOff>
      <xdr:row>15</xdr:row>
      <xdr:rowOff>49017</xdr:rowOff>
    </xdr:from>
    <xdr:to>
      <xdr:col>10</xdr:col>
      <xdr:colOff>203200</xdr:colOff>
      <xdr:row>22</xdr:row>
      <xdr:rowOff>0</xdr:rowOff>
    </xdr:to>
    <mc:AlternateContent xmlns:mc="http://schemas.openxmlformats.org/markup-compatibility/2006" xmlns:a14="http://schemas.microsoft.com/office/drawing/2010/main">
      <mc:Choice Requires="a14">
        <xdr:graphicFrame macro="">
          <xdr:nvGraphicFramePr>
            <xdr:cNvPr id="32" name="Social_Media_Influence">
              <a:extLst>
                <a:ext uri="{FF2B5EF4-FFF2-40B4-BE49-F238E27FC236}">
                  <a16:creationId xmlns:a16="http://schemas.microsoft.com/office/drawing/2014/main" id="{CBD26EAB-FE27-789D-283F-64269D08CFA6}"/>
                </a:ext>
              </a:extLst>
            </xdr:cNvPr>
            <xdr:cNvGraphicFramePr/>
          </xdr:nvGraphicFramePr>
          <xdr:xfrm>
            <a:off x="0" y="0"/>
            <a:ext cx="0" cy="0"/>
          </xdr:xfrm>
          <a:graphic>
            <a:graphicData uri="http://schemas.microsoft.com/office/drawing/2010/slicer">
              <sle:slicer xmlns:sle="http://schemas.microsoft.com/office/drawing/2010/slicer" name="Social_Media_Influence"/>
            </a:graphicData>
          </a:graphic>
        </xdr:graphicFrame>
      </mc:Choice>
      <mc:Fallback xmlns="">
        <xdr:sp macro="" textlink="">
          <xdr:nvSpPr>
            <xdr:cNvPr id="0" name=""/>
            <xdr:cNvSpPr>
              <a:spLocks noTextEdit="1"/>
            </xdr:cNvSpPr>
          </xdr:nvSpPr>
          <xdr:spPr>
            <a:xfrm>
              <a:off x="7130716" y="3179456"/>
              <a:ext cx="1828800" cy="1287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fian Afriansyah" refreshedDate="46132.674798958331" createdVersion="8" refreshedVersion="8" minRefreshableVersion="3" recordCount="1000" xr:uid="{DBDC935F-472F-FE4C-A622-D30BC8B497F3}">
  <cacheSource type="worksheet">
    <worksheetSource ref="A1:J1001" sheet="Data Cleaning"/>
  </cacheSource>
  <cacheFields count="10">
    <cacheField name="Customer_ID" numFmtId="0">
      <sharedItems/>
    </cacheField>
    <cacheField name="Age" numFmtId="1">
      <sharedItems containsSemiMixedTypes="0" containsString="0" containsNumber="1" containsInteger="1" minValue="18" maxValue="50"/>
    </cacheField>
    <cacheField name="Gender" numFmtId="0">
      <sharedItems count="2">
        <s v="Female"/>
        <s v="Male"/>
      </sharedItems>
    </cacheField>
    <cacheField name="Income_Level" numFmtId="0">
      <sharedItems count="2">
        <s v="Middle"/>
        <s v="High"/>
      </sharedItems>
    </cacheField>
    <cacheField name="Location" numFmtId="0">
      <sharedItems count="6">
        <s v="Surabaya"/>
        <s v="Bandung"/>
        <s v="Papua"/>
        <s v="Medan"/>
        <s v="Makassar"/>
        <s v="Jakarta"/>
      </sharedItems>
    </cacheField>
    <cacheField name="Purchase_Category" numFmtId="0">
      <sharedItems count="25">
        <s v="Gardening &amp; Outdoors"/>
        <s v="Food &amp; Beverages"/>
        <s v="Office Supplies"/>
        <s v="Home Appliances"/>
        <s v="Furniture"/>
        <s v="Books"/>
        <s v="Sports &amp; Outdoors"/>
        <s v="Mobile Accessories"/>
        <s v="Luxury Goods"/>
        <s v="Animal Feed"/>
        <s v="Health Care"/>
        <s v="Hotels"/>
        <s v="Packages"/>
        <s v="Electronics"/>
        <s v="Software &amp; Apps"/>
        <s v="Baby Products"/>
        <s v="Toys &amp; Games"/>
        <s v="Arts &amp; Crafts"/>
        <s v="Health Supplements"/>
        <s v="Groceries"/>
        <s v="Clothing"/>
        <s v="Beauty &amp; Personal Care"/>
        <s v="Travel &amp; Leisure Flights"/>
        <s v="Jewelry &amp; Accessories"/>
        <s v="Packages)" u="1"/>
      </sharedItems>
    </cacheField>
    <cacheField name="Purchase_Amount (Rp)" numFmtId="3">
      <sharedItems containsSemiMixedTypes="0" containsString="0" containsNumber="1" containsInteger="1" minValue="786005" maxValue="7724115" count="989">
        <n v="5173900"/>
        <n v="3444410"/>
        <n v="6606410"/>
        <n v="1570305"/>
        <n v="3281350"/>
        <n v="7563225"/>
        <n v="7539200"/>
        <n v="3379930"/>
        <n v="3130380"/>
        <n v="6491865"/>
        <n v="6040350"/>
        <n v="3703415"/>
        <n v="948910"/>
        <n v="1237055"/>
        <n v="906905"/>
        <n v="1693995"/>
        <n v="5524975"/>
        <n v="3673345"/>
        <n v="7043045"/>
        <n v="7606625"/>
        <n v="7177585"/>
        <n v="879470"/>
        <n v="5755460"/>
        <n v="7145500"/>
        <n v="3927235"/>
        <n v="2116215"/>
        <n v="7580275"/>
        <n v="1269605"/>
        <n v="2104900"/>
        <n v="5924720"/>
        <n v="5497850"/>
        <n v="6724210"/>
        <n v="4373015"/>
        <n v="7042890"/>
        <n v="2152640"/>
        <n v="811270"/>
        <n v="5242100"/>
        <n v="4078825"/>
        <n v="5759490"/>
        <n v="5477700"/>
        <n v="5105855"/>
        <n v="844130"/>
        <n v="3985360"/>
        <n v="4542120"/>
        <n v="1711200"/>
        <n v="1182185"/>
        <n v="6077240"/>
        <n v="793910"/>
        <n v="3527335"/>
        <n v="5872485"/>
        <n v="6570760"/>
        <n v="1724220"/>
        <n v="4639305"/>
        <n v="2623840"/>
        <n v="6961515"/>
        <n v="6625940"/>
        <n v="2659955"/>
        <n v="3724340"/>
        <n v="4807635"/>
        <n v="2573000"/>
        <n v="5611155"/>
        <n v="5401750"/>
        <n v="6137535"/>
        <n v="7362345"/>
        <n v="4439665"/>
        <n v="5166460"/>
        <n v="3463785"/>
        <n v="6429865"/>
        <n v="6066390"/>
        <n v="5710200"/>
        <n v="5089580"/>
        <n v="6578045"/>
        <n v="3055360"/>
        <n v="7045835"/>
        <n v="4624890"/>
        <n v="1731350"/>
        <n v="5792195"/>
        <n v="5500485"/>
        <n v="3324440"/>
        <n v="6193490"/>
        <n v="5905345"/>
        <n v="1224500"/>
        <n v="1765140"/>
        <n v="1884335"/>
        <n v="3340870"/>
        <n v="1348965"/>
        <n v="1732125"/>
        <n v="2111100"/>
        <n v="6809305"/>
        <n v="3021415"/>
        <n v="5853885"/>
        <n v="1683455"/>
        <n v="5684935"/>
        <n v="2759620"/>
        <n v="7146895"/>
        <n v="3272980"/>
        <n v="6540225"/>
        <n v="5868145"/>
        <n v="4168415"/>
        <n v="6895485"/>
        <n v="2492710"/>
        <n v="7659790"/>
        <n v="2744275"/>
        <n v="6985230"/>
        <n v="2546185"/>
        <n v="5368580"/>
        <n v="5855435"/>
        <n v="2532855"/>
        <n v="7247490"/>
        <n v="3836405"/>
        <n v="5659050"/>
        <n v="7524010"/>
        <n v="3883370"/>
        <n v="2528670"/>
        <n v="2515805"/>
        <n v="5087255"/>
        <n v="4163145"/>
        <n v="3989235"/>
        <n v="3185095"/>
        <n v="6322605"/>
        <n v="3948315"/>
        <n v="6165590"/>
        <n v="4731995"/>
        <n v="3996830"/>
        <n v="6098475"/>
        <n v="906595"/>
        <n v="3510440"/>
        <n v="7272910"/>
        <n v="5197460"/>
        <n v="2863470"/>
        <n v="6853790"/>
        <n v="6620050"/>
        <n v="5065710"/>
        <n v="1534035"/>
        <n v="1203575"/>
        <n v="1326955"/>
        <n v="2554245"/>
        <n v="3649630"/>
        <n v="3799670"/>
        <n v="6818605"/>
        <n v="4792910"/>
        <n v="2272145"/>
        <n v="4630315"/>
        <n v="6122655"/>
        <n v="5753445"/>
        <n v="3003280"/>
        <n v="6576185"/>
        <n v="7689705"/>
        <n v="5299605"/>
        <n v="1978730"/>
        <n v="3525785"/>
        <n v="5316345"/>
        <n v="4750440"/>
        <n v="4782370"/>
        <n v="1924635"/>
        <n v="1209000"/>
        <n v="6091965"/>
        <n v="1582395"/>
        <n v="6606255"/>
        <n v="2174805"/>
        <n v="6412350"/>
        <n v="5403765"/>
        <n v="1414685"/>
        <n v="5579070"/>
        <n v="2142100"/>
        <n v="3043115"/>
        <n v="3863220"/>
        <n v="2001050"/>
        <n v="1746695"/>
        <n v="4151675"/>
        <n v="3183080"/>
        <n v="1226050"/>
        <n v="3977765"/>
        <n v="6354690"/>
        <n v="4519800"/>
        <n v="1576350"/>
        <n v="5730815"/>
        <n v="1100500"/>
        <n v="4340775"/>
        <n v="848005"/>
        <n v="1852405"/>
        <n v="891250"/>
        <n v="3488275"/>
        <n v="6837825"/>
        <n v="7458755"/>
        <n v="1595880"/>
        <n v="5139335"/>
        <n v="1569995"/>
        <n v="2224560"/>
        <n v="4285440"/>
        <n v="5469485"/>
        <n v="3544540"/>
        <n v="4671545"/>
        <n v="7339250"/>
        <n v="1128400"/>
        <n v="2661660"/>
        <n v="7246250"/>
        <n v="3251745"/>
        <n v="2330115"/>
        <n v="1528765"/>
        <n v="2996150"/>
        <n v="2247810"/>
        <n v="4572345"/>
        <n v="4734475"/>
        <n v="6702510"/>
        <n v="3527490"/>
        <n v="2493795"/>
        <n v="2156050"/>
        <n v="4158340"/>
        <n v="999595"/>
        <n v="1242635"/>
        <n v="4301560"/>
        <n v="831885"/>
        <n v="5012545"/>
        <n v="1519310"/>
        <n v="3584530"/>
        <n v="5928595"/>
        <n v="3959010"/>
        <n v="6560065"/>
        <n v="4279240"/>
        <n v="5170180"/>
        <n v="2012210"/>
        <n v="4321090"/>
        <n v="1744525"/>
        <n v="2201310"/>
        <n v="7468520"/>
        <n v="2557655"/>
        <n v="881175"/>
        <n v="2834795"/>
        <n v="5781655"/>
        <n v="3421935"/>
        <n v="4511895"/>
        <n v="6417930"/>
        <n v="6331905"/>
        <n v="1602700"/>
        <n v="1052760"/>
        <n v="5489480"/>
        <n v="4289935"/>
        <n v="2948875"/>
        <n v="3154095"/>
        <n v="4084250"/>
        <n v="3833150"/>
        <n v="786005"/>
        <n v="2043675"/>
        <n v="7120545"/>
        <n v="5941615"/>
        <n v="3287240"/>
        <n v="5746315"/>
        <n v="4954730"/>
        <n v="5782275"/>
        <n v="6103590"/>
        <n v="3798120"/>
        <n v="1724685"/>
        <n v="1445995"/>
        <n v="2425750"/>
        <n v="4496705"/>
        <n v="5506840"/>
        <n v="1142970"/>
        <n v="2640425"/>
        <n v="1917350"/>
        <n v="3124800"/>
        <n v="1800170"/>
        <n v="7492390"/>
        <n v="6488610"/>
        <n v="2167365"/>
        <n v="839635"/>
        <n v="6782645"/>
        <n v="1760335"/>
        <n v="4735870"/>
        <n v="5256360"/>
        <n v="5012700"/>
        <n v="7325455"/>
        <n v="1054310"/>
        <n v="3091320"/>
        <n v="3886315"/>
        <n v="5773595"/>
        <n v="2896175"/>
        <n v="1136460"/>
        <n v="3326145"/>
        <n v="7243460"/>
        <n v="7372575"/>
        <n v="2501390"/>
        <n v="3871590"/>
        <n v="2323140"/>
        <n v="5379895"/>
        <n v="5355095"/>
        <n v="4607220"/>
        <n v="7662270"/>
        <n v="6874560"/>
        <n v="7086290"/>
        <n v="6322140"/>
        <n v="6954540"/>
        <n v="3967380"/>
        <n v="2264085"/>
        <n v="4834450"/>
        <n v="4674800"/>
        <n v="4610475"/>
        <n v="2437530"/>
        <n v="3711630"/>
        <n v="3732710"/>
        <n v="4682085"/>
        <n v="5703845"/>
        <n v="5576125"/>
        <n v="3168820"/>
        <n v="3548415"/>
        <n v="5507305"/>
        <n v="5187385"/>
        <n v="2832160"/>
        <n v="4033410"/>
        <n v="7051415"/>
        <n v="5044010"/>
        <n v="5446080"/>
        <n v="5171265"/>
        <n v="7283450"/>
        <n v="3216560"/>
        <n v="1951295"/>
        <n v="2646935"/>
        <n v="990605"/>
        <n v="5278525"/>
        <n v="5861170"/>
        <n v="3655520"/>
        <n v="2548820"/>
        <n v="7065055"/>
        <n v="4623960"/>
        <n v="5451505"/>
        <n v="6098940"/>
        <n v="3746660"/>
        <n v="4343100"/>
        <n v="5393845"/>
        <n v="5329055"/>
        <n v="1631995"/>
        <n v="7496730"/>
        <n v="1075855"/>
        <n v="3211290"/>
        <n v="7039325"/>
        <n v="1751655"/>
        <n v="6496515"/>
        <n v="2849830"/>
        <n v="834985"/>
        <n v="6631210"/>
        <n v="4383710"/>
        <n v="3337305"/>
        <n v="2846730"/>
        <n v="3080315"/>
        <n v="4118660"/>
        <n v="2144425"/>
        <n v="6848985"/>
        <n v="2763495"/>
        <n v="1194740"/>
        <n v="4136950"/>
        <n v="4182520"/>
        <n v="5180410"/>
        <n v="7355680"/>
        <n v="5594105"/>
        <n v="5789095"/>
        <n v="7165650"/>
        <n v="5156385"/>
        <n v="3648545"/>
        <n v="4181590"/>
        <n v="7724115"/>
        <n v="2835570"/>
        <n v="1886350"/>
        <n v="7583685"/>
        <n v="4710915"/>
        <n v="4692470"/>
        <n v="2436755"/>
        <n v="2471475"/>
        <n v="4850415"/>
        <n v="1018040"/>
        <n v="958830"/>
        <n v="5328435"/>
        <n v="1661755"/>
        <n v="2309190"/>
        <n v="7601355"/>
        <n v="7150770"/>
        <n v="5252795"/>
        <n v="3450765"/>
        <n v="1115225"/>
        <n v="4100060"/>
        <n v="6429400"/>
        <n v="787245"/>
        <n v="4096650"/>
        <n v="1898130"/>
        <n v="3689155"/>
        <n v="7600270"/>
        <n v="3812690"/>
        <n v="6057865"/>
        <n v="2462020"/>
        <n v="6808220"/>
        <n v="1432665"/>
        <n v="5163825"/>
        <n v="995410"/>
        <n v="4503215"/>
        <n v="3902900"/>
        <n v="7448060"/>
        <n v="7156505"/>
        <n v="4469270"/>
        <n v="3008240"/>
        <n v="3075975"/>
        <n v="3354975"/>
        <n v="5560160"/>
        <n v="5697180"/>
        <n v="1376090"/>
        <n v="7220675"/>
        <n v="4070455"/>
        <n v="1414220"/>
        <n v="6598195"/>
        <n v="6914705"/>
        <n v="7596705"/>
        <n v="6255335"/>
        <n v="6853325"/>
        <n v="1220005"/>
        <n v="7618405"/>
        <n v="7089545"/>
        <n v="2768455"/>
        <n v="7633905"/>
        <n v="6376700"/>
        <n v="1496060"/>
        <n v="1014475"/>
        <n v="3965830"/>
        <n v="1157695"/>
        <n v="6676625"/>
        <n v="5737635"/>
        <n v="5956030"/>
        <n v="1984155"/>
        <n v="4671700"/>
        <n v="6157375"/>
        <n v="1490790"/>
        <n v="6051820"/>
        <n v="953250"/>
        <n v="3633820"/>
        <n v="4942020"/>
        <n v="5073460"/>
        <n v="7372420"/>
        <n v="1063145"/>
        <n v="2062120"/>
        <n v="3047765"/>
        <n v="7346380"/>
        <n v="7324060"/>
        <n v="5204900"/>
        <n v="1326335"/>
        <n v="1681750"/>
        <n v="2673750"/>
        <n v="3298400"/>
        <n v="5028355"/>
        <n v="5307045"/>
        <n v="6926330"/>
        <n v="7178825"/>
        <n v="1906345"/>
        <n v="4997200"/>
        <n v="1134445"/>
        <n v="4325740"/>
        <n v="7422175"/>
        <n v="1339045"/>
        <n v="2981425"/>
        <n v="3647460"/>
        <n v="3295765"/>
        <n v="3822765"/>
        <n v="3541285"/>
        <n v="5259460"/>
        <n v="5069275"/>
        <n v="5183975"/>
        <n v="5675480"/>
        <n v="7467590"/>
        <n v="2037940"/>
        <n v="6244330"/>
        <n v="5164290"/>
        <n v="1135065"/>
        <n v="6982285"/>
        <n v="2723970"/>
        <n v="2830300"/>
        <n v="7715900"/>
        <n v="2653135"/>
        <n v="6600210"/>
        <n v="3263990"/>
        <n v="3094420"/>
        <n v="2514410"/>
        <n v="6227125"/>
        <n v="5671140"/>
        <n v="903495"/>
        <n v="1036330"/>
        <n v="4329770"/>
        <n v="5556750"/>
        <n v="5594260"/>
        <n v="5802580"/>
        <n v="6748235"/>
        <n v="7119150"/>
        <n v="6616795"/>
        <n v="5663235"/>
        <n v="7552375"/>
        <n v="2901910"/>
        <n v="6150710"/>
        <n v="3824470"/>
        <n v="1995470"/>
        <n v="5264265"/>
        <n v="3465490"/>
        <n v="6927260"/>
        <n v="2722575"/>
        <n v="7618095"/>
        <n v="1370200"/>
        <n v="6678950"/>
        <n v="6746065"/>
        <n v="3389075"/>
        <n v="3218730"/>
        <n v="2186895"/>
        <n v="2211850"/>
        <n v="993395"/>
        <n v="1957030"/>
        <n v="3023275"/>
        <n v="6709020"/>
        <n v="6263860"/>
        <n v="6793030"/>
        <n v="3611810"/>
        <n v="4237855"/>
        <n v="5253880"/>
        <n v="1176605"/>
        <n v="6590755"/>
        <n v="4166400"/>
        <n v="2646005"/>
        <n v="6882775"/>
        <n v="3954050"/>
        <n v="3664820"/>
        <n v="3126195"/>
        <n v="6052905"/>
        <n v="6855495"/>
        <n v="1388800"/>
        <n v="2584470"/>
        <n v="4638840"/>
        <n v="6270835"/>
        <n v="5344555"/>
        <n v="3376520"/>
        <n v="6902770"/>
        <n v="2351815"/>
        <n v="1917815"/>
        <n v="5743370"/>
        <n v="2369485"/>
        <n v="4584125"/>
        <n v="5550705"/>
        <n v="985800"/>
        <n v="6502715"/>
        <n v="7624760"/>
        <n v="1773820"/>
        <n v="6026710"/>
        <n v="903960"/>
        <n v="7203780"/>
        <n v="1812260"/>
        <n v="6149780"/>
        <n v="6096925"/>
        <n v="1767465"/>
        <n v="1704535"/>
        <n v="4808565"/>
        <n v="5938515"/>
        <n v="6740330"/>
        <n v="7581050"/>
        <n v="4466325"/>
        <n v="1640985"/>
        <n v="2532700"/>
        <n v="6555260"/>
        <n v="5602940"/>
        <n v="4197710"/>
        <n v="5770030"/>
        <n v="3233145"/>
        <n v="2529910"/>
        <n v="5657190"/>
        <n v="2207665"/>
        <n v="6970660"/>
        <n v="3744180"/>
        <n v="3870815"/>
        <n v="6778150"/>
        <n v="4297995"/>
        <n v="6911915"/>
        <n v="3763245"/>
        <n v="6092895"/>
        <n v="2597955"/>
        <n v="5025410"/>
        <n v="2469150"/>
        <n v="5028045"/>
        <n v="3082795"/>
        <n v="4451290"/>
        <n v="2514720"/>
        <n v="1441035"/>
        <n v="2238045"/>
        <n v="3249110"/>
        <n v="6380110"/>
        <n v="6014155"/>
        <n v="787090"/>
        <n v="2477210"/>
        <n v="1231165"/>
        <n v="2036080"/>
        <n v="4646125"/>
        <n v="4950390"/>
        <n v="7385440"/>
        <n v="4665655"/>
        <n v="5870005"/>
        <n v="4871960"/>
        <n v="3268950"/>
        <n v="3383030"/>
        <n v="6574790"/>
        <n v="2525725"/>
        <n v="3250040"/>
        <n v="1518535"/>
        <n v="2983905"/>
        <n v="2353055"/>
        <n v="3708840"/>
        <n v="4745635"/>
        <n v="5740890"/>
        <n v="5371990"/>
        <n v="4535920"/>
        <n v="1595105"/>
        <n v="4398590"/>
        <n v="797320"/>
        <n v="6288350"/>
        <n v="4831970"/>
        <n v="4548165"/>
        <n v="6486905"/>
        <n v="1317965"/>
        <n v="2556570"/>
        <n v="1384460"/>
        <n v="6018030"/>
        <n v="1653695"/>
        <n v="4667980"/>
        <n v="956505"/>
        <n v="1291615"/>
        <n v="6383055"/>
        <n v="1781415"/>
        <n v="6795510"/>
        <n v="2944535"/>
        <n v="3518965"/>
        <n v="4316595"/>
        <n v="1868680"/>
        <n v="4974570"/>
        <n v="3374660"/>
        <n v="3450455"/>
        <n v="1592315"/>
        <n v="6616485"/>
        <n v="7335840"/>
        <n v="6913465"/>
        <n v="4463225"/>
        <n v="2054060"/>
        <n v="5877600"/>
        <n v="6936715"/>
        <n v="2145820"/>
        <n v="6829610"/>
        <n v="2262690"/>
        <n v="6287730"/>
        <n v="6509690"/>
        <n v="4032170"/>
        <n v="5718105"/>
        <n v="1554960"/>
        <n v="1671210"/>
        <n v="1300140"/>
        <n v="1259375"/>
        <n v="1949900"/>
        <n v="3067450"/>
        <n v="4635895"/>
        <n v="1229150"/>
        <n v="863815"/>
        <n v="3974820"/>
        <n v="5226755"/>
        <n v="7672035"/>
        <n v="3697990"/>
        <n v="2044450"/>
        <n v="6246965"/>
        <n v="5248300"/>
        <n v="5663390"/>
        <n v="6726845"/>
        <n v="7687225"/>
        <n v="5521410"/>
        <n v="2424200"/>
        <n v="7042580"/>
        <n v="7534085"/>
        <n v="6631830"/>
        <n v="3644515"/>
        <n v="5599685"/>
        <n v="3035365"/>
        <n v="5274805"/>
        <n v="7589885"/>
        <n v="7478750"/>
        <n v="6713670"/>
        <n v="5823350"/>
        <n v="5910150"/>
        <n v="3258255"/>
        <n v="6336555"/>
        <n v="1839075"/>
        <n v="2579975"/>
        <n v="5972460"/>
        <n v="4556845"/>
        <n v="2501855"/>
        <n v="2029260"/>
        <n v="7263300"/>
        <n v="3682335"/>
        <n v="6125290"/>
        <n v="6633070"/>
        <n v="1259065"/>
        <n v="3990165"/>
        <n v="4738815"/>
        <n v="3872210"/>
        <n v="5158245"/>
        <n v="1222950"/>
        <n v="1899525"/>
        <n v="4767955"/>
        <n v="2361115"/>
        <n v="7208585"/>
        <n v="7722565"/>
        <n v="7613290"/>
        <n v="2316010"/>
        <n v="1273015"/>
        <n v="6590290"/>
        <n v="2729860"/>
        <n v="1089650"/>
        <n v="4950545"/>
        <n v="1759405"/>
        <n v="7637470"/>
        <n v="2228900"/>
        <n v="2457370"/>
        <n v="3307545"/>
        <n v="1971290"/>
        <n v="7387765"/>
        <n v="868310"/>
        <n v="6184035"/>
        <n v="828475"/>
        <n v="948445"/>
        <n v="7305305"/>
        <n v="2777445"/>
        <n v="4566455"/>
        <n v="5819475"/>
        <n v="1294250"/>
        <n v="1703140"/>
        <n v="2829370"/>
        <n v="7214940"/>
        <n v="3480060"/>
        <n v="4361235"/>
        <n v="1948040"/>
        <n v="2762255"/>
        <n v="7490065"/>
        <n v="6437150"/>
        <n v="1325560"/>
        <n v="6545805"/>
        <n v="1091510"/>
        <n v="6779700"/>
        <n v="3210205"/>
        <n v="5409500"/>
        <n v="5119185"/>
        <n v="6359495"/>
        <n v="6213330"/>
        <n v="3489360"/>
        <n v="4238940"/>
        <n v="5639520"/>
        <n v="4690300"/>
        <n v="4914895"/>
        <n v="2996460"/>
        <n v="4374720"/>
        <n v="2389945"/>
        <n v="1304325"/>
        <n v="3327695"/>
        <n v="948755"/>
        <n v="7168440"/>
        <n v="6962290"/>
        <n v="4872580"/>
        <n v="5699350"/>
        <n v="3564535"/>
        <n v="3511215"/>
        <n v="3383960"/>
        <n v="2056385"/>
        <n v="6462880"/>
        <n v="7122405"/>
        <n v="7563380"/>
        <n v="2326705"/>
        <n v="3392485"/>
        <n v="6774430"/>
        <n v="1899990"/>
        <n v="3023585"/>
        <n v="2945930"/>
        <n v="7529280"/>
        <n v="3759835"/>
        <n v="4698515"/>
        <n v="2109550"/>
        <n v="3859810"/>
        <n v="7234470"/>
        <n v="3554150"/>
        <n v="6983060"/>
        <n v="3819820"/>
        <n v="1449560"/>
        <n v="2135125"/>
        <n v="1218920"/>
        <n v="3329710"/>
        <n v="889545"/>
        <n v="5640605"/>
        <n v="4724245"/>
        <n v="5641690"/>
        <n v="3868800"/>
        <n v="5348120"/>
        <n v="916825"/>
        <n v="7158055"/>
        <n v="4353640"/>
        <n v="4397350"/>
        <n v="6385225"/>
        <n v="7379705"/>
        <n v="6188220"/>
        <n v="1407245"/>
        <n v="3558180"/>
        <n v="2487285"/>
        <n v="1623470"/>
        <n v="6199225"/>
        <n v="5228615"/>
        <n v="3174865"/>
        <n v="3006070"/>
        <n v="7135735"/>
        <n v="4607995"/>
        <n v="6036785"/>
        <n v="5735775"/>
        <n v="7164720"/>
        <n v="7324215"/>
        <n v="6312995"/>
        <n v="2102575"/>
        <n v="5461425"/>
        <n v="6846815"/>
        <n v="1642225"/>
        <n v="5448870"/>
        <n v="4979530"/>
        <n v="6533250"/>
        <n v="3925995"/>
        <n v="3373110"/>
        <n v="3503620"/>
        <n v="818245"/>
        <n v="5968740"/>
        <n v="2807050"/>
        <n v="3819355"/>
        <n v="2183485"/>
        <n v="2344375"/>
        <n v="2658560"/>
        <n v="6193180"/>
        <n v="2688630"/>
        <n v="5148170"/>
        <n v="3829275"/>
        <n v="5501260"/>
        <n v="3029630"/>
        <n v="7347465"/>
        <n v="1657880"/>
        <n v="5763520"/>
        <n v="7147980"/>
        <n v="7715125"/>
        <n v="7638865"/>
        <n v="4580870"/>
        <n v="7669555"/>
        <n v="2483875"/>
        <n v="3074580"/>
        <n v="1277045"/>
        <n v="4503680"/>
        <n v="3205245"/>
        <n v="6222165"/>
        <n v="2916635"/>
        <n v="1289755"/>
        <n v="848470"/>
        <n v="5752360"/>
        <n v="4551420"/>
        <n v="2880365"/>
        <n v="1815515"/>
        <n v="809720"/>
        <n v="6923695"/>
        <n v="3361020"/>
        <n v="1166685"/>
        <n v="4787485"/>
        <n v="2631435"/>
        <n v="4480740"/>
        <n v="1148395"/>
        <n v="3123715"/>
        <n v="3791300"/>
        <n v="4967750"/>
        <n v="1420265"/>
        <n v="3904915"/>
        <n v="7398925"/>
        <n v="1342765"/>
        <n v="7353510"/>
        <n v="6653220"/>
        <n v="7290890"/>
        <n v="7684900"/>
        <n v="2009420"/>
        <n v="7343435"/>
        <n v="2028020"/>
        <n v="6766370"/>
        <n v="4092155"/>
        <n v="903185"/>
        <n v="2956780"/>
        <n v="1639280"/>
        <n v="3941495"/>
        <n v="6750560"/>
        <n v="3650095"/>
        <n v="2500770"/>
        <n v="2598885"/>
        <n v="1498540"/>
        <n v="3635990"/>
        <n v="2425440"/>
        <n v="7589730"/>
        <n v="2508675"/>
        <n v="3169285"/>
        <n v="4882965"/>
        <n v="5120580"/>
        <n v="7080865"/>
        <n v="3658775"/>
        <n v="4483840"/>
        <n v="7498435"/>
        <n v="999750"/>
        <n v="6766835"/>
        <n v="5649440"/>
        <n v="3439140"/>
        <n v="4312255"/>
        <n v="5338665"/>
        <n v="5054240"/>
        <n v="6788535"/>
        <n v="6073985"/>
        <n v="5167855"/>
        <n v="3898870"/>
        <n v="4527240"/>
        <n v="3166495"/>
        <n v="4009540"/>
        <n v="3999310"/>
        <n v="2818985"/>
        <n v="1258290"/>
        <n v="5935570"/>
        <n v="6243710"/>
        <n v="7715280"/>
        <n v="4085335"/>
        <n v="6542395"/>
        <n v="6383365"/>
        <n v="3761075"/>
        <n v="4633415"/>
        <n v="2963755"/>
        <n v="2118385"/>
        <n v="5023705"/>
        <n v="1637420"/>
        <n v="4581800"/>
        <n v="7529435"/>
        <n v="2688165"/>
        <n v="7175880"/>
        <n v="3148515"/>
        <n v="6868205"/>
        <n v="3949865"/>
        <n v="5221795"/>
        <n v="5226135"/>
        <n v="3064350"/>
        <n v="5222880"/>
        <n v="7592055"/>
        <n v="7061025"/>
        <n v="4132455"/>
        <n v="7143640"/>
        <n v="5601700"/>
        <n v="803830"/>
        <n v="4807480"/>
        <n v="4661315"/>
        <n v="5531485"/>
        <n v="1276735"/>
        <n v="5775300"/>
        <n v="1213960"/>
        <n v="1111660"/>
        <n v="3737050"/>
        <n v="1501330"/>
        <n v="4281875"/>
        <n v="4935975"/>
        <n v="1813965"/>
        <n v="7384510"/>
        <n v="6080185"/>
        <n v="3212220"/>
        <n v="2195265"/>
        <n v="3789285"/>
        <n v="3900265"/>
        <n v="6692590"/>
        <n v="4697895"/>
        <n v="5289220"/>
        <n v="3276545"/>
        <n v="5877755"/>
        <n v="4797715"/>
        <n v="5571475"/>
        <n v="7434110"/>
        <n v="3233300"/>
        <n v="2793255"/>
        <n v="5615650"/>
        <n v="2472715"/>
        <n v="4782990"/>
        <n v="2317560"/>
        <n v="3197960"/>
        <n v="1415770"/>
        <n v="7059320"/>
        <n v="7256480"/>
        <n v="7186885"/>
        <n v="1081590"/>
        <n v="7027235"/>
        <n v="1645325"/>
        <n v="5866285"/>
      </sharedItems>
    </cacheField>
    <cacheField name="Frequency_of_Purchase" numFmtId="1">
      <sharedItems containsSemiMixedTypes="0" containsString="0" containsNumber="1" containsInteger="1" minValue="0" maxValue="12" count="12">
        <n v="4"/>
        <n v="11"/>
        <n v="2"/>
        <n v="6"/>
        <n v="8"/>
        <n v="0"/>
        <n v="7"/>
        <n v="12"/>
        <n v="5"/>
        <n v="3"/>
        <n v="10"/>
        <n v="9"/>
      </sharedItems>
    </cacheField>
    <cacheField name="Social_Media_Influence" numFmtId="0">
      <sharedItems count="4">
        <s v="None"/>
        <s v="Medium"/>
        <s v="Low"/>
        <s v="High"/>
      </sharedItems>
    </cacheField>
    <cacheField name="Discount_Used" numFmtId="0">
      <sharedItems count="2">
        <s v="True"/>
        <s v="False"/>
      </sharedItems>
    </cacheField>
  </cacheFields>
  <extLst>
    <ext xmlns:x14="http://schemas.microsoft.com/office/spreadsheetml/2009/9/main" uri="{725AE2AE-9491-48be-B2B4-4EB974FC3084}">
      <x14:pivotCacheDefinition pivotCacheId="16208833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37-611-6911"/>
    <n v="22"/>
    <x v="0"/>
    <x v="0"/>
    <x v="0"/>
    <x v="0"/>
    <x v="0"/>
    <x v="0"/>
    <x v="0"/>
    <x v="0"/>
  </r>
  <r>
    <s v="29-392-9296"/>
    <n v="49"/>
    <x v="1"/>
    <x v="1"/>
    <x v="1"/>
    <x v="1"/>
    <x v="1"/>
    <x v="1"/>
    <x v="1"/>
    <x v="0"/>
  </r>
  <r>
    <s v="84-649-5117"/>
    <n v="24"/>
    <x v="0"/>
    <x v="0"/>
    <x v="2"/>
    <x v="2"/>
    <x v="2"/>
    <x v="2"/>
    <x v="2"/>
    <x v="0"/>
  </r>
  <r>
    <s v="48-980-6078"/>
    <n v="29"/>
    <x v="0"/>
    <x v="0"/>
    <x v="0"/>
    <x v="3"/>
    <x v="3"/>
    <x v="3"/>
    <x v="3"/>
    <x v="0"/>
  </r>
  <r>
    <s v="91-170-9072"/>
    <n v="33"/>
    <x v="0"/>
    <x v="0"/>
    <x v="1"/>
    <x v="4"/>
    <x v="4"/>
    <x v="3"/>
    <x v="1"/>
    <x v="1"/>
  </r>
  <r>
    <s v="82-561-4233"/>
    <n v="45"/>
    <x v="1"/>
    <x v="0"/>
    <x v="3"/>
    <x v="2"/>
    <x v="5"/>
    <x v="4"/>
    <x v="3"/>
    <x v="1"/>
  </r>
  <r>
    <s v="90-144-9193"/>
    <n v="21"/>
    <x v="0"/>
    <x v="0"/>
    <x v="2"/>
    <x v="4"/>
    <x v="6"/>
    <x v="5"/>
    <x v="3"/>
    <x v="0"/>
  </r>
  <r>
    <s v="88-661-4689"/>
    <n v="39"/>
    <x v="1"/>
    <x v="0"/>
    <x v="2"/>
    <x v="5"/>
    <x v="7"/>
    <x v="3"/>
    <x v="2"/>
    <x v="1"/>
  </r>
  <r>
    <s v="37-065-3182"/>
    <n v="24"/>
    <x v="0"/>
    <x v="1"/>
    <x v="4"/>
    <x v="2"/>
    <x v="8"/>
    <x v="4"/>
    <x v="2"/>
    <x v="1"/>
  </r>
  <r>
    <s v="84-894-9222"/>
    <n v="25"/>
    <x v="0"/>
    <x v="1"/>
    <x v="3"/>
    <x v="6"/>
    <x v="9"/>
    <x v="6"/>
    <x v="0"/>
    <x v="0"/>
  </r>
  <r>
    <s v="44-674-4037"/>
    <n v="33"/>
    <x v="1"/>
    <x v="0"/>
    <x v="4"/>
    <x v="7"/>
    <x v="10"/>
    <x v="7"/>
    <x v="2"/>
    <x v="0"/>
  </r>
  <r>
    <s v="78-116-8349"/>
    <n v="38"/>
    <x v="0"/>
    <x v="1"/>
    <x v="3"/>
    <x v="6"/>
    <x v="11"/>
    <x v="8"/>
    <x v="1"/>
    <x v="0"/>
  </r>
  <r>
    <s v="19-933-8095"/>
    <n v="34"/>
    <x v="1"/>
    <x v="0"/>
    <x v="5"/>
    <x v="8"/>
    <x v="12"/>
    <x v="6"/>
    <x v="2"/>
    <x v="0"/>
  </r>
  <r>
    <s v="80-684-5072"/>
    <n v="32"/>
    <x v="1"/>
    <x v="1"/>
    <x v="1"/>
    <x v="9"/>
    <x v="13"/>
    <x v="0"/>
    <x v="3"/>
    <x v="1"/>
  </r>
  <r>
    <s v="23-302-7502"/>
    <n v="30"/>
    <x v="0"/>
    <x v="1"/>
    <x v="1"/>
    <x v="10"/>
    <x v="14"/>
    <x v="2"/>
    <x v="0"/>
    <x v="0"/>
  </r>
  <r>
    <s v="90-069-8934"/>
    <n v="40"/>
    <x v="1"/>
    <x v="1"/>
    <x v="4"/>
    <x v="11"/>
    <x v="15"/>
    <x v="9"/>
    <x v="1"/>
    <x v="1"/>
  </r>
  <r>
    <s v="45-073-7243"/>
    <n v="37"/>
    <x v="1"/>
    <x v="1"/>
    <x v="2"/>
    <x v="4"/>
    <x v="16"/>
    <x v="3"/>
    <x v="2"/>
    <x v="1"/>
  </r>
  <r>
    <s v="89-883-2101"/>
    <n v="38"/>
    <x v="0"/>
    <x v="0"/>
    <x v="3"/>
    <x v="7"/>
    <x v="17"/>
    <x v="10"/>
    <x v="3"/>
    <x v="0"/>
  </r>
  <r>
    <s v="00-477-9449"/>
    <n v="36"/>
    <x v="1"/>
    <x v="0"/>
    <x v="2"/>
    <x v="12"/>
    <x v="18"/>
    <x v="10"/>
    <x v="1"/>
    <x v="1"/>
  </r>
  <r>
    <s v="67-159-7366"/>
    <n v="29"/>
    <x v="0"/>
    <x v="1"/>
    <x v="0"/>
    <x v="13"/>
    <x v="19"/>
    <x v="10"/>
    <x v="0"/>
    <x v="1"/>
  </r>
  <r>
    <s v="85-691-4293"/>
    <n v="21"/>
    <x v="0"/>
    <x v="0"/>
    <x v="3"/>
    <x v="14"/>
    <x v="20"/>
    <x v="6"/>
    <x v="0"/>
    <x v="0"/>
  </r>
  <r>
    <s v="56-085-0464"/>
    <n v="36"/>
    <x v="0"/>
    <x v="1"/>
    <x v="2"/>
    <x v="15"/>
    <x v="21"/>
    <x v="8"/>
    <x v="1"/>
    <x v="0"/>
  </r>
  <r>
    <s v="33-264-2822"/>
    <n v="38"/>
    <x v="1"/>
    <x v="1"/>
    <x v="0"/>
    <x v="16"/>
    <x v="22"/>
    <x v="6"/>
    <x v="1"/>
    <x v="0"/>
  </r>
  <r>
    <s v="95-478-2650"/>
    <n v="37"/>
    <x v="0"/>
    <x v="0"/>
    <x v="5"/>
    <x v="14"/>
    <x v="23"/>
    <x v="6"/>
    <x v="3"/>
    <x v="1"/>
  </r>
  <r>
    <s v="04-349-6759"/>
    <n v="33"/>
    <x v="0"/>
    <x v="1"/>
    <x v="3"/>
    <x v="1"/>
    <x v="24"/>
    <x v="3"/>
    <x v="0"/>
    <x v="0"/>
  </r>
  <r>
    <s v="21-755-8745"/>
    <n v="37"/>
    <x v="1"/>
    <x v="1"/>
    <x v="2"/>
    <x v="12"/>
    <x v="25"/>
    <x v="9"/>
    <x v="3"/>
    <x v="0"/>
  </r>
  <r>
    <s v="29-625-7057"/>
    <n v="31"/>
    <x v="0"/>
    <x v="0"/>
    <x v="1"/>
    <x v="17"/>
    <x v="26"/>
    <x v="10"/>
    <x v="3"/>
    <x v="0"/>
  </r>
  <r>
    <s v="58-623-8404"/>
    <n v="50"/>
    <x v="1"/>
    <x v="1"/>
    <x v="5"/>
    <x v="13"/>
    <x v="27"/>
    <x v="10"/>
    <x v="1"/>
    <x v="1"/>
  </r>
  <r>
    <s v="56-506-4709"/>
    <n v="50"/>
    <x v="1"/>
    <x v="0"/>
    <x v="2"/>
    <x v="17"/>
    <x v="28"/>
    <x v="2"/>
    <x v="2"/>
    <x v="1"/>
  </r>
  <r>
    <s v="25-839-8670"/>
    <n v="45"/>
    <x v="0"/>
    <x v="0"/>
    <x v="3"/>
    <x v="18"/>
    <x v="29"/>
    <x v="7"/>
    <x v="3"/>
    <x v="0"/>
  </r>
  <r>
    <s v="89-194-0596"/>
    <n v="33"/>
    <x v="0"/>
    <x v="1"/>
    <x v="3"/>
    <x v="0"/>
    <x v="30"/>
    <x v="8"/>
    <x v="0"/>
    <x v="0"/>
  </r>
  <r>
    <s v="55-163-1389"/>
    <n v="24"/>
    <x v="1"/>
    <x v="1"/>
    <x v="5"/>
    <x v="7"/>
    <x v="31"/>
    <x v="3"/>
    <x v="1"/>
    <x v="1"/>
  </r>
  <r>
    <s v="28-225-4286"/>
    <n v="39"/>
    <x v="0"/>
    <x v="1"/>
    <x v="1"/>
    <x v="7"/>
    <x v="32"/>
    <x v="8"/>
    <x v="0"/>
    <x v="0"/>
  </r>
  <r>
    <s v="14-305-8712"/>
    <n v="48"/>
    <x v="1"/>
    <x v="1"/>
    <x v="4"/>
    <x v="7"/>
    <x v="33"/>
    <x v="10"/>
    <x v="0"/>
    <x v="0"/>
  </r>
  <r>
    <s v="85-738-6864"/>
    <n v="25"/>
    <x v="1"/>
    <x v="0"/>
    <x v="1"/>
    <x v="7"/>
    <x v="34"/>
    <x v="6"/>
    <x v="0"/>
    <x v="0"/>
  </r>
  <r>
    <s v="17-198-5155"/>
    <n v="30"/>
    <x v="0"/>
    <x v="1"/>
    <x v="0"/>
    <x v="5"/>
    <x v="35"/>
    <x v="3"/>
    <x v="2"/>
    <x v="0"/>
  </r>
  <r>
    <s v="15-354-9904"/>
    <n v="34"/>
    <x v="1"/>
    <x v="0"/>
    <x v="2"/>
    <x v="19"/>
    <x v="36"/>
    <x v="6"/>
    <x v="0"/>
    <x v="0"/>
  </r>
  <r>
    <s v="35-198-9248"/>
    <n v="21"/>
    <x v="0"/>
    <x v="0"/>
    <x v="4"/>
    <x v="16"/>
    <x v="37"/>
    <x v="9"/>
    <x v="3"/>
    <x v="0"/>
  </r>
  <r>
    <s v="03-950-6074"/>
    <n v="36"/>
    <x v="0"/>
    <x v="0"/>
    <x v="4"/>
    <x v="14"/>
    <x v="38"/>
    <x v="5"/>
    <x v="3"/>
    <x v="0"/>
  </r>
  <r>
    <s v="19-999-0134"/>
    <n v="30"/>
    <x v="1"/>
    <x v="0"/>
    <x v="3"/>
    <x v="10"/>
    <x v="39"/>
    <x v="2"/>
    <x v="1"/>
    <x v="1"/>
  </r>
  <r>
    <s v="57-989-1487"/>
    <n v="46"/>
    <x v="0"/>
    <x v="0"/>
    <x v="4"/>
    <x v="14"/>
    <x v="40"/>
    <x v="8"/>
    <x v="1"/>
    <x v="0"/>
  </r>
  <r>
    <s v="07-816-2673"/>
    <n v="46"/>
    <x v="0"/>
    <x v="0"/>
    <x v="2"/>
    <x v="1"/>
    <x v="41"/>
    <x v="8"/>
    <x v="3"/>
    <x v="1"/>
  </r>
  <r>
    <s v="70-761-3550"/>
    <n v="43"/>
    <x v="1"/>
    <x v="1"/>
    <x v="1"/>
    <x v="5"/>
    <x v="42"/>
    <x v="4"/>
    <x v="3"/>
    <x v="0"/>
  </r>
  <r>
    <s v="38-242-3251"/>
    <n v="43"/>
    <x v="1"/>
    <x v="1"/>
    <x v="3"/>
    <x v="17"/>
    <x v="43"/>
    <x v="1"/>
    <x v="0"/>
    <x v="0"/>
  </r>
  <r>
    <s v="95-525-0842"/>
    <n v="34"/>
    <x v="1"/>
    <x v="1"/>
    <x v="3"/>
    <x v="5"/>
    <x v="44"/>
    <x v="7"/>
    <x v="0"/>
    <x v="1"/>
  </r>
  <r>
    <s v="37-101-4922"/>
    <n v="42"/>
    <x v="0"/>
    <x v="0"/>
    <x v="2"/>
    <x v="7"/>
    <x v="45"/>
    <x v="0"/>
    <x v="0"/>
    <x v="0"/>
  </r>
  <r>
    <s v="37-128-5425"/>
    <n v="40"/>
    <x v="0"/>
    <x v="1"/>
    <x v="4"/>
    <x v="16"/>
    <x v="46"/>
    <x v="3"/>
    <x v="0"/>
    <x v="0"/>
  </r>
  <r>
    <s v="27-439-9545"/>
    <n v="25"/>
    <x v="0"/>
    <x v="1"/>
    <x v="5"/>
    <x v="16"/>
    <x v="47"/>
    <x v="3"/>
    <x v="0"/>
    <x v="0"/>
  </r>
  <r>
    <s v="37-126-7954"/>
    <n v="38"/>
    <x v="1"/>
    <x v="0"/>
    <x v="5"/>
    <x v="20"/>
    <x v="48"/>
    <x v="2"/>
    <x v="3"/>
    <x v="1"/>
  </r>
  <r>
    <s v="82-990-0504"/>
    <n v="46"/>
    <x v="0"/>
    <x v="0"/>
    <x v="1"/>
    <x v="19"/>
    <x v="49"/>
    <x v="6"/>
    <x v="0"/>
    <x v="0"/>
  </r>
  <r>
    <s v="21-734-0212"/>
    <n v="24"/>
    <x v="0"/>
    <x v="0"/>
    <x v="1"/>
    <x v="21"/>
    <x v="50"/>
    <x v="4"/>
    <x v="2"/>
    <x v="1"/>
  </r>
  <r>
    <s v="76-148-9413"/>
    <n v="43"/>
    <x v="0"/>
    <x v="1"/>
    <x v="1"/>
    <x v="17"/>
    <x v="51"/>
    <x v="11"/>
    <x v="1"/>
    <x v="0"/>
  </r>
  <r>
    <s v="53-639-3774"/>
    <n v="37"/>
    <x v="0"/>
    <x v="0"/>
    <x v="0"/>
    <x v="22"/>
    <x v="52"/>
    <x v="6"/>
    <x v="1"/>
    <x v="0"/>
  </r>
  <r>
    <s v="20-817-9584"/>
    <n v="42"/>
    <x v="1"/>
    <x v="0"/>
    <x v="0"/>
    <x v="9"/>
    <x v="53"/>
    <x v="6"/>
    <x v="0"/>
    <x v="0"/>
  </r>
  <r>
    <s v="18-655-3670"/>
    <n v="29"/>
    <x v="1"/>
    <x v="0"/>
    <x v="4"/>
    <x v="2"/>
    <x v="54"/>
    <x v="11"/>
    <x v="1"/>
    <x v="1"/>
  </r>
  <r>
    <s v="72-431-5021"/>
    <n v="35"/>
    <x v="0"/>
    <x v="1"/>
    <x v="5"/>
    <x v="9"/>
    <x v="55"/>
    <x v="3"/>
    <x v="1"/>
    <x v="0"/>
  </r>
  <r>
    <s v="07-479-3919"/>
    <n v="27"/>
    <x v="0"/>
    <x v="0"/>
    <x v="3"/>
    <x v="6"/>
    <x v="56"/>
    <x v="9"/>
    <x v="2"/>
    <x v="0"/>
  </r>
  <r>
    <s v="17-032-6274"/>
    <n v="40"/>
    <x v="0"/>
    <x v="1"/>
    <x v="0"/>
    <x v="5"/>
    <x v="57"/>
    <x v="9"/>
    <x v="3"/>
    <x v="0"/>
  </r>
  <r>
    <s v="64-166-9097"/>
    <n v="34"/>
    <x v="0"/>
    <x v="1"/>
    <x v="4"/>
    <x v="4"/>
    <x v="58"/>
    <x v="3"/>
    <x v="1"/>
    <x v="1"/>
  </r>
  <r>
    <s v="39-499-3854"/>
    <n v="25"/>
    <x v="0"/>
    <x v="0"/>
    <x v="4"/>
    <x v="11"/>
    <x v="59"/>
    <x v="10"/>
    <x v="3"/>
    <x v="1"/>
  </r>
  <r>
    <s v="39-636-5871"/>
    <n v="38"/>
    <x v="1"/>
    <x v="1"/>
    <x v="3"/>
    <x v="15"/>
    <x v="60"/>
    <x v="2"/>
    <x v="0"/>
    <x v="1"/>
  </r>
  <r>
    <s v="71-667-2334"/>
    <n v="33"/>
    <x v="1"/>
    <x v="1"/>
    <x v="4"/>
    <x v="22"/>
    <x v="61"/>
    <x v="5"/>
    <x v="0"/>
    <x v="1"/>
  </r>
  <r>
    <s v="35-192-9050"/>
    <n v="32"/>
    <x v="0"/>
    <x v="0"/>
    <x v="3"/>
    <x v="9"/>
    <x v="62"/>
    <x v="11"/>
    <x v="1"/>
    <x v="0"/>
  </r>
  <r>
    <s v="91-440-0011"/>
    <n v="50"/>
    <x v="0"/>
    <x v="0"/>
    <x v="5"/>
    <x v="6"/>
    <x v="63"/>
    <x v="11"/>
    <x v="0"/>
    <x v="0"/>
  </r>
  <r>
    <s v="20-830-4758"/>
    <n v="35"/>
    <x v="0"/>
    <x v="0"/>
    <x v="1"/>
    <x v="8"/>
    <x v="64"/>
    <x v="0"/>
    <x v="3"/>
    <x v="0"/>
  </r>
  <r>
    <s v="84-337-1016"/>
    <n v="19"/>
    <x v="0"/>
    <x v="1"/>
    <x v="1"/>
    <x v="10"/>
    <x v="65"/>
    <x v="4"/>
    <x v="2"/>
    <x v="0"/>
  </r>
  <r>
    <s v="09-346-4992"/>
    <n v="46"/>
    <x v="0"/>
    <x v="1"/>
    <x v="4"/>
    <x v="13"/>
    <x v="66"/>
    <x v="11"/>
    <x v="3"/>
    <x v="0"/>
  </r>
  <r>
    <s v="75-083-3608"/>
    <n v="23"/>
    <x v="1"/>
    <x v="0"/>
    <x v="2"/>
    <x v="6"/>
    <x v="67"/>
    <x v="2"/>
    <x v="3"/>
    <x v="1"/>
  </r>
  <r>
    <s v="29-779-7209"/>
    <n v="34"/>
    <x v="0"/>
    <x v="1"/>
    <x v="0"/>
    <x v="5"/>
    <x v="68"/>
    <x v="8"/>
    <x v="2"/>
    <x v="1"/>
  </r>
  <r>
    <s v="12-409-5166"/>
    <n v="48"/>
    <x v="1"/>
    <x v="0"/>
    <x v="2"/>
    <x v="4"/>
    <x v="69"/>
    <x v="1"/>
    <x v="3"/>
    <x v="1"/>
  </r>
  <r>
    <s v="07-024-4995"/>
    <n v="27"/>
    <x v="0"/>
    <x v="0"/>
    <x v="4"/>
    <x v="4"/>
    <x v="70"/>
    <x v="1"/>
    <x v="3"/>
    <x v="1"/>
  </r>
  <r>
    <s v="74-478-5950"/>
    <n v="37"/>
    <x v="0"/>
    <x v="0"/>
    <x v="5"/>
    <x v="3"/>
    <x v="71"/>
    <x v="11"/>
    <x v="3"/>
    <x v="0"/>
  </r>
  <r>
    <s v="31-395-1286"/>
    <n v="47"/>
    <x v="1"/>
    <x v="1"/>
    <x v="3"/>
    <x v="18"/>
    <x v="72"/>
    <x v="10"/>
    <x v="2"/>
    <x v="0"/>
  </r>
  <r>
    <s v="60-838-4334"/>
    <n v="45"/>
    <x v="1"/>
    <x v="1"/>
    <x v="4"/>
    <x v="5"/>
    <x v="73"/>
    <x v="11"/>
    <x v="2"/>
    <x v="0"/>
  </r>
  <r>
    <s v="71-197-8227"/>
    <n v="37"/>
    <x v="1"/>
    <x v="0"/>
    <x v="1"/>
    <x v="13"/>
    <x v="74"/>
    <x v="0"/>
    <x v="3"/>
    <x v="1"/>
  </r>
  <r>
    <s v="15-530-3861"/>
    <n v="36"/>
    <x v="1"/>
    <x v="1"/>
    <x v="5"/>
    <x v="20"/>
    <x v="75"/>
    <x v="3"/>
    <x v="1"/>
    <x v="1"/>
  </r>
  <r>
    <s v="30-567-4471"/>
    <n v="34"/>
    <x v="1"/>
    <x v="0"/>
    <x v="1"/>
    <x v="20"/>
    <x v="76"/>
    <x v="10"/>
    <x v="1"/>
    <x v="1"/>
  </r>
  <r>
    <s v="04-465-1819"/>
    <n v="37"/>
    <x v="1"/>
    <x v="1"/>
    <x v="1"/>
    <x v="23"/>
    <x v="77"/>
    <x v="8"/>
    <x v="0"/>
    <x v="1"/>
  </r>
  <r>
    <s v="69-692-0614"/>
    <n v="18"/>
    <x v="0"/>
    <x v="0"/>
    <x v="4"/>
    <x v="7"/>
    <x v="78"/>
    <x v="2"/>
    <x v="0"/>
    <x v="0"/>
  </r>
  <r>
    <s v="12-839-8066"/>
    <n v="20"/>
    <x v="1"/>
    <x v="1"/>
    <x v="3"/>
    <x v="14"/>
    <x v="79"/>
    <x v="3"/>
    <x v="0"/>
    <x v="0"/>
  </r>
  <r>
    <s v="05-465-8765"/>
    <n v="27"/>
    <x v="0"/>
    <x v="1"/>
    <x v="5"/>
    <x v="8"/>
    <x v="80"/>
    <x v="6"/>
    <x v="2"/>
    <x v="0"/>
  </r>
  <r>
    <s v="81-580-3810"/>
    <n v="36"/>
    <x v="1"/>
    <x v="0"/>
    <x v="3"/>
    <x v="1"/>
    <x v="81"/>
    <x v="10"/>
    <x v="1"/>
    <x v="1"/>
  </r>
  <r>
    <s v="74-353-6312"/>
    <n v="46"/>
    <x v="0"/>
    <x v="0"/>
    <x v="4"/>
    <x v="19"/>
    <x v="82"/>
    <x v="2"/>
    <x v="1"/>
    <x v="1"/>
  </r>
  <r>
    <s v="78-824-1887"/>
    <n v="26"/>
    <x v="1"/>
    <x v="0"/>
    <x v="0"/>
    <x v="22"/>
    <x v="83"/>
    <x v="0"/>
    <x v="3"/>
    <x v="1"/>
  </r>
  <r>
    <s v="31-218-0024"/>
    <n v="21"/>
    <x v="0"/>
    <x v="1"/>
    <x v="5"/>
    <x v="18"/>
    <x v="84"/>
    <x v="1"/>
    <x v="2"/>
    <x v="0"/>
  </r>
  <r>
    <s v="15-711-4107"/>
    <n v="43"/>
    <x v="1"/>
    <x v="1"/>
    <x v="5"/>
    <x v="4"/>
    <x v="85"/>
    <x v="10"/>
    <x v="2"/>
    <x v="1"/>
  </r>
  <r>
    <s v="76-672-1193"/>
    <n v="19"/>
    <x v="1"/>
    <x v="1"/>
    <x v="0"/>
    <x v="22"/>
    <x v="86"/>
    <x v="0"/>
    <x v="3"/>
    <x v="1"/>
  </r>
  <r>
    <s v="46-503-5589"/>
    <n v="41"/>
    <x v="0"/>
    <x v="1"/>
    <x v="4"/>
    <x v="2"/>
    <x v="87"/>
    <x v="2"/>
    <x v="2"/>
    <x v="0"/>
  </r>
  <r>
    <s v="87-499-6916"/>
    <n v="48"/>
    <x v="1"/>
    <x v="0"/>
    <x v="4"/>
    <x v="1"/>
    <x v="88"/>
    <x v="5"/>
    <x v="1"/>
    <x v="1"/>
  </r>
  <r>
    <s v="30-520-8656"/>
    <n v="19"/>
    <x v="0"/>
    <x v="0"/>
    <x v="3"/>
    <x v="10"/>
    <x v="89"/>
    <x v="11"/>
    <x v="3"/>
    <x v="0"/>
  </r>
  <r>
    <s v="36-323-3504"/>
    <n v="29"/>
    <x v="1"/>
    <x v="0"/>
    <x v="5"/>
    <x v="1"/>
    <x v="90"/>
    <x v="4"/>
    <x v="0"/>
    <x v="0"/>
  </r>
  <r>
    <s v="93-810-4051"/>
    <n v="26"/>
    <x v="0"/>
    <x v="1"/>
    <x v="5"/>
    <x v="21"/>
    <x v="91"/>
    <x v="10"/>
    <x v="0"/>
    <x v="0"/>
  </r>
  <r>
    <s v="66-515-3648"/>
    <n v="20"/>
    <x v="0"/>
    <x v="0"/>
    <x v="5"/>
    <x v="10"/>
    <x v="92"/>
    <x v="6"/>
    <x v="2"/>
    <x v="1"/>
  </r>
  <r>
    <s v="09-216-1957"/>
    <n v="31"/>
    <x v="0"/>
    <x v="1"/>
    <x v="0"/>
    <x v="23"/>
    <x v="93"/>
    <x v="8"/>
    <x v="1"/>
    <x v="1"/>
  </r>
  <r>
    <s v="23-253-2565"/>
    <n v="23"/>
    <x v="0"/>
    <x v="1"/>
    <x v="5"/>
    <x v="16"/>
    <x v="94"/>
    <x v="4"/>
    <x v="1"/>
    <x v="0"/>
  </r>
  <r>
    <s v="74-509-4985"/>
    <n v="19"/>
    <x v="0"/>
    <x v="1"/>
    <x v="5"/>
    <x v="11"/>
    <x v="95"/>
    <x v="8"/>
    <x v="3"/>
    <x v="1"/>
  </r>
  <r>
    <s v="05-857-1572"/>
    <n v="23"/>
    <x v="0"/>
    <x v="0"/>
    <x v="1"/>
    <x v="9"/>
    <x v="96"/>
    <x v="4"/>
    <x v="1"/>
    <x v="1"/>
  </r>
  <r>
    <s v="26-521-8328"/>
    <n v="49"/>
    <x v="0"/>
    <x v="0"/>
    <x v="2"/>
    <x v="4"/>
    <x v="97"/>
    <x v="8"/>
    <x v="0"/>
    <x v="1"/>
  </r>
  <r>
    <s v="31-147-6197"/>
    <n v="23"/>
    <x v="0"/>
    <x v="1"/>
    <x v="2"/>
    <x v="2"/>
    <x v="98"/>
    <x v="2"/>
    <x v="1"/>
    <x v="1"/>
  </r>
  <r>
    <s v="90-093-0469"/>
    <n v="42"/>
    <x v="1"/>
    <x v="0"/>
    <x v="0"/>
    <x v="10"/>
    <x v="99"/>
    <x v="1"/>
    <x v="1"/>
    <x v="1"/>
  </r>
  <r>
    <s v="38-935-1865"/>
    <n v="18"/>
    <x v="0"/>
    <x v="1"/>
    <x v="3"/>
    <x v="21"/>
    <x v="100"/>
    <x v="6"/>
    <x v="3"/>
    <x v="0"/>
  </r>
  <r>
    <s v="75-953-8663"/>
    <n v="35"/>
    <x v="1"/>
    <x v="1"/>
    <x v="4"/>
    <x v="11"/>
    <x v="101"/>
    <x v="3"/>
    <x v="1"/>
    <x v="1"/>
  </r>
  <r>
    <s v="38-478-2681"/>
    <n v="22"/>
    <x v="1"/>
    <x v="0"/>
    <x v="0"/>
    <x v="3"/>
    <x v="102"/>
    <x v="8"/>
    <x v="0"/>
    <x v="0"/>
  </r>
  <r>
    <s v="70-895-5298"/>
    <n v="28"/>
    <x v="0"/>
    <x v="0"/>
    <x v="0"/>
    <x v="1"/>
    <x v="103"/>
    <x v="6"/>
    <x v="3"/>
    <x v="1"/>
  </r>
  <r>
    <s v="02-653-5884"/>
    <n v="42"/>
    <x v="0"/>
    <x v="1"/>
    <x v="0"/>
    <x v="17"/>
    <x v="104"/>
    <x v="3"/>
    <x v="3"/>
    <x v="0"/>
  </r>
  <r>
    <s v="11-719-8800"/>
    <n v="37"/>
    <x v="0"/>
    <x v="0"/>
    <x v="5"/>
    <x v="1"/>
    <x v="105"/>
    <x v="7"/>
    <x v="1"/>
    <x v="1"/>
  </r>
  <r>
    <s v="59-355-5251"/>
    <n v="33"/>
    <x v="0"/>
    <x v="0"/>
    <x v="4"/>
    <x v="9"/>
    <x v="106"/>
    <x v="11"/>
    <x v="1"/>
    <x v="0"/>
  </r>
  <r>
    <s v="82-572-9091"/>
    <n v="46"/>
    <x v="0"/>
    <x v="0"/>
    <x v="2"/>
    <x v="22"/>
    <x v="107"/>
    <x v="2"/>
    <x v="2"/>
    <x v="0"/>
  </r>
  <r>
    <s v="86-044-1071"/>
    <n v="30"/>
    <x v="0"/>
    <x v="0"/>
    <x v="1"/>
    <x v="11"/>
    <x v="108"/>
    <x v="10"/>
    <x v="0"/>
    <x v="0"/>
  </r>
  <r>
    <s v="08-733-0300"/>
    <n v="39"/>
    <x v="0"/>
    <x v="0"/>
    <x v="1"/>
    <x v="5"/>
    <x v="109"/>
    <x v="10"/>
    <x v="2"/>
    <x v="0"/>
  </r>
  <r>
    <s v="70-108-1493"/>
    <n v="25"/>
    <x v="0"/>
    <x v="0"/>
    <x v="2"/>
    <x v="2"/>
    <x v="110"/>
    <x v="9"/>
    <x v="0"/>
    <x v="1"/>
  </r>
  <r>
    <s v="46-230-8307"/>
    <n v="38"/>
    <x v="0"/>
    <x v="1"/>
    <x v="3"/>
    <x v="10"/>
    <x v="111"/>
    <x v="8"/>
    <x v="3"/>
    <x v="0"/>
  </r>
  <r>
    <s v="74-431-0242"/>
    <n v="41"/>
    <x v="0"/>
    <x v="0"/>
    <x v="5"/>
    <x v="10"/>
    <x v="112"/>
    <x v="0"/>
    <x v="3"/>
    <x v="1"/>
  </r>
  <r>
    <s v="78-272-6417"/>
    <n v="49"/>
    <x v="0"/>
    <x v="0"/>
    <x v="5"/>
    <x v="23"/>
    <x v="113"/>
    <x v="5"/>
    <x v="2"/>
    <x v="0"/>
  </r>
  <r>
    <s v="13-792-4356"/>
    <n v="21"/>
    <x v="1"/>
    <x v="1"/>
    <x v="0"/>
    <x v="0"/>
    <x v="114"/>
    <x v="4"/>
    <x v="3"/>
    <x v="1"/>
  </r>
  <r>
    <s v="04-563-9091"/>
    <n v="37"/>
    <x v="1"/>
    <x v="0"/>
    <x v="0"/>
    <x v="2"/>
    <x v="115"/>
    <x v="6"/>
    <x v="2"/>
    <x v="1"/>
  </r>
  <r>
    <s v="79-592-5396"/>
    <n v="30"/>
    <x v="0"/>
    <x v="1"/>
    <x v="5"/>
    <x v="6"/>
    <x v="116"/>
    <x v="0"/>
    <x v="3"/>
    <x v="0"/>
  </r>
  <r>
    <s v="39-952-4459"/>
    <n v="18"/>
    <x v="0"/>
    <x v="1"/>
    <x v="1"/>
    <x v="13"/>
    <x v="117"/>
    <x v="6"/>
    <x v="1"/>
    <x v="0"/>
  </r>
  <r>
    <s v="67-935-7964"/>
    <n v="41"/>
    <x v="0"/>
    <x v="0"/>
    <x v="0"/>
    <x v="2"/>
    <x v="118"/>
    <x v="0"/>
    <x v="2"/>
    <x v="0"/>
  </r>
  <r>
    <s v="26-828-2720"/>
    <n v="40"/>
    <x v="1"/>
    <x v="1"/>
    <x v="5"/>
    <x v="7"/>
    <x v="119"/>
    <x v="6"/>
    <x v="2"/>
    <x v="0"/>
  </r>
  <r>
    <s v="57-410-7415"/>
    <n v="33"/>
    <x v="0"/>
    <x v="1"/>
    <x v="5"/>
    <x v="1"/>
    <x v="120"/>
    <x v="3"/>
    <x v="1"/>
    <x v="0"/>
  </r>
  <r>
    <s v="62-989-8214"/>
    <n v="30"/>
    <x v="0"/>
    <x v="0"/>
    <x v="0"/>
    <x v="20"/>
    <x v="121"/>
    <x v="7"/>
    <x v="1"/>
    <x v="1"/>
  </r>
  <r>
    <s v="73-827-2774"/>
    <n v="33"/>
    <x v="0"/>
    <x v="1"/>
    <x v="5"/>
    <x v="13"/>
    <x v="122"/>
    <x v="9"/>
    <x v="1"/>
    <x v="0"/>
  </r>
  <r>
    <s v="19-643-1879"/>
    <n v="45"/>
    <x v="1"/>
    <x v="0"/>
    <x v="3"/>
    <x v="1"/>
    <x v="123"/>
    <x v="3"/>
    <x v="0"/>
    <x v="0"/>
  </r>
  <r>
    <s v="57-345-3921"/>
    <n v="42"/>
    <x v="0"/>
    <x v="1"/>
    <x v="2"/>
    <x v="23"/>
    <x v="124"/>
    <x v="7"/>
    <x v="2"/>
    <x v="1"/>
  </r>
  <r>
    <s v="98-817-6731"/>
    <n v="30"/>
    <x v="1"/>
    <x v="1"/>
    <x v="2"/>
    <x v="18"/>
    <x v="125"/>
    <x v="3"/>
    <x v="1"/>
    <x v="0"/>
  </r>
  <r>
    <s v="31-788-0864"/>
    <n v="42"/>
    <x v="1"/>
    <x v="0"/>
    <x v="3"/>
    <x v="21"/>
    <x v="126"/>
    <x v="1"/>
    <x v="0"/>
    <x v="0"/>
  </r>
  <r>
    <s v="27-806-4972"/>
    <n v="26"/>
    <x v="0"/>
    <x v="1"/>
    <x v="5"/>
    <x v="10"/>
    <x v="127"/>
    <x v="3"/>
    <x v="3"/>
    <x v="1"/>
  </r>
  <r>
    <s v="48-343-1220"/>
    <n v="42"/>
    <x v="0"/>
    <x v="1"/>
    <x v="5"/>
    <x v="23"/>
    <x v="128"/>
    <x v="3"/>
    <x v="0"/>
    <x v="0"/>
  </r>
  <r>
    <s v="15-640-6493"/>
    <n v="31"/>
    <x v="1"/>
    <x v="1"/>
    <x v="3"/>
    <x v="9"/>
    <x v="129"/>
    <x v="8"/>
    <x v="1"/>
    <x v="1"/>
  </r>
  <r>
    <s v="64-846-7450"/>
    <n v="37"/>
    <x v="1"/>
    <x v="1"/>
    <x v="2"/>
    <x v="22"/>
    <x v="130"/>
    <x v="8"/>
    <x v="0"/>
    <x v="1"/>
  </r>
  <r>
    <s v="58-788-8938"/>
    <n v="49"/>
    <x v="1"/>
    <x v="1"/>
    <x v="0"/>
    <x v="18"/>
    <x v="131"/>
    <x v="4"/>
    <x v="3"/>
    <x v="1"/>
  </r>
  <r>
    <s v="52-240-3825"/>
    <n v="34"/>
    <x v="1"/>
    <x v="1"/>
    <x v="5"/>
    <x v="3"/>
    <x v="132"/>
    <x v="0"/>
    <x v="3"/>
    <x v="0"/>
  </r>
  <r>
    <s v="60-618-2561"/>
    <n v="41"/>
    <x v="1"/>
    <x v="1"/>
    <x v="4"/>
    <x v="11"/>
    <x v="133"/>
    <x v="7"/>
    <x v="0"/>
    <x v="0"/>
  </r>
  <r>
    <s v="94-969-6819"/>
    <n v="33"/>
    <x v="1"/>
    <x v="1"/>
    <x v="3"/>
    <x v="10"/>
    <x v="134"/>
    <x v="3"/>
    <x v="1"/>
    <x v="0"/>
  </r>
  <r>
    <s v="76-982-8107"/>
    <n v="47"/>
    <x v="0"/>
    <x v="0"/>
    <x v="5"/>
    <x v="13"/>
    <x v="135"/>
    <x v="2"/>
    <x v="3"/>
    <x v="0"/>
  </r>
  <r>
    <s v="52-779-8972"/>
    <n v="47"/>
    <x v="1"/>
    <x v="1"/>
    <x v="1"/>
    <x v="1"/>
    <x v="136"/>
    <x v="0"/>
    <x v="0"/>
    <x v="0"/>
  </r>
  <r>
    <s v="40-520-3271"/>
    <n v="29"/>
    <x v="0"/>
    <x v="1"/>
    <x v="4"/>
    <x v="18"/>
    <x v="137"/>
    <x v="10"/>
    <x v="0"/>
    <x v="1"/>
  </r>
  <r>
    <s v="79-884-5600"/>
    <n v="36"/>
    <x v="0"/>
    <x v="1"/>
    <x v="0"/>
    <x v="5"/>
    <x v="138"/>
    <x v="0"/>
    <x v="3"/>
    <x v="0"/>
  </r>
  <r>
    <s v="80-607-9947"/>
    <n v="43"/>
    <x v="1"/>
    <x v="1"/>
    <x v="0"/>
    <x v="16"/>
    <x v="139"/>
    <x v="8"/>
    <x v="2"/>
    <x v="1"/>
  </r>
  <r>
    <s v="87-290-8263"/>
    <n v="31"/>
    <x v="1"/>
    <x v="1"/>
    <x v="2"/>
    <x v="3"/>
    <x v="140"/>
    <x v="5"/>
    <x v="2"/>
    <x v="1"/>
  </r>
  <r>
    <s v="99-316-9993"/>
    <n v="27"/>
    <x v="1"/>
    <x v="0"/>
    <x v="2"/>
    <x v="19"/>
    <x v="141"/>
    <x v="10"/>
    <x v="2"/>
    <x v="1"/>
  </r>
  <r>
    <s v="54-164-2243"/>
    <n v="48"/>
    <x v="1"/>
    <x v="0"/>
    <x v="1"/>
    <x v="11"/>
    <x v="142"/>
    <x v="0"/>
    <x v="3"/>
    <x v="1"/>
  </r>
  <r>
    <s v="14-784-5606"/>
    <n v="19"/>
    <x v="1"/>
    <x v="1"/>
    <x v="3"/>
    <x v="1"/>
    <x v="143"/>
    <x v="2"/>
    <x v="1"/>
    <x v="0"/>
  </r>
  <r>
    <s v="47-992-7446"/>
    <n v="41"/>
    <x v="1"/>
    <x v="0"/>
    <x v="5"/>
    <x v="13"/>
    <x v="144"/>
    <x v="10"/>
    <x v="3"/>
    <x v="1"/>
  </r>
  <r>
    <s v="37-513-5073"/>
    <n v="33"/>
    <x v="0"/>
    <x v="0"/>
    <x v="1"/>
    <x v="13"/>
    <x v="145"/>
    <x v="10"/>
    <x v="1"/>
    <x v="1"/>
  </r>
  <r>
    <s v="93-473-7248"/>
    <n v="43"/>
    <x v="1"/>
    <x v="0"/>
    <x v="2"/>
    <x v="15"/>
    <x v="146"/>
    <x v="3"/>
    <x v="0"/>
    <x v="0"/>
  </r>
  <r>
    <s v="72-830-1211"/>
    <n v="38"/>
    <x v="1"/>
    <x v="1"/>
    <x v="2"/>
    <x v="23"/>
    <x v="147"/>
    <x v="2"/>
    <x v="3"/>
    <x v="0"/>
  </r>
  <r>
    <s v="87-934-6762"/>
    <n v="41"/>
    <x v="1"/>
    <x v="1"/>
    <x v="5"/>
    <x v="15"/>
    <x v="148"/>
    <x v="9"/>
    <x v="2"/>
    <x v="1"/>
  </r>
  <r>
    <s v="71-975-9564"/>
    <n v="40"/>
    <x v="1"/>
    <x v="1"/>
    <x v="2"/>
    <x v="0"/>
    <x v="149"/>
    <x v="1"/>
    <x v="2"/>
    <x v="1"/>
  </r>
  <r>
    <s v="40-232-5631"/>
    <n v="47"/>
    <x v="0"/>
    <x v="0"/>
    <x v="5"/>
    <x v="14"/>
    <x v="150"/>
    <x v="2"/>
    <x v="2"/>
    <x v="0"/>
  </r>
  <r>
    <s v="22-414-4955"/>
    <n v="35"/>
    <x v="1"/>
    <x v="1"/>
    <x v="2"/>
    <x v="18"/>
    <x v="151"/>
    <x v="9"/>
    <x v="2"/>
    <x v="1"/>
  </r>
  <r>
    <s v="99-089-1930"/>
    <n v="49"/>
    <x v="0"/>
    <x v="1"/>
    <x v="1"/>
    <x v="12"/>
    <x v="152"/>
    <x v="8"/>
    <x v="1"/>
    <x v="1"/>
  </r>
  <r>
    <s v="62-198-2511"/>
    <n v="22"/>
    <x v="1"/>
    <x v="0"/>
    <x v="0"/>
    <x v="3"/>
    <x v="153"/>
    <x v="9"/>
    <x v="3"/>
    <x v="1"/>
  </r>
  <r>
    <s v="21-297-1223"/>
    <n v="49"/>
    <x v="1"/>
    <x v="1"/>
    <x v="4"/>
    <x v="22"/>
    <x v="154"/>
    <x v="7"/>
    <x v="3"/>
    <x v="0"/>
  </r>
  <r>
    <s v="10-961-9336"/>
    <n v="27"/>
    <x v="0"/>
    <x v="0"/>
    <x v="1"/>
    <x v="22"/>
    <x v="155"/>
    <x v="8"/>
    <x v="0"/>
    <x v="0"/>
  </r>
  <r>
    <s v="71-473-2656"/>
    <n v="27"/>
    <x v="0"/>
    <x v="1"/>
    <x v="5"/>
    <x v="10"/>
    <x v="156"/>
    <x v="0"/>
    <x v="3"/>
    <x v="0"/>
  </r>
  <r>
    <s v="84-954-2973"/>
    <n v="37"/>
    <x v="0"/>
    <x v="1"/>
    <x v="5"/>
    <x v="11"/>
    <x v="157"/>
    <x v="9"/>
    <x v="0"/>
    <x v="1"/>
  </r>
  <r>
    <s v="22-382-9636"/>
    <n v="32"/>
    <x v="1"/>
    <x v="0"/>
    <x v="0"/>
    <x v="10"/>
    <x v="158"/>
    <x v="9"/>
    <x v="3"/>
    <x v="1"/>
  </r>
  <r>
    <s v="89-724-2536"/>
    <n v="42"/>
    <x v="1"/>
    <x v="0"/>
    <x v="1"/>
    <x v="17"/>
    <x v="159"/>
    <x v="2"/>
    <x v="2"/>
    <x v="0"/>
  </r>
  <r>
    <s v="85-391-1888"/>
    <n v="18"/>
    <x v="0"/>
    <x v="1"/>
    <x v="0"/>
    <x v="14"/>
    <x v="160"/>
    <x v="4"/>
    <x v="2"/>
    <x v="1"/>
  </r>
  <r>
    <s v="84-934-2483"/>
    <n v="49"/>
    <x v="1"/>
    <x v="1"/>
    <x v="4"/>
    <x v="17"/>
    <x v="161"/>
    <x v="0"/>
    <x v="3"/>
    <x v="1"/>
  </r>
  <r>
    <s v="96-229-1698"/>
    <n v="23"/>
    <x v="0"/>
    <x v="0"/>
    <x v="3"/>
    <x v="9"/>
    <x v="162"/>
    <x v="6"/>
    <x v="3"/>
    <x v="0"/>
  </r>
  <r>
    <s v="36-948-6994"/>
    <n v="29"/>
    <x v="0"/>
    <x v="1"/>
    <x v="5"/>
    <x v="8"/>
    <x v="163"/>
    <x v="1"/>
    <x v="0"/>
    <x v="1"/>
  </r>
  <r>
    <s v="43-172-9431"/>
    <n v="25"/>
    <x v="1"/>
    <x v="0"/>
    <x v="4"/>
    <x v="0"/>
    <x v="164"/>
    <x v="4"/>
    <x v="3"/>
    <x v="1"/>
  </r>
  <r>
    <s v="53-690-5759"/>
    <n v="38"/>
    <x v="0"/>
    <x v="1"/>
    <x v="1"/>
    <x v="3"/>
    <x v="165"/>
    <x v="1"/>
    <x v="1"/>
    <x v="0"/>
  </r>
  <r>
    <s v="00-496-3067"/>
    <n v="32"/>
    <x v="0"/>
    <x v="0"/>
    <x v="0"/>
    <x v="12"/>
    <x v="166"/>
    <x v="4"/>
    <x v="1"/>
    <x v="1"/>
  </r>
  <r>
    <s v="10-330-6387"/>
    <n v="45"/>
    <x v="1"/>
    <x v="1"/>
    <x v="3"/>
    <x v="4"/>
    <x v="167"/>
    <x v="7"/>
    <x v="2"/>
    <x v="0"/>
  </r>
  <r>
    <s v="87-590-8963"/>
    <n v="45"/>
    <x v="0"/>
    <x v="1"/>
    <x v="3"/>
    <x v="15"/>
    <x v="168"/>
    <x v="5"/>
    <x v="3"/>
    <x v="1"/>
  </r>
  <r>
    <s v="47-931-2642"/>
    <n v="46"/>
    <x v="1"/>
    <x v="0"/>
    <x v="5"/>
    <x v="21"/>
    <x v="169"/>
    <x v="8"/>
    <x v="1"/>
    <x v="1"/>
  </r>
  <r>
    <s v="76-501-6422"/>
    <n v="24"/>
    <x v="1"/>
    <x v="0"/>
    <x v="1"/>
    <x v="3"/>
    <x v="170"/>
    <x v="7"/>
    <x v="3"/>
    <x v="1"/>
  </r>
  <r>
    <s v="39-274-2175"/>
    <n v="48"/>
    <x v="1"/>
    <x v="1"/>
    <x v="0"/>
    <x v="18"/>
    <x v="171"/>
    <x v="10"/>
    <x v="0"/>
    <x v="0"/>
  </r>
  <r>
    <s v="62-493-5282"/>
    <n v="35"/>
    <x v="1"/>
    <x v="1"/>
    <x v="3"/>
    <x v="10"/>
    <x v="172"/>
    <x v="7"/>
    <x v="3"/>
    <x v="0"/>
  </r>
  <r>
    <s v="18-841-7253"/>
    <n v="50"/>
    <x v="0"/>
    <x v="1"/>
    <x v="2"/>
    <x v="5"/>
    <x v="173"/>
    <x v="7"/>
    <x v="0"/>
    <x v="0"/>
  </r>
  <r>
    <s v="18-097-5707"/>
    <n v="34"/>
    <x v="1"/>
    <x v="0"/>
    <x v="3"/>
    <x v="6"/>
    <x v="174"/>
    <x v="2"/>
    <x v="3"/>
    <x v="1"/>
  </r>
  <r>
    <s v="83-792-5141"/>
    <n v="50"/>
    <x v="0"/>
    <x v="0"/>
    <x v="3"/>
    <x v="3"/>
    <x v="175"/>
    <x v="6"/>
    <x v="1"/>
    <x v="1"/>
  </r>
  <r>
    <s v="65-036-2410"/>
    <n v="50"/>
    <x v="0"/>
    <x v="0"/>
    <x v="5"/>
    <x v="10"/>
    <x v="176"/>
    <x v="2"/>
    <x v="0"/>
    <x v="0"/>
  </r>
  <r>
    <s v="67-593-9579"/>
    <n v="46"/>
    <x v="1"/>
    <x v="0"/>
    <x v="3"/>
    <x v="15"/>
    <x v="177"/>
    <x v="7"/>
    <x v="3"/>
    <x v="1"/>
  </r>
  <r>
    <s v="33-484-6674"/>
    <n v="47"/>
    <x v="1"/>
    <x v="0"/>
    <x v="1"/>
    <x v="12"/>
    <x v="178"/>
    <x v="10"/>
    <x v="1"/>
    <x v="0"/>
  </r>
  <r>
    <s v="65-249-5416"/>
    <n v="35"/>
    <x v="1"/>
    <x v="1"/>
    <x v="4"/>
    <x v="23"/>
    <x v="179"/>
    <x v="0"/>
    <x v="2"/>
    <x v="0"/>
  </r>
  <r>
    <s v="17-328-4678"/>
    <n v="27"/>
    <x v="1"/>
    <x v="1"/>
    <x v="4"/>
    <x v="12"/>
    <x v="180"/>
    <x v="1"/>
    <x v="2"/>
    <x v="1"/>
  </r>
  <r>
    <s v="00-733-8770"/>
    <n v="37"/>
    <x v="0"/>
    <x v="1"/>
    <x v="0"/>
    <x v="17"/>
    <x v="181"/>
    <x v="7"/>
    <x v="0"/>
    <x v="0"/>
  </r>
  <r>
    <s v="47-501-3435"/>
    <n v="38"/>
    <x v="0"/>
    <x v="1"/>
    <x v="4"/>
    <x v="5"/>
    <x v="182"/>
    <x v="8"/>
    <x v="3"/>
    <x v="1"/>
  </r>
  <r>
    <s v="46-779-7065"/>
    <n v="41"/>
    <x v="0"/>
    <x v="1"/>
    <x v="1"/>
    <x v="1"/>
    <x v="183"/>
    <x v="6"/>
    <x v="2"/>
    <x v="1"/>
  </r>
  <r>
    <s v="91-603-1565"/>
    <n v="48"/>
    <x v="1"/>
    <x v="0"/>
    <x v="0"/>
    <x v="9"/>
    <x v="184"/>
    <x v="9"/>
    <x v="3"/>
    <x v="1"/>
  </r>
  <r>
    <s v="35-122-5020"/>
    <n v="48"/>
    <x v="0"/>
    <x v="1"/>
    <x v="2"/>
    <x v="17"/>
    <x v="185"/>
    <x v="9"/>
    <x v="2"/>
    <x v="1"/>
  </r>
  <r>
    <s v="63-684-4073"/>
    <n v="45"/>
    <x v="0"/>
    <x v="1"/>
    <x v="1"/>
    <x v="13"/>
    <x v="186"/>
    <x v="1"/>
    <x v="2"/>
    <x v="1"/>
  </r>
  <r>
    <s v="74-483-2893"/>
    <n v="26"/>
    <x v="0"/>
    <x v="0"/>
    <x v="0"/>
    <x v="13"/>
    <x v="187"/>
    <x v="1"/>
    <x v="1"/>
    <x v="1"/>
  </r>
  <r>
    <s v="72-728-4406"/>
    <n v="50"/>
    <x v="0"/>
    <x v="0"/>
    <x v="3"/>
    <x v="12"/>
    <x v="188"/>
    <x v="11"/>
    <x v="1"/>
    <x v="0"/>
  </r>
  <r>
    <s v="13-588-2488"/>
    <n v="39"/>
    <x v="1"/>
    <x v="0"/>
    <x v="5"/>
    <x v="6"/>
    <x v="189"/>
    <x v="9"/>
    <x v="0"/>
    <x v="1"/>
  </r>
  <r>
    <s v="79-861-6506"/>
    <n v="20"/>
    <x v="1"/>
    <x v="1"/>
    <x v="2"/>
    <x v="16"/>
    <x v="190"/>
    <x v="1"/>
    <x v="3"/>
    <x v="1"/>
  </r>
  <r>
    <s v="66-974-6707"/>
    <n v="48"/>
    <x v="1"/>
    <x v="0"/>
    <x v="2"/>
    <x v="7"/>
    <x v="191"/>
    <x v="9"/>
    <x v="2"/>
    <x v="0"/>
  </r>
  <r>
    <s v="95-112-6724"/>
    <n v="31"/>
    <x v="0"/>
    <x v="0"/>
    <x v="0"/>
    <x v="1"/>
    <x v="192"/>
    <x v="3"/>
    <x v="0"/>
    <x v="1"/>
  </r>
  <r>
    <s v="27-262-6874"/>
    <n v="25"/>
    <x v="0"/>
    <x v="0"/>
    <x v="0"/>
    <x v="5"/>
    <x v="193"/>
    <x v="1"/>
    <x v="2"/>
    <x v="1"/>
  </r>
  <r>
    <s v="92-908-5062"/>
    <n v="18"/>
    <x v="0"/>
    <x v="0"/>
    <x v="0"/>
    <x v="3"/>
    <x v="194"/>
    <x v="1"/>
    <x v="3"/>
    <x v="0"/>
  </r>
  <r>
    <s v="70-014-6406"/>
    <n v="18"/>
    <x v="1"/>
    <x v="0"/>
    <x v="0"/>
    <x v="12"/>
    <x v="195"/>
    <x v="9"/>
    <x v="2"/>
    <x v="1"/>
  </r>
  <r>
    <s v="52-908-9971"/>
    <n v="31"/>
    <x v="1"/>
    <x v="0"/>
    <x v="3"/>
    <x v="14"/>
    <x v="196"/>
    <x v="5"/>
    <x v="0"/>
    <x v="1"/>
  </r>
  <r>
    <s v="57-623-5362"/>
    <n v="43"/>
    <x v="1"/>
    <x v="1"/>
    <x v="2"/>
    <x v="4"/>
    <x v="197"/>
    <x v="3"/>
    <x v="3"/>
    <x v="0"/>
  </r>
  <r>
    <s v="48-315-0196"/>
    <n v="23"/>
    <x v="1"/>
    <x v="0"/>
    <x v="3"/>
    <x v="2"/>
    <x v="198"/>
    <x v="11"/>
    <x v="0"/>
    <x v="0"/>
  </r>
  <r>
    <s v="71-959-3896"/>
    <n v="29"/>
    <x v="1"/>
    <x v="1"/>
    <x v="2"/>
    <x v="8"/>
    <x v="199"/>
    <x v="6"/>
    <x v="3"/>
    <x v="1"/>
  </r>
  <r>
    <s v="29-987-3969"/>
    <n v="21"/>
    <x v="0"/>
    <x v="0"/>
    <x v="4"/>
    <x v="21"/>
    <x v="200"/>
    <x v="1"/>
    <x v="0"/>
    <x v="0"/>
  </r>
  <r>
    <s v="78-613-1546"/>
    <n v="49"/>
    <x v="0"/>
    <x v="0"/>
    <x v="0"/>
    <x v="8"/>
    <x v="201"/>
    <x v="6"/>
    <x v="3"/>
    <x v="0"/>
  </r>
  <r>
    <s v="43-664-4451"/>
    <n v="30"/>
    <x v="0"/>
    <x v="0"/>
    <x v="2"/>
    <x v="18"/>
    <x v="202"/>
    <x v="0"/>
    <x v="2"/>
    <x v="1"/>
  </r>
  <r>
    <s v="34-095-3364"/>
    <n v="31"/>
    <x v="1"/>
    <x v="0"/>
    <x v="2"/>
    <x v="2"/>
    <x v="203"/>
    <x v="2"/>
    <x v="0"/>
    <x v="1"/>
  </r>
  <r>
    <s v="72-393-6893"/>
    <n v="50"/>
    <x v="0"/>
    <x v="0"/>
    <x v="0"/>
    <x v="16"/>
    <x v="204"/>
    <x v="2"/>
    <x v="1"/>
    <x v="1"/>
  </r>
  <r>
    <s v="73-707-2809"/>
    <n v="35"/>
    <x v="0"/>
    <x v="0"/>
    <x v="1"/>
    <x v="0"/>
    <x v="205"/>
    <x v="1"/>
    <x v="0"/>
    <x v="1"/>
  </r>
  <r>
    <s v="04-609-7885"/>
    <n v="36"/>
    <x v="1"/>
    <x v="0"/>
    <x v="3"/>
    <x v="16"/>
    <x v="206"/>
    <x v="10"/>
    <x v="0"/>
    <x v="0"/>
  </r>
  <r>
    <s v="73-139-4306"/>
    <n v="24"/>
    <x v="0"/>
    <x v="0"/>
    <x v="4"/>
    <x v="8"/>
    <x v="207"/>
    <x v="6"/>
    <x v="2"/>
    <x v="1"/>
  </r>
  <r>
    <s v="23-794-8196"/>
    <n v="36"/>
    <x v="0"/>
    <x v="1"/>
    <x v="0"/>
    <x v="4"/>
    <x v="208"/>
    <x v="11"/>
    <x v="3"/>
    <x v="1"/>
  </r>
  <r>
    <s v="66-050-6391"/>
    <n v="45"/>
    <x v="0"/>
    <x v="0"/>
    <x v="4"/>
    <x v="6"/>
    <x v="209"/>
    <x v="3"/>
    <x v="0"/>
    <x v="1"/>
  </r>
  <r>
    <s v="22-311-5460"/>
    <n v="44"/>
    <x v="1"/>
    <x v="0"/>
    <x v="2"/>
    <x v="17"/>
    <x v="210"/>
    <x v="10"/>
    <x v="3"/>
    <x v="0"/>
  </r>
  <r>
    <s v="51-917-0766"/>
    <n v="28"/>
    <x v="1"/>
    <x v="1"/>
    <x v="1"/>
    <x v="19"/>
    <x v="211"/>
    <x v="1"/>
    <x v="0"/>
    <x v="0"/>
  </r>
  <r>
    <s v="53-013-1026"/>
    <n v="40"/>
    <x v="1"/>
    <x v="1"/>
    <x v="5"/>
    <x v="18"/>
    <x v="212"/>
    <x v="6"/>
    <x v="3"/>
    <x v="1"/>
  </r>
  <r>
    <s v="29-779-3457"/>
    <n v="49"/>
    <x v="0"/>
    <x v="0"/>
    <x v="4"/>
    <x v="2"/>
    <x v="213"/>
    <x v="10"/>
    <x v="0"/>
    <x v="0"/>
  </r>
  <r>
    <s v="18-047-5540"/>
    <n v="50"/>
    <x v="0"/>
    <x v="1"/>
    <x v="1"/>
    <x v="6"/>
    <x v="214"/>
    <x v="8"/>
    <x v="2"/>
    <x v="0"/>
  </r>
  <r>
    <s v="89-438-5310"/>
    <n v="24"/>
    <x v="1"/>
    <x v="1"/>
    <x v="3"/>
    <x v="22"/>
    <x v="215"/>
    <x v="10"/>
    <x v="2"/>
    <x v="1"/>
  </r>
  <r>
    <s v="23-985-3535"/>
    <n v="26"/>
    <x v="1"/>
    <x v="1"/>
    <x v="4"/>
    <x v="1"/>
    <x v="216"/>
    <x v="3"/>
    <x v="0"/>
    <x v="0"/>
  </r>
  <r>
    <s v="67-939-2463"/>
    <n v="28"/>
    <x v="1"/>
    <x v="0"/>
    <x v="2"/>
    <x v="22"/>
    <x v="217"/>
    <x v="11"/>
    <x v="0"/>
    <x v="0"/>
  </r>
  <r>
    <s v="03-623-6767"/>
    <n v="48"/>
    <x v="0"/>
    <x v="0"/>
    <x v="0"/>
    <x v="16"/>
    <x v="218"/>
    <x v="7"/>
    <x v="3"/>
    <x v="1"/>
  </r>
  <r>
    <s v="86-749-6914"/>
    <n v="47"/>
    <x v="1"/>
    <x v="0"/>
    <x v="4"/>
    <x v="21"/>
    <x v="219"/>
    <x v="0"/>
    <x v="3"/>
    <x v="1"/>
  </r>
  <r>
    <s v="03-977-8103"/>
    <n v="25"/>
    <x v="1"/>
    <x v="0"/>
    <x v="2"/>
    <x v="5"/>
    <x v="220"/>
    <x v="9"/>
    <x v="2"/>
    <x v="0"/>
  </r>
  <r>
    <s v="03-827-4021"/>
    <n v="39"/>
    <x v="1"/>
    <x v="1"/>
    <x v="1"/>
    <x v="19"/>
    <x v="221"/>
    <x v="7"/>
    <x v="3"/>
    <x v="1"/>
  </r>
  <r>
    <s v="68-507-4747"/>
    <n v="41"/>
    <x v="0"/>
    <x v="1"/>
    <x v="3"/>
    <x v="20"/>
    <x v="222"/>
    <x v="9"/>
    <x v="1"/>
    <x v="0"/>
  </r>
  <r>
    <s v="73-942-8440"/>
    <n v="37"/>
    <x v="1"/>
    <x v="0"/>
    <x v="1"/>
    <x v="0"/>
    <x v="223"/>
    <x v="8"/>
    <x v="0"/>
    <x v="0"/>
  </r>
  <r>
    <s v="21-821-6398"/>
    <n v="50"/>
    <x v="0"/>
    <x v="0"/>
    <x v="5"/>
    <x v="16"/>
    <x v="224"/>
    <x v="6"/>
    <x v="2"/>
    <x v="0"/>
  </r>
  <r>
    <s v="64-641-7874"/>
    <n v="33"/>
    <x v="0"/>
    <x v="1"/>
    <x v="1"/>
    <x v="12"/>
    <x v="225"/>
    <x v="10"/>
    <x v="3"/>
    <x v="1"/>
  </r>
  <r>
    <s v="53-459-7870"/>
    <n v="50"/>
    <x v="0"/>
    <x v="1"/>
    <x v="0"/>
    <x v="12"/>
    <x v="226"/>
    <x v="10"/>
    <x v="1"/>
    <x v="0"/>
  </r>
  <r>
    <s v="36-240-3240"/>
    <n v="25"/>
    <x v="1"/>
    <x v="0"/>
    <x v="4"/>
    <x v="15"/>
    <x v="227"/>
    <x v="8"/>
    <x v="0"/>
    <x v="0"/>
  </r>
  <r>
    <s v="54-936-4361"/>
    <n v="34"/>
    <x v="0"/>
    <x v="1"/>
    <x v="0"/>
    <x v="11"/>
    <x v="228"/>
    <x v="2"/>
    <x v="2"/>
    <x v="1"/>
  </r>
  <r>
    <s v="67-209-0990"/>
    <n v="39"/>
    <x v="1"/>
    <x v="1"/>
    <x v="0"/>
    <x v="5"/>
    <x v="229"/>
    <x v="8"/>
    <x v="2"/>
    <x v="1"/>
  </r>
  <r>
    <s v="19-667-0201"/>
    <n v="41"/>
    <x v="1"/>
    <x v="0"/>
    <x v="2"/>
    <x v="3"/>
    <x v="230"/>
    <x v="6"/>
    <x v="2"/>
    <x v="0"/>
  </r>
  <r>
    <s v="36-274-5269"/>
    <n v="27"/>
    <x v="1"/>
    <x v="0"/>
    <x v="5"/>
    <x v="11"/>
    <x v="231"/>
    <x v="1"/>
    <x v="0"/>
    <x v="0"/>
  </r>
  <r>
    <s v="09-948-3150"/>
    <n v="23"/>
    <x v="0"/>
    <x v="1"/>
    <x v="3"/>
    <x v="14"/>
    <x v="232"/>
    <x v="11"/>
    <x v="1"/>
    <x v="0"/>
  </r>
  <r>
    <s v="19-873-9468"/>
    <n v="37"/>
    <x v="1"/>
    <x v="0"/>
    <x v="5"/>
    <x v="9"/>
    <x v="233"/>
    <x v="11"/>
    <x v="3"/>
    <x v="0"/>
  </r>
  <r>
    <s v="37-748-4988"/>
    <n v="21"/>
    <x v="1"/>
    <x v="0"/>
    <x v="3"/>
    <x v="4"/>
    <x v="234"/>
    <x v="11"/>
    <x v="3"/>
    <x v="0"/>
  </r>
  <r>
    <s v="08-755-1170"/>
    <n v="47"/>
    <x v="1"/>
    <x v="0"/>
    <x v="5"/>
    <x v="4"/>
    <x v="235"/>
    <x v="5"/>
    <x v="2"/>
    <x v="1"/>
  </r>
  <r>
    <s v="07-402-7433"/>
    <n v="42"/>
    <x v="0"/>
    <x v="0"/>
    <x v="4"/>
    <x v="18"/>
    <x v="236"/>
    <x v="4"/>
    <x v="2"/>
    <x v="0"/>
  </r>
  <r>
    <s v="60-073-3575"/>
    <n v="30"/>
    <x v="1"/>
    <x v="0"/>
    <x v="2"/>
    <x v="5"/>
    <x v="237"/>
    <x v="2"/>
    <x v="2"/>
    <x v="0"/>
  </r>
  <r>
    <s v="97-237-3483"/>
    <n v="49"/>
    <x v="1"/>
    <x v="0"/>
    <x v="1"/>
    <x v="10"/>
    <x v="238"/>
    <x v="3"/>
    <x v="0"/>
    <x v="1"/>
  </r>
  <r>
    <s v="93-675-1619"/>
    <n v="28"/>
    <x v="0"/>
    <x v="0"/>
    <x v="5"/>
    <x v="9"/>
    <x v="239"/>
    <x v="6"/>
    <x v="1"/>
    <x v="1"/>
  </r>
  <r>
    <s v="43-884-2577"/>
    <n v="24"/>
    <x v="1"/>
    <x v="0"/>
    <x v="2"/>
    <x v="18"/>
    <x v="240"/>
    <x v="3"/>
    <x v="0"/>
    <x v="1"/>
  </r>
  <r>
    <s v="33-200-7615"/>
    <n v="40"/>
    <x v="0"/>
    <x v="1"/>
    <x v="4"/>
    <x v="17"/>
    <x v="241"/>
    <x v="2"/>
    <x v="2"/>
    <x v="0"/>
  </r>
  <r>
    <s v="63-631-8261"/>
    <n v="18"/>
    <x v="1"/>
    <x v="1"/>
    <x v="2"/>
    <x v="16"/>
    <x v="242"/>
    <x v="7"/>
    <x v="0"/>
    <x v="0"/>
  </r>
  <r>
    <s v="34-016-7909"/>
    <n v="42"/>
    <x v="1"/>
    <x v="1"/>
    <x v="1"/>
    <x v="2"/>
    <x v="243"/>
    <x v="0"/>
    <x v="2"/>
    <x v="0"/>
  </r>
  <r>
    <s v="82-304-6495"/>
    <n v="19"/>
    <x v="1"/>
    <x v="1"/>
    <x v="5"/>
    <x v="21"/>
    <x v="244"/>
    <x v="3"/>
    <x v="2"/>
    <x v="1"/>
  </r>
  <r>
    <s v="70-207-6999"/>
    <n v="36"/>
    <x v="0"/>
    <x v="1"/>
    <x v="5"/>
    <x v="2"/>
    <x v="245"/>
    <x v="3"/>
    <x v="1"/>
    <x v="1"/>
  </r>
  <r>
    <s v="71-780-8195"/>
    <n v="26"/>
    <x v="0"/>
    <x v="1"/>
    <x v="4"/>
    <x v="16"/>
    <x v="246"/>
    <x v="4"/>
    <x v="2"/>
    <x v="1"/>
  </r>
  <r>
    <s v="93-356-8589"/>
    <n v="35"/>
    <x v="0"/>
    <x v="1"/>
    <x v="4"/>
    <x v="17"/>
    <x v="247"/>
    <x v="6"/>
    <x v="3"/>
    <x v="1"/>
  </r>
  <r>
    <s v="92-142-9480"/>
    <n v="39"/>
    <x v="1"/>
    <x v="1"/>
    <x v="1"/>
    <x v="20"/>
    <x v="248"/>
    <x v="6"/>
    <x v="3"/>
    <x v="1"/>
  </r>
  <r>
    <s v="53-042-5685"/>
    <n v="44"/>
    <x v="0"/>
    <x v="0"/>
    <x v="2"/>
    <x v="23"/>
    <x v="249"/>
    <x v="9"/>
    <x v="2"/>
    <x v="1"/>
  </r>
  <r>
    <s v="35-853-2222"/>
    <n v="19"/>
    <x v="0"/>
    <x v="1"/>
    <x v="5"/>
    <x v="6"/>
    <x v="250"/>
    <x v="3"/>
    <x v="1"/>
    <x v="0"/>
  </r>
  <r>
    <s v="83-670-9273"/>
    <n v="27"/>
    <x v="0"/>
    <x v="1"/>
    <x v="4"/>
    <x v="20"/>
    <x v="251"/>
    <x v="0"/>
    <x v="3"/>
    <x v="0"/>
  </r>
  <r>
    <s v="37-783-6086"/>
    <n v="26"/>
    <x v="0"/>
    <x v="1"/>
    <x v="5"/>
    <x v="21"/>
    <x v="252"/>
    <x v="9"/>
    <x v="3"/>
    <x v="1"/>
  </r>
  <r>
    <s v="79-902-8144"/>
    <n v="26"/>
    <x v="0"/>
    <x v="1"/>
    <x v="1"/>
    <x v="15"/>
    <x v="253"/>
    <x v="1"/>
    <x v="3"/>
    <x v="0"/>
  </r>
  <r>
    <s v="41-009-7879"/>
    <n v="27"/>
    <x v="0"/>
    <x v="1"/>
    <x v="2"/>
    <x v="11"/>
    <x v="254"/>
    <x v="8"/>
    <x v="3"/>
    <x v="0"/>
  </r>
  <r>
    <s v="89-302-8461"/>
    <n v="37"/>
    <x v="1"/>
    <x v="0"/>
    <x v="0"/>
    <x v="12"/>
    <x v="255"/>
    <x v="4"/>
    <x v="1"/>
    <x v="1"/>
  </r>
  <r>
    <s v="23-066-1915"/>
    <n v="23"/>
    <x v="0"/>
    <x v="0"/>
    <x v="5"/>
    <x v="14"/>
    <x v="256"/>
    <x v="9"/>
    <x v="2"/>
    <x v="0"/>
  </r>
  <r>
    <s v="39-090-0124"/>
    <n v="31"/>
    <x v="0"/>
    <x v="0"/>
    <x v="2"/>
    <x v="0"/>
    <x v="257"/>
    <x v="6"/>
    <x v="3"/>
    <x v="1"/>
  </r>
  <r>
    <s v="41-854-0707"/>
    <n v="21"/>
    <x v="0"/>
    <x v="0"/>
    <x v="4"/>
    <x v="6"/>
    <x v="258"/>
    <x v="10"/>
    <x v="1"/>
    <x v="0"/>
  </r>
  <r>
    <s v="04-352-1558"/>
    <n v="36"/>
    <x v="0"/>
    <x v="1"/>
    <x v="5"/>
    <x v="3"/>
    <x v="259"/>
    <x v="3"/>
    <x v="3"/>
    <x v="1"/>
  </r>
  <r>
    <s v="93-867-8303"/>
    <n v="21"/>
    <x v="0"/>
    <x v="0"/>
    <x v="5"/>
    <x v="0"/>
    <x v="260"/>
    <x v="11"/>
    <x v="1"/>
    <x v="1"/>
  </r>
  <r>
    <s v="31-088-6950"/>
    <n v="27"/>
    <x v="0"/>
    <x v="0"/>
    <x v="5"/>
    <x v="4"/>
    <x v="261"/>
    <x v="1"/>
    <x v="3"/>
    <x v="1"/>
  </r>
  <r>
    <s v="43-616-8365"/>
    <n v="29"/>
    <x v="0"/>
    <x v="0"/>
    <x v="3"/>
    <x v="23"/>
    <x v="262"/>
    <x v="11"/>
    <x v="3"/>
    <x v="1"/>
  </r>
  <r>
    <s v="71-876-9118"/>
    <n v="24"/>
    <x v="1"/>
    <x v="0"/>
    <x v="5"/>
    <x v="18"/>
    <x v="263"/>
    <x v="11"/>
    <x v="2"/>
    <x v="0"/>
  </r>
  <r>
    <s v="18-263-0366"/>
    <n v="33"/>
    <x v="0"/>
    <x v="0"/>
    <x v="2"/>
    <x v="5"/>
    <x v="264"/>
    <x v="7"/>
    <x v="0"/>
    <x v="1"/>
  </r>
  <r>
    <s v="25-502-1415"/>
    <n v="38"/>
    <x v="0"/>
    <x v="1"/>
    <x v="5"/>
    <x v="17"/>
    <x v="265"/>
    <x v="0"/>
    <x v="1"/>
    <x v="1"/>
  </r>
  <r>
    <s v="50-000-9588"/>
    <n v="47"/>
    <x v="1"/>
    <x v="1"/>
    <x v="0"/>
    <x v="23"/>
    <x v="266"/>
    <x v="10"/>
    <x v="0"/>
    <x v="0"/>
  </r>
  <r>
    <s v="32-338-5967"/>
    <n v="32"/>
    <x v="1"/>
    <x v="0"/>
    <x v="2"/>
    <x v="11"/>
    <x v="267"/>
    <x v="8"/>
    <x v="1"/>
    <x v="1"/>
  </r>
  <r>
    <s v="19-311-9149"/>
    <n v="21"/>
    <x v="0"/>
    <x v="1"/>
    <x v="1"/>
    <x v="12"/>
    <x v="268"/>
    <x v="3"/>
    <x v="1"/>
    <x v="0"/>
  </r>
  <r>
    <s v="94-212-7169"/>
    <n v="23"/>
    <x v="0"/>
    <x v="1"/>
    <x v="4"/>
    <x v="1"/>
    <x v="269"/>
    <x v="2"/>
    <x v="1"/>
    <x v="1"/>
  </r>
  <r>
    <s v="17-246-6194"/>
    <n v="45"/>
    <x v="0"/>
    <x v="0"/>
    <x v="2"/>
    <x v="23"/>
    <x v="270"/>
    <x v="1"/>
    <x v="2"/>
    <x v="0"/>
  </r>
  <r>
    <s v="26-672-1285"/>
    <n v="24"/>
    <x v="0"/>
    <x v="0"/>
    <x v="3"/>
    <x v="20"/>
    <x v="271"/>
    <x v="11"/>
    <x v="0"/>
    <x v="0"/>
  </r>
  <r>
    <s v="00-265-0556"/>
    <n v="20"/>
    <x v="0"/>
    <x v="0"/>
    <x v="4"/>
    <x v="4"/>
    <x v="272"/>
    <x v="10"/>
    <x v="0"/>
    <x v="0"/>
  </r>
  <r>
    <s v="76-397-3294"/>
    <n v="27"/>
    <x v="1"/>
    <x v="1"/>
    <x v="1"/>
    <x v="16"/>
    <x v="273"/>
    <x v="6"/>
    <x v="0"/>
    <x v="1"/>
  </r>
  <r>
    <s v="43-612-8079"/>
    <n v="47"/>
    <x v="1"/>
    <x v="1"/>
    <x v="1"/>
    <x v="6"/>
    <x v="274"/>
    <x v="5"/>
    <x v="2"/>
    <x v="1"/>
  </r>
  <r>
    <s v="17-213-2834"/>
    <n v="34"/>
    <x v="1"/>
    <x v="0"/>
    <x v="4"/>
    <x v="20"/>
    <x v="275"/>
    <x v="7"/>
    <x v="3"/>
    <x v="0"/>
  </r>
  <r>
    <s v="36-214-1586"/>
    <n v="41"/>
    <x v="1"/>
    <x v="1"/>
    <x v="4"/>
    <x v="5"/>
    <x v="276"/>
    <x v="2"/>
    <x v="3"/>
    <x v="0"/>
  </r>
  <r>
    <s v="32-414-1466"/>
    <n v="26"/>
    <x v="1"/>
    <x v="1"/>
    <x v="1"/>
    <x v="6"/>
    <x v="277"/>
    <x v="10"/>
    <x v="0"/>
    <x v="0"/>
  </r>
  <r>
    <s v="12-699-6543"/>
    <n v="49"/>
    <x v="1"/>
    <x v="0"/>
    <x v="2"/>
    <x v="20"/>
    <x v="278"/>
    <x v="3"/>
    <x v="0"/>
    <x v="0"/>
  </r>
  <r>
    <s v="83-427-3218"/>
    <n v="47"/>
    <x v="0"/>
    <x v="0"/>
    <x v="5"/>
    <x v="4"/>
    <x v="279"/>
    <x v="7"/>
    <x v="1"/>
    <x v="1"/>
  </r>
  <r>
    <s v="61-663-9008"/>
    <n v="18"/>
    <x v="1"/>
    <x v="0"/>
    <x v="4"/>
    <x v="22"/>
    <x v="280"/>
    <x v="0"/>
    <x v="3"/>
    <x v="0"/>
  </r>
  <r>
    <s v="86-917-7481"/>
    <n v="48"/>
    <x v="0"/>
    <x v="0"/>
    <x v="2"/>
    <x v="9"/>
    <x v="281"/>
    <x v="1"/>
    <x v="0"/>
    <x v="0"/>
  </r>
  <r>
    <s v="66-086-2306"/>
    <n v="19"/>
    <x v="1"/>
    <x v="0"/>
    <x v="5"/>
    <x v="15"/>
    <x v="282"/>
    <x v="0"/>
    <x v="2"/>
    <x v="1"/>
  </r>
  <r>
    <s v="43-671-9834"/>
    <n v="39"/>
    <x v="0"/>
    <x v="0"/>
    <x v="3"/>
    <x v="20"/>
    <x v="283"/>
    <x v="11"/>
    <x v="2"/>
    <x v="1"/>
  </r>
  <r>
    <s v="90-888-8726"/>
    <n v="48"/>
    <x v="0"/>
    <x v="1"/>
    <x v="0"/>
    <x v="23"/>
    <x v="284"/>
    <x v="8"/>
    <x v="1"/>
    <x v="1"/>
  </r>
  <r>
    <s v="23-085-0811"/>
    <n v="43"/>
    <x v="0"/>
    <x v="1"/>
    <x v="3"/>
    <x v="10"/>
    <x v="285"/>
    <x v="11"/>
    <x v="3"/>
    <x v="0"/>
  </r>
  <r>
    <s v="85-192-9218"/>
    <n v="31"/>
    <x v="0"/>
    <x v="1"/>
    <x v="1"/>
    <x v="10"/>
    <x v="286"/>
    <x v="2"/>
    <x v="1"/>
    <x v="0"/>
  </r>
  <r>
    <s v="82-671-7236"/>
    <n v="28"/>
    <x v="0"/>
    <x v="0"/>
    <x v="4"/>
    <x v="3"/>
    <x v="287"/>
    <x v="7"/>
    <x v="3"/>
    <x v="1"/>
  </r>
  <r>
    <s v="42-674-3987"/>
    <n v="29"/>
    <x v="1"/>
    <x v="0"/>
    <x v="4"/>
    <x v="9"/>
    <x v="288"/>
    <x v="8"/>
    <x v="0"/>
    <x v="0"/>
  </r>
  <r>
    <s v="41-934-7739"/>
    <n v="45"/>
    <x v="0"/>
    <x v="0"/>
    <x v="5"/>
    <x v="23"/>
    <x v="289"/>
    <x v="6"/>
    <x v="3"/>
    <x v="0"/>
  </r>
  <r>
    <s v="48-825-0400"/>
    <n v="38"/>
    <x v="1"/>
    <x v="0"/>
    <x v="5"/>
    <x v="5"/>
    <x v="290"/>
    <x v="0"/>
    <x v="0"/>
    <x v="1"/>
  </r>
  <r>
    <s v="30-133-5120"/>
    <n v="30"/>
    <x v="1"/>
    <x v="0"/>
    <x v="5"/>
    <x v="5"/>
    <x v="291"/>
    <x v="4"/>
    <x v="3"/>
    <x v="0"/>
  </r>
  <r>
    <s v="29-827-8515"/>
    <n v="40"/>
    <x v="0"/>
    <x v="1"/>
    <x v="2"/>
    <x v="13"/>
    <x v="292"/>
    <x v="6"/>
    <x v="3"/>
    <x v="1"/>
  </r>
  <r>
    <s v="91-724-4633"/>
    <n v="45"/>
    <x v="1"/>
    <x v="0"/>
    <x v="2"/>
    <x v="8"/>
    <x v="293"/>
    <x v="6"/>
    <x v="2"/>
    <x v="0"/>
  </r>
  <r>
    <s v="10-328-5732"/>
    <n v="44"/>
    <x v="0"/>
    <x v="1"/>
    <x v="5"/>
    <x v="18"/>
    <x v="294"/>
    <x v="0"/>
    <x v="2"/>
    <x v="1"/>
  </r>
  <r>
    <s v="38-912-1128"/>
    <n v="38"/>
    <x v="0"/>
    <x v="0"/>
    <x v="5"/>
    <x v="0"/>
    <x v="295"/>
    <x v="0"/>
    <x v="2"/>
    <x v="1"/>
  </r>
  <r>
    <s v="07-751-9620"/>
    <n v="23"/>
    <x v="1"/>
    <x v="0"/>
    <x v="1"/>
    <x v="14"/>
    <x v="296"/>
    <x v="9"/>
    <x v="1"/>
    <x v="1"/>
  </r>
  <r>
    <s v="81-877-9170"/>
    <n v="30"/>
    <x v="1"/>
    <x v="1"/>
    <x v="2"/>
    <x v="6"/>
    <x v="297"/>
    <x v="9"/>
    <x v="1"/>
    <x v="1"/>
  </r>
  <r>
    <s v="19-885-2597"/>
    <n v="42"/>
    <x v="1"/>
    <x v="1"/>
    <x v="3"/>
    <x v="18"/>
    <x v="298"/>
    <x v="9"/>
    <x v="2"/>
    <x v="0"/>
  </r>
  <r>
    <s v="82-389-2029"/>
    <n v="28"/>
    <x v="0"/>
    <x v="1"/>
    <x v="5"/>
    <x v="0"/>
    <x v="299"/>
    <x v="10"/>
    <x v="3"/>
    <x v="0"/>
  </r>
  <r>
    <s v="97-463-0048"/>
    <n v="44"/>
    <x v="0"/>
    <x v="0"/>
    <x v="3"/>
    <x v="6"/>
    <x v="300"/>
    <x v="3"/>
    <x v="1"/>
    <x v="0"/>
  </r>
  <r>
    <s v="91-572-6135"/>
    <n v="45"/>
    <x v="1"/>
    <x v="0"/>
    <x v="1"/>
    <x v="14"/>
    <x v="301"/>
    <x v="2"/>
    <x v="0"/>
    <x v="1"/>
  </r>
  <r>
    <s v="10-232-0685"/>
    <n v="46"/>
    <x v="0"/>
    <x v="1"/>
    <x v="3"/>
    <x v="19"/>
    <x v="302"/>
    <x v="6"/>
    <x v="3"/>
    <x v="1"/>
  </r>
  <r>
    <s v="77-761-7475"/>
    <n v="28"/>
    <x v="0"/>
    <x v="0"/>
    <x v="3"/>
    <x v="12"/>
    <x v="303"/>
    <x v="2"/>
    <x v="0"/>
    <x v="1"/>
  </r>
  <r>
    <s v="78-826-3039"/>
    <n v="27"/>
    <x v="1"/>
    <x v="1"/>
    <x v="5"/>
    <x v="0"/>
    <x v="304"/>
    <x v="6"/>
    <x v="2"/>
    <x v="0"/>
  </r>
  <r>
    <s v="86-668-1045"/>
    <n v="20"/>
    <x v="0"/>
    <x v="1"/>
    <x v="0"/>
    <x v="2"/>
    <x v="305"/>
    <x v="1"/>
    <x v="3"/>
    <x v="1"/>
  </r>
  <r>
    <s v="14-603-9698"/>
    <n v="40"/>
    <x v="1"/>
    <x v="1"/>
    <x v="0"/>
    <x v="9"/>
    <x v="306"/>
    <x v="7"/>
    <x v="0"/>
    <x v="0"/>
  </r>
  <r>
    <s v="23-752-2213"/>
    <n v="36"/>
    <x v="1"/>
    <x v="0"/>
    <x v="0"/>
    <x v="5"/>
    <x v="307"/>
    <x v="8"/>
    <x v="3"/>
    <x v="1"/>
  </r>
  <r>
    <s v="71-486-8561"/>
    <n v="43"/>
    <x v="1"/>
    <x v="1"/>
    <x v="4"/>
    <x v="23"/>
    <x v="308"/>
    <x v="1"/>
    <x v="0"/>
    <x v="1"/>
  </r>
  <r>
    <s v="76-382-7162"/>
    <n v="26"/>
    <x v="0"/>
    <x v="1"/>
    <x v="3"/>
    <x v="1"/>
    <x v="309"/>
    <x v="4"/>
    <x v="2"/>
    <x v="1"/>
  </r>
  <r>
    <s v="28-947-4295"/>
    <n v="29"/>
    <x v="1"/>
    <x v="0"/>
    <x v="5"/>
    <x v="21"/>
    <x v="310"/>
    <x v="1"/>
    <x v="2"/>
    <x v="0"/>
  </r>
  <r>
    <s v="84-765-0748"/>
    <n v="34"/>
    <x v="0"/>
    <x v="0"/>
    <x v="4"/>
    <x v="23"/>
    <x v="311"/>
    <x v="2"/>
    <x v="3"/>
    <x v="1"/>
  </r>
  <r>
    <s v="54-207-8349"/>
    <n v="40"/>
    <x v="1"/>
    <x v="1"/>
    <x v="5"/>
    <x v="15"/>
    <x v="312"/>
    <x v="5"/>
    <x v="0"/>
    <x v="1"/>
  </r>
  <r>
    <s v="20-419-0341"/>
    <n v="42"/>
    <x v="0"/>
    <x v="1"/>
    <x v="4"/>
    <x v="21"/>
    <x v="313"/>
    <x v="0"/>
    <x v="2"/>
    <x v="1"/>
  </r>
  <r>
    <s v="52-005-9914"/>
    <n v="28"/>
    <x v="1"/>
    <x v="1"/>
    <x v="3"/>
    <x v="7"/>
    <x v="314"/>
    <x v="0"/>
    <x v="2"/>
    <x v="1"/>
  </r>
  <r>
    <s v="34-846-7805"/>
    <n v="49"/>
    <x v="1"/>
    <x v="1"/>
    <x v="0"/>
    <x v="16"/>
    <x v="315"/>
    <x v="6"/>
    <x v="2"/>
    <x v="1"/>
  </r>
  <r>
    <s v="26-596-5461"/>
    <n v="46"/>
    <x v="0"/>
    <x v="1"/>
    <x v="1"/>
    <x v="13"/>
    <x v="316"/>
    <x v="11"/>
    <x v="1"/>
    <x v="1"/>
  </r>
  <r>
    <s v="20-157-8631"/>
    <n v="44"/>
    <x v="0"/>
    <x v="1"/>
    <x v="0"/>
    <x v="13"/>
    <x v="317"/>
    <x v="2"/>
    <x v="0"/>
    <x v="1"/>
  </r>
  <r>
    <s v="91-199-9097"/>
    <n v="29"/>
    <x v="1"/>
    <x v="1"/>
    <x v="0"/>
    <x v="20"/>
    <x v="318"/>
    <x v="6"/>
    <x v="2"/>
    <x v="1"/>
  </r>
  <r>
    <s v="55-846-2579"/>
    <n v="47"/>
    <x v="1"/>
    <x v="0"/>
    <x v="0"/>
    <x v="14"/>
    <x v="319"/>
    <x v="3"/>
    <x v="1"/>
    <x v="1"/>
  </r>
  <r>
    <s v="83-455-7266"/>
    <n v="37"/>
    <x v="0"/>
    <x v="0"/>
    <x v="4"/>
    <x v="16"/>
    <x v="320"/>
    <x v="11"/>
    <x v="0"/>
    <x v="1"/>
  </r>
  <r>
    <s v="67-599-9267"/>
    <n v="47"/>
    <x v="1"/>
    <x v="1"/>
    <x v="4"/>
    <x v="17"/>
    <x v="321"/>
    <x v="8"/>
    <x v="2"/>
    <x v="1"/>
  </r>
  <r>
    <s v="41-501-9276"/>
    <n v="24"/>
    <x v="1"/>
    <x v="1"/>
    <x v="1"/>
    <x v="6"/>
    <x v="322"/>
    <x v="9"/>
    <x v="2"/>
    <x v="1"/>
  </r>
  <r>
    <s v="99-509-4653"/>
    <n v="36"/>
    <x v="1"/>
    <x v="1"/>
    <x v="3"/>
    <x v="10"/>
    <x v="323"/>
    <x v="6"/>
    <x v="2"/>
    <x v="0"/>
  </r>
  <r>
    <s v="31-284-5722"/>
    <n v="36"/>
    <x v="0"/>
    <x v="1"/>
    <x v="0"/>
    <x v="11"/>
    <x v="324"/>
    <x v="6"/>
    <x v="1"/>
    <x v="0"/>
  </r>
  <r>
    <s v="88-000-9227"/>
    <n v="49"/>
    <x v="1"/>
    <x v="0"/>
    <x v="3"/>
    <x v="16"/>
    <x v="325"/>
    <x v="1"/>
    <x v="3"/>
    <x v="0"/>
  </r>
  <r>
    <s v="52-726-9328"/>
    <n v="19"/>
    <x v="0"/>
    <x v="1"/>
    <x v="5"/>
    <x v="2"/>
    <x v="326"/>
    <x v="3"/>
    <x v="1"/>
    <x v="1"/>
  </r>
  <r>
    <s v="60-198-5417"/>
    <n v="27"/>
    <x v="0"/>
    <x v="1"/>
    <x v="1"/>
    <x v="14"/>
    <x v="327"/>
    <x v="9"/>
    <x v="1"/>
    <x v="1"/>
  </r>
  <r>
    <s v="00-107-4749"/>
    <n v="36"/>
    <x v="0"/>
    <x v="0"/>
    <x v="4"/>
    <x v="18"/>
    <x v="93"/>
    <x v="8"/>
    <x v="0"/>
    <x v="0"/>
  </r>
  <r>
    <s v="88-428-8409"/>
    <n v="37"/>
    <x v="1"/>
    <x v="1"/>
    <x v="4"/>
    <x v="12"/>
    <x v="328"/>
    <x v="8"/>
    <x v="2"/>
    <x v="0"/>
  </r>
  <r>
    <s v="21-313-7424"/>
    <n v="45"/>
    <x v="0"/>
    <x v="0"/>
    <x v="0"/>
    <x v="2"/>
    <x v="329"/>
    <x v="9"/>
    <x v="3"/>
    <x v="1"/>
  </r>
  <r>
    <s v="79-973-7862"/>
    <n v="47"/>
    <x v="0"/>
    <x v="0"/>
    <x v="5"/>
    <x v="9"/>
    <x v="330"/>
    <x v="6"/>
    <x v="2"/>
    <x v="1"/>
  </r>
  <r>
    <s v="81-814-3498"/>
    <n v="32"/>
    <x v="1"/>
    <x v="0"/>
    <x v="4"/>
    <x v="11"/>
    <x v="331"/>
    <x v="9"/>
    <x v="1"/>
    <x v="1"/>
  </r>
  <r>
    <s v="34-375-8138"/>
    <n v="48"/>
    <x v="1"/>
    <x v="0"/>
    <x v="0"/>
    <x v="3"/>
    <x v="332"/>
    <x v="4"/>
    <x v="3"/>
    <x v="1"/>
  </r>
  <r>
    <s v="05-067-9686"/>
    <n v="20"/>
    <x v="0"/>
    <x v="1"/>
    <x v="5"/>
    <x v="16"/>
    <x v="333"/>
    <x v="1"/>
    <x v="2"/>
    <x v="1"/>
  </r>
  <r>
    <s v="61-951-7929"/>
    <n v="32"/>
    <x v="1"/>
    <x v="0"/>
    <x v="1"/>
    <x v="18"/>
    <x v="334"/>
    <x v="1"/>
    <x v="3"/>
    <x v="0"/>
  </r>
  <r>
    <s v="53-667-0793"/>
    <n v="25"/>
    <x v="1"/>
    <x v="1"/>
    <x v="4"/>
    <x v="19"/>
    <x v="335"/>
    <x v="1"/>
    <x v="2"/>
    <x v="1"/>
  </r>
  <r>
    <s v="61-212-1117"/>
    <n v="42"/>
    <x v="1"/>
    <x v="0"/>
    <x v="2"/>
    <x v="12"/>
    <x v="336"/>
    <x v="0"/>
    <x v="0"/>
    <x v="1"/>
  </r>
  <r>
    <s v="09-443-7536"/>
    <n v="37"/>
    <x v="0"/>
    <x v="1"/>
    <x v="4"/>
    <x v="23"/>
    <x v="337"/>
    <x v="8"/>
    <x v="1"/>
    <x v="1"/>
  </r>
  <r>
    <s v="27-463-5671"/>
    <n v="21"/>
    <x v="0"/>
    <x v="0"/>
    <x v="3"/>
    <x v="12"/>
    <x v="338"/>
    <x v="10"/>
    <x v="1"/>
    <x v="0"/>
  </r>
  <r>
    <s v="53-380-3968"/>
    <n v="43"/>
    <x v="0"/>
    <x v="1"/>
    <x v="5"/>
    <x v="1"/>
    <x v="339"/>
    <x v="11"/>
    <x v="1"/>
    <x v="0"/>
  </r>
  <r>
    <s v="42-969-0735"/>
    <n v="29"/>
    <x v="0"/>
    <x v="1"/>
    <x v="2"/>
    <x v="12"/>
    <x v="340"/>
    <x v="3"/>
    <x v="1"/>
    <x v="1"/>
  </r>
  <r>
    <s v="12-440-5464"/>
    <n v="28"/>
    <x v="1"/>
    <x v="0"/>
    <x v="4"/>
    <x v="13"/>
    <x v="341"/>
    <x v="6"/>
    <x v="1"/>
    <x v="1"/>
  </r>
  <r>
    <s v="33-467-2534"/>
    <n v="43"/>
    <x v="1"/>
    <x v="0"/>
    <x v="2"/>
    <x v="4"/>
    <x v="342"/>
    <x v="1"/>
    <x v="2"/>
    <x v="0"/>
  </r>
  <r>
    <s v="35-418-0288"/>
    <n v="48"/>
    <x v="0"/>
    <x v="1"/>
    <x v="4"/>
    <x v="15"/>
    <x v="343"/>
    <x v="10"/>
    <x v="3"/>
    <x v="0"/>
  </r>
  <r>
    <s v="33-787-2143"/>
    <n v="26"/>
    <x v="0"/>
    <x v="0"/>
    <x v="4"/>
    <x v="22"/>
    <x v="344"/>
    <x v="5"/>
    <x v="0"/>
    <x v="0"/>
  </r>
  <r>
    <s v="58-528-6262"/>
    <n v="42"/>
    <x v="1"/>
    <x v="0"/>
    <x v="1"/>
    <x v="14"/>
    <x v="345"/>
    <x v="2"/>
    <x v="2"/>
    <x v="0"/>
  </r>
  <r>
    <s v="31-060-2716"/>
    <n v="27"/>
    <x v="1"/>
    <x v="0"/>
    <x v="5"/>
    <x v="19"/>
    <x v="346"/>
    <x v="9"/>
    <x v="3"/>
    <x v="0"/>
  </r>
  <r>
    <s v="81-515-5823"/>
    <n v="40"/>
    <x v="0"/>
    <x v="0"/>
    <x v="0"/>
    <x v="20"/>
    <x v="347"/>
    <x v="0"/>
    <x v="2"/>
    <x v="1"/>
  </r>
  <r>
    <s v="90-858-0453"/>
    <n v="23"/>
    <x v="1"/>
    <x v="0"/>
    <x v="2"/>
    <x v="6"/>
    <x v="348"/>
    <x v="10"/>
    <x v="3"/>
    <x v="0"/>
  </r>
  <r>
    <s v="28-874-8938"/>
    <n v="46"/>
    <x v="1"/>
    <x v="1"/>
    <x v="4"/>
    <x v="2"/>
    <x v="349"/>
    <x v="1"/>
    <x v="2"/>
    <x v="1"/>
  </r>
  <r>
    <s v="89-625-5542"/>
    <n v="38"/>
    <x v="0"/>
    <x v="0"/>
    <x v="5"/>
    <x v="13"/>
    <x v="350"/>
    <x v="0"/>
    <x v="2"/>
    <x v="0"/>
  </r>
  <r>
    <s v="07-966-8728"/>
    <n v="23"/>
    <x v="1"/>
    <x v="0"/>
    <x v="3"/>
    <x v="3"/>
    <x v="351"/>
    <x v="4"/>
    <x v="0"/>
    <x v="1"/>
  </r>
  <r>
    <s v="94-408-2581"/>
    <n v="40"/>
    <x v="0"/>
    <x v="0"/>
    <x v="5"/>
    <x v="22"/>
    <x v="352"/>
    <x v="4"/>
    <x v="2"/>
    <x v="0"/>
  </r>
  <r>
    <s v="55-301-9368"/>
    <n v="34"/>
    <x v="1"/>
    <x v="1"/>
    <x v="2"/>
    <x v="13"/>
    <x v="353"/>
    <x v="0"/>
    <x v="3"/>
    <x v="0"/>
  </r>
  <r>
    <s v="72-336-1992"/>
    <n v="44"/>
    <x v="0"/>
    <x v="0"/>
    <x v="1"/>
    <x v="19"/>
    <x v="354"/>
    <x v="3"/>
    <x v="1"/>
    <x v="0"/>
  </r>
  <r>
    <s v="06-008-2805"/>
    <n v="32"/>
    <x v="0"/>
    <x v="1"/>
    <x v="2"/>
    <x v="6"/>
    <x v="355"/>
    <x v="8"/>
    <x v="0"/>
    <x v="0"/>
  </r>
  <r>
    <s v="77-178-6086"/>
    <n v="42"/>
    <x v="0"/>
    <x v="0"/>
    <x v="4"/>
    <x v="16"/>
    <x v="356"/>
    <x v="4"/>
    <x v="1"/>
    <x v="1"/>
  </r>
  <r>
    <s v="28-832-2885"/>
    <n v="22"/>
    <x v="0"/>
    <x v="1"/>
    <x v="4"/>
    <x v="3"/>
    <x v="357"/>
    <x v="11"/>
    <x v="0"/>
    <x v="1"/>
  </r>
  <r>
    <s v="75-210-7391"/>
    <n v="44"/>
    <x v="0"/>
    <x v="0"/>
    <x v="0"/>
    <x v="12"/>
    <x v="358"/>
    <x v="6"/>
    <x v="1"/>
    <x v="0"/>
  </r>
  <r>
    <s v="60-470-3563"/>
    <n v="29"/>
    <x v="1"/>
    <x v="0"/>
    <x v="1"/>
    <x v="0"/>
    <x v="359"/>
    <x v="2"/>
    <x v="1"/>
    <x v="0"/>
  </r>
  <r>
    <s v="24-241-7171"/>
    <n v="30"/>
    <x v="0"/>
    <x v="1"/>
    <x v="4"/>
    <x v="18"/>
    <x v="360"/>
    <x v="6"/>
    <x v="0"/>
    <x v="0"/>
  </r>
  <r>
    <s v="53-784-1855"/>
    <n v="19"/>
    <x v="0"/>
    <x v="0"/>
    <x v="5"/>
    <x v="18"/>
    <x v="361"/>
    <x v="6"/>
    <x v="3"/>
    <x v="0"/>
  </r>
  <r>
    <s v="83-561-3374"/>
    <n v="45"/>
    <x v="0"/>
    <x v="1"/>
    <x v="1"/>
    <x v="14"/>
    <x v="362"/>
    <x v="0"/>
    <x v="3"/>
    <x v="1"/>
  </r>
  <r>
    <s v="96-121-0629"/>
    <n v="38"/>
    <x v="1"/>
    <x v="0"/>
    <x v="3"/>
    <x v="14"/>
    <x v="363"/>
    <x v="3"/>
    <x v="3"/>
    <x v="0"/>
  </r>
  <r>
    <s v="00-275-9990"/>
    <n v="24"/>
    <x v="0"/>
    <x v="0"/>
    <x v="2"/>
    <x v="1"/>
    <x v="364"/>
    <x v="1"/>
    <x v="3"/>
    <x v="0"/>
  </r>
  <r>
    <s v="36-593-2907"/>
    <n v="42"/>
    <x v="1"/>
    <x v="1"/>
    <x v="3"/>
    <x v="21"/>
    <x v="365"/>
    <x v="1"/>
    <x v="1"/>
    <x v="0"/>
  </r>
  <r>
    <s v="22-692-3470"/>
    <n v="46"/>
    <x v="0"/>
    <x v="1"/>
    <x v="0"/>
    <x v="6"/>
    <x v="366"/>
    <x v="2"/>
    <x v="1"/>
    <x v="0"/>
  </r>
  <r>
    <s v="90-322-7329"/>
    <n v="44"/>
    <x v="0"/>
    <x v="1"/>
    <x v="3"/>
    <x v="8"/>
    <x v="367"/>
    <x v="2"/>
    <x v="3"/>
    <x v="0"/>
  </r>
  <r>
    <s v="28-395-9872"/>
    <n v="38"/>
    <x v="1"/>
    <x v="1"/>
    <x v="5"/>
    <x v="11"/>
    <x v="368"/>
    <x v="0"/>
    <x v="1"/>
    <x v="1"/>
  </r>
  <r>
    <s v="79-297-1061"/>
    <n v="44"/>
    <x v="1"/>
    <x v="0"/>
    <x v="1"/>
    <x v="14"/>
    <x v="369"/>
    <x v="8"/>
    <x v="0"/>
    <x v="1"/>
  </r>
  <r>
    <s v="93-649-9356"/>
    <n v="18"/>
    <x v="0"/>
    <x v="1"/>
    <x v="4"/>
    <x v="13"/>
    <x v="370"/>
    <x v="3"/>
    <x v="0"/>
    <x v="0"/>
  </r>
  <r>
    <s v="27-543-7069"/>
    <n v="37"/>
    <x v="1"/>
    <x v="0"/>
    <x v="4"/>
    <x v="3"/>
    <x v="371"/>
    <x v="2"/>
    <x v="0"/>
    <x v="0"/>
  </r>
  <r>
    <s v="96-079-9597"/>
    <n v="31"/>
    <x v="0"/>
    <x v="1"/>
    <x v="0"/>
    <x v="3"/>
    <x v="372"/>
    <x v="7"/>
    <x v="0"/>
    <x v="0"/>
  </r>
  <r>
    <s v="38-940-4942"/>
    <n v="22"/>
    <x v="0"/>
    <x v="1"/>
    <x v="0"/>
    <x v="10"/>
    <x v="373"/>
    <x v="0"/>
    <x v="2"/>
    <x v="1"/>
  </r>
  <r>
    <s v="82-014-2564"/>
    <n v="33"/>
    <x v="1"/>
    <x v="1"/>
    <x v="2"/>
    <x v="19"/>
    <x v="374"/>
    <x v="0"/>
    <x v="3"/>
    <x v="1"/>
  </r>
  <r>
    <s v="70-699-5799"/>
    <n v="20"/>
    <x v="0"/>
    <x v="1"/>
    <x v="4"/>
    <x v="2"/>
    <x v="375"/>
    <x v="6"/>
    <x v="2"/>
    <x v="0"/>
  </r>
  <r>
    <s v="53-240-2040"/>
    <n v="26"/>
    <x v="1"/>
    <x v="1"/>
    <x v="0"/>
    <x v="0"/>
    <x v="376"/>
    <x v="9"/>
    <x v="1"/>
    <x v="1"/>
  </r>
  <r>
    <s v="27-742-2776"/>
    <n v="26"/>
    <x v="1"/>
    <x v="1"/>
    <x v="1"/>
    <x v="16"/>
    <x v="377"/>
    <x v="2"/>
    <x v="0"/>
    <x v="1"/>
  </r>
  <r>
    <s v="55-620-7906"/>
    <n v="21"/>
    <x v="1"/>
    <x v="1"/>
    <x v="5"/>
    <x v="14"/>
    <x v="378"/>
    <x v="11"/>
    <x v="0"/>
    <x v="0"/>
  </r>
  <r>
    <s v="04-213-4617"/>
    <n v="43"/>
    <x v="1"/>
    <x v="1"/>
    <x v="4"/>
    <x v="1"/>
    <x v="379"/>
    <x v="11"/>
    <x v="2"/>
    <x v="1"/>
  </r>
  <r>
    <s v="79-384-7469"/>
    <n v="50"/>
    <x v="1"/>
    <x v="0"/>
    <x v="5"/>
    <x v="19"/>
    <x v="380"/>
    <x v="7"/>
    <x v="1"/>
    <x v="0"/>
  </r>
  <r>
    <s v="30-839-5589"/>
    <n v="42"/>
    <x v="0"/>
    <x v="0"/>
    <x v="1"/>
    <x v="11"/>
    <x v="381"/>
    <x v="10"/>
    <x v="2"/>
    <x v="0"/>
  </r>
  <r>
    <s v="76-848-9229"/>
    <n v="29"/>
    <x v="1"/>
    <x v="1"/>
    <x v="0"/>
    <x v="9"/>
    <x v="382"/>
    <x v="5"/>
    <x v="3"/>
    <x v="1"/>
  </r>
  <r>
    <s v="98-559-6096"/>
    <n v="20"/>
    <x v="1"/>
    <x v="0"/>
    <x v="3"/>
    <x v="14"/>
    <x v="383"/>
    <x v="4"/>
    <x v="3"/>
    <x v="1"/>
  </r>
  <r>
    <s v="56-810-2066"/>
    <n v="40"/>
    <x v="0"/>
    <x v="1"/>
    <x v="2"/>
    <x v="3"/>
    <x v="384"/>
    <x v="0"/>
    <x v="0"/>
    <x v="1"/>
  </r>
  <r>
    <s v="55-580-7707"/>
    <n v="38"/>
    <x v="1"/>
    <x v="1"/>
    <x v="5"/>
    <x v="23"/>
    <x v="385"/>
    <x v="0"/>
    <x v="3"/>
    <x v="1"/>
  </r>
  <r>
    <s v="18-605-0795"/>
    <n v="45"/>
    <x v="1"/>
    <x v="0"/>
    <x v="3"/>
    <x v="11"/>
    <x v="386"/>
    <x v="11"/>
    <x v="1"/>
    <x v="1"/>
  </r>
  <r>
    <s v="86-268-2904"/>
    <n v="49"/>
    <x v="1"/>
    <x v="1"/>
    <x v="3"/>
    <x v="23"/>
    <x v="387"/>
    <x v="3"/>
    <x v="0"/>
    <x v="0"/>
  </r>
  <r>
    <s v="75-847-7630"/>
    <n v="37"/>
    <x v="1"/>
    <x v="0"/>
    <x v="4"/>
    <x v="15"/>
    <x v="388"/>
    <x v="4"/>
    <x v="3"/>
    <x v="1"/>
  </r>
  <r>
    <s v="76-910-2337"/>
    <n v="23"/>
    <x v="1"/>
    <x v="0"/>
    <x v="2"/>
    <x v="16"/>
    <x v="389"/>
    <x v="7"/>
    <x v="1"/>
    <x v="1"/>
  </r>
  <r>
    <s v="56-719-7145"/>
    <n v="48"/>
    <x v="0"/>
    <x v="1"/>
    <x v="3"/>
    <x v="20"/>
    <x v="390"/>
    <x v="11"/>
    <x v="3"/>
    <x v="1"/>
  </r>
  <r>
    <s v="14-025-2335"/>
    <n v="19"/>
    <x v="1"/>
    <x v="0"/>
    <x v="3"/>
    <x v="8"/>
    <x v="391"/>
    <x v="11"/>
    <x v="3"/>
    <x v="0"/>
  </r>
  <r>
    <s v="10-300-8072"/>
    <n v="46"/>
    <x v="0"/>
    <x v="1"/>
    <x v="2"/>
    <x v="3"/>
    <x v="392"/>
    <x v="9"/>
    <x v="2"/>
    <x v="0"/>
  </r>
  <r>
    <s v="73-698-2326"/>
    <n v="39"/>
    <x v="1"/>
    <x v="0"/>
    <x v="1"/>
    <x v="15"/>
    <x v="393"/>
    <x v="3"/>
    <x v="3"/>
    <x v="0"/>
  </r>
  <r>
    <s v="01-023-2094"/>
    <n v="27"/>
    <x v="1"/>
    <x v="0"/>
    <x v="4"/>
    <x v="6"/>
    <x v="394"/>
    <x v="9"/>
    <x v="2"/>
    <x v="1"/>
  </r>
  <r>
    <s v="65-359-4645"/>
    <n v="28"/>
    <x v="0"/>
    <x v="0"/>
    <x v="0"/>
    <x v="12"/>
    <x v="395"/>
    <x v="10"/>
    <x v="2"/>
    <x v="1"/>
  </r>
  <r>
    <s v="33-405-7978"/>
    <n v="50"/>
    <x v="0"/>
    <x v="1"/>
    <x v="0"/>
    <x v="14"/>
    <x v="396"/>
    <x v="7"/>
    <x v="0"/>
    <x v="1"/>
  </r>
  <r>
    <s v="09-783-7921"/>
    <n v="19"/>
    <x v="0"/>
    <x v="1"/>
    <x v="0"/>
    <x v="0"/>
    <x v="397"/>
    <x v="9"/>
    <x v="2"/>
    <x v="0"/>
  </r>
  <r>
    <s v="76-561-2427"/>
    <n v="27"/>
    <x v="0"/>
    <x v="0"/>
    <x v="4"/>
    <x v="22"/>
    <x v="398"/>
    <x v="1"/>
    <x v="3"/>
    <x v="0"/>
  </r>
  <r>
    <s v="82-467-3300"/>
    <n v="23"/>
    <x v="1"/>
    <x v="1"/>
    <x v="1"/>
    <x v="15"/>
    <x v="399"/>
    <x v="8"/>
    <x v="1"/>
    <x v="1"/>
  </r>
  <r>
    <s v="92-946-7398"/>
    <n v="19"/>
    <x v="0"/>
    <x v="1"/>
    <x v="3"/>
    <x v="15"/>
    <x v="400"/>
    <x v="8"/>
    <x v="2"/>
    <x v="0"/>
  </r>
  <r>
    <s v="59-891-2990"/>
    <n v="22"/>
    <x v="0"/>
    <x v="0"/>
    <x v="4"/>
    <x v="8"/>
    <x v="401"/>
    <x v="11"/>
    <x v="0"/>
    <x v="1"/>
  </r>
  <r>
    <s v="22-579-3978"/>
    <n v="40"/>
    <x v="1"/>
    <x v="0"/>
    <x v="0"/>
    <x v="20"/>
    <x v="402"/>
    <x v="10"/>
    <x v="3"/>
    <x v="1"/>
  </r>
  <r>
    <s v="22-352-0576"/>
    <n v="48"/>
    <x v="1"/>
    <x v="0"/>
    <x v="1"/>
    <x v="1"/>
    <x v="403"/>
    <x v="10"/>
    <x v="0"/>
    <x v="0"/>
  </r>
  <r>
    <s v="28-676-0614"/>
    <n v="49"/>
    <x v="1"/>
    <x v="0"/>
    <x v="5"/>
    <x v="20"/>
    <x v="404"/>
    <x v="9"/>
    <x v="1"/>
    <x v="1"/>
  </r>
  <r>
    <s v="07-211-9364"/>
    <n v="45"/>
    <x v="0"/>
    <x v="0"/>
    <x v="1"/>
    <x v="3"/>
    <x v="405"/>
    <x v="4"/>
    <x v="3"/>
    <x v="0"/>
  </r>
  <r>
    <s v="98-238-6733"/>
    <n v="42"/>
    <x v="0"/>
    <x v="1"/>
    <x v="2"/>
    <x v="8"/>
    <x v="406"/>
    <x v="8"/>
    <x v="3"/>
    <x v="1"/>
  </r>
  <r>
    <s v="72-006-3769"/>
    <n v="41"/>
    <x v="0"/>
    <x v="1"/>
    <x v="2"/>
    <x v="12"/>
    <x v="407"/>
    <x v="11"/>
    <x v="1"/>
    <x v="0"/>
  </r>
  <r>
    <s v="75-845-3143"/>
    <n v="23"/>
    <x v="0"/>
    <x v="1"/>
    <x v="1"/>
    <x v="14"/>
    <x v="408"/>
    <x v="4"/>
    <x v="2"/>
    <x v="1"/>
  </r>
  <r>
    <s v="26-028-2671"/>
    <n v="44"/>
    <x v="0"/>
    <x v="1"/>
    <x v="1"/>
    <x v="6"/>
    <x v="409"/>
    <x v="3"/>
    <x v="3"/>
    <x v="1"/>
  </r>
  <r>
    <s v="55-876-7407"/>
    <n v="42"/>
    <x v="0"/>
    <x v="1"/>
    <x v="3"/>
    <x v="12"/>
    <x v="410"/>
    <x v="10"/>
    <x v="3"/>
    <x v="1"/>
  </r>
  <r>
    <s v="47-720-9520"/>
    <n v="49"/>
    <x v="0"/>
    <x v="0"/>
    <x v="4"/>
    <x v="6"/>
    <x v="411"/>
    <x v="8"/>
    <x v="0"/>
    <x v="0"/>
  </r>
  <r>
    <s v="42-207-5005"/>
    <n v="45"/>
    <x v="0"/>
    <x v="0"/>
    <x v="5"/>
    <x v="4"/>
    <x v="412"/>
    <x v="2"/>
    <x v="1"/>
    <x v="0"/>
  </r>
  <r>
    <s v="47-266-2261"/>
    <n v="36"/>
    <x v="0"/>
    <x v="0"/>
    <x v="1"/>
    <x v="4"/>
    <x v="413"/>
    <x v="7"/>
    <x v="3"/>
    <x v="0"/>
  </r>
  <r>
    <s v="77-642-7686"/>
    <n v="38"/>
    <x v="0"/>
    <x v="1"/>
    <x v="1"/>
    <x v="1"/>
    <x v="414"/>
    <x v="7"/>
    <x v="3"/>
    <x v="0"/>
  </r>
  <r>
    <s v="37-468-8133"/>
    <n v="44"/>
    <x v="1"/>
    <x v="0"/>
    <x v="4"/>
    <x v="10"/>
    <x v="415"/>
    <x v="6"/>
    <x v="2"/>
    <x v="0"/>
  </r>
  <r>
    <s v="00-335-5034"/>
    <n v="37"/>
    <x v="0"/>
    <x v="1"/>
    <x v="4"/>
    <x v="3"/>
    <x v="416"/>
    <x v="9"/>
    <x v="3"/>
    <x v="0"/>
  </r>
  <r>
    <s v="95-148-1769"/>
    <n v="36"/>
    <x v="1"/>
    <x v="0"/>
    <x v="1"/>
    <x v="20"/>
    <x v="417"/>
    <x v="5"/>
    <x v="2"/>
    <x v="1"/>
  </r>
  <r>
    <s v="72-324-1243"/>
    <n v="34"/>
    <x v="1"/>
    <x v="1"/>
    <x v="4"/>
    <x v="7"/>
    <x v="418"/>
    <x v="3"/>
    <x v="3"/>
    <x v="0"/>
  </r>
  <r>
    <s v="62-687-5354"/>
    <n v="23"/>
    <x v="1"/>
    <x v="0"/>
    <x v="5"/>
    <x v="10"/>
    <x v="419"/>
    <x v="9"/>
    <x v="3"/>
    <x v="0"/>
  </r>
  <r>
    <s v="54-634-0814"/>
    <n v="35"/>
    <x v="1"/>
    <x v="1"/>
    <x v="1"/>
    <x v="4"/>
    <x v="420"/>
    <x v="10"/>
    <x v="2"/>
    <x v="1"/>
  </r>
  <r>
    <s v="64-769-5737"/>
    <n v="45"/>
    <x v="1"/>
    <x v="0"/>
    <x v="4"/>
    <x v="3"/>
    <x v="421"/>
    <x v="4"/>
    <x v="2"/>
    <x v="1"/>
  </r>
  <r>
    <s v="62-892-2088"/>
    <n v="38"/>
    <x v="1"/>
    <x v="1"/>
    <x v="4"/>
    <x v="14"/>
    <x v="422"/>
    <x v="2"/>
    <x v="1"/>
    <x v="1"/>
  </r>
  <r>
    <s v="53-951-2529"/>
    <n v="25"/>
    <x v="1"/>
    <x v="0"/>
    <x v="4"/>
    <x v="13"/>
    <x v="423"/>
    <x v="3"/>
    <x v="3"/>
    <x v="1"/>
  </r>
  <r>
    <s v="00-264-3797"/>
    <n v="26"/>
    <x v="1"/>
    <x v="0"/>
    <x v="3"/>
    <x v="3"/>
    <x v="424"/>
    <x v="2"/>
    <x v="1"/>
    <x v="0"/>
  </r>
  <r>
    <s v="88-445-9235"/>
    <n v="46"/>
    <x v="0"/>
    <x v="1"/>
    <x v="3"/>
    <x v="8"/>
    <x v="425"/>
    <x v="0"/>
    <x v="1"/>
    <x v="1"/>
  </r>
  <r>
    <s v="65-539-9955"/>
    <n v="18"/>
    <x v="0"/>
    <x v="1"/>
    <x v="3"/>
    <x v="18"/>
    <x v="426"/>
    <x v="3"/>
    <x v="2"/>
    <x v="1"/>
  </r>
  <r>
    <s v="89-730-1134"/>
    <n v="46"/>
    <x v="1"/>
    <x v="0"/>
    <x v="5"/>
    <x v="0"/>
    <x v="427"/>
    <x v="9"/>
    <x v="0"/>
    <x v="1"/>
  </r>
  <r>
    <s v="74-051-7865"/>
    <n v="19"/>
    <x v="0"/>
    <x v="1"/>
    <x v="3"/>
    <x v="15"/>
    <x v="428"/>
    <x v="0"/>
    <x v="1"/>
    <x v="0"/>
  </r>
  <r>
    <s v="40-450-4266"/>
    <n v="37"/>
    <x v="0"/>
    <x v="0"/>
    <x v="4"/>
    <x v="10"/>
    <x v="429"/>
    <x v="1"/>
    <x v="1"/>
    <x v="0"/>
  </r>
  <r>
    <s v="78-796-5651"/>
    <n v="35"/>
    <x v="0"/>
    <x v="0"/>
    <x v="1"/>
    <x v="2"/>
    <x v="430"/>
    <x v="3"/>
    <x v="1"/>
    <x v="1"/>
  </r>
  <r>
    <s v="78-163-4800"/>
    <n v="43"/>
    <x v="1"/>
    <x v="0"/>
    <x v="0"/>
    <x v="16"/>
    <x v="431"/>
    <x v="3"/>
    <x v="2"/>
    <x v="1"/>
  </r>
  <r>
    <s v="90-272-5701"/>
    <n v="28"/>
    <x v="1"/>
    <x v="0"/>
    <x v="0"/>
    <x v="16"/>
    <x v="432"/>
    <x v="3"/>
    <x v="0"/>
    <x v="0"/>
  </r>
  <r>
    <s v="14-118-5229"/>
    <n v="25"/>
    <x v="1"/>
    <x v="0"/>
    <x v="4"/>
    <x v="5"/>
    <x v="433"/>
    <x v="9"/>
    <x v="2"/>
    <x v="0"/>
  </r>
  <r>
    <s v="24-662-2119"/>
    <n v="47"/>
    <x v="1"/>
    <x v="1"/>
    <x v="0"/>
    <x v="11"/>
    <x v="434"/>
    <x v="11"/>
    <x v="1"/>
    <x v="1"/>
  </r>
  <r>
    <s v="61-794-8438"/>
    <n v="45"/>
    <x v="1"/>
    <x v="0"/>
    <x v="2"/>
    <x v="10"/>
    <x v="435"/>
    <x v="7"/>
    <x v="3"/>
    <x v="0"/>
  </r>
  <r>
    <s v="21-959-5766"/>
    <n v="24"/>
    <x v="0"/>
    <x v="1"/>
    <x v="2"/>
    <x v="8"/>
    <x v="436"/>
    <x v="11"/>
    <x v="1"/>
    <x v="0"/>
  </r>
  <r>
    <s v="42-518-2602"/>
    <n v="30"/>
    <x v="1"/>
    <x v="0"/>
    <x v="0"/>
    <x v="3"/>
    <x v="437"/>
    <x v="7"/>
    <x v="1"/>
    <x v="0"/>
  </r>
  <r>
    <s v="35-850-8676"/>
    <n v="24"/>
    <x v="0"/>
    <x v="1"/>
    <x v="1"/>
    <x v="8"/>
    <x v="438"/>
    <x v="4"/>
    <x v="2"/>
    <x v="1"/>
  </r>
  <r>
    <s v="07-958-2231"/>
    <n v="27"/>
    <x v="0"/>
    <x v="0"/>
    <x v="4"/>
    <x v="15"/>
    <x v="439"/>
    <x v="11"/>
    <x v="0"/>
    <x v="0"/>
  </r>
  <r>
    <s v="78-503-0416"/>
    <n v="25"/>
    <x v="1"/>
    <x v="0"/>
    <x v="0"/>
    <x v="8"/>
    <x v="440"/>
    <x v="7"/>
    <x v="2"/>
    <x v="0"/>
  </r>
  <r>
    <s v="46-167-7999"/>
    <n v="44"/>
    <x v="0"/>
    <x v="0"/>
    <x v="5"/>
    <x v="21"/>
    <x v="441"/>
    <x v="1"/>
    <x v="0"/>
    <x v="1"/>
  </r>
  <r>
    <s v="93-989-8649"/>
    <n v="26"/>
    <x v="1"/>
    <x v="0"/>
    <x v="0"/>
    <x v="1"/>
    <x v="442"/>
    <x v="4"/>
    <x v="1"/>
    <x v="0"/>
  </r>
  <r>
    <s v="98-130-8811"/>
    <n v="18"/>
    <x v="0"/>
    <x v="1"/>
    <x v="1"/>
    <x v="13"/>
    <x v="443"/>
    <x v="3"/>
    <x v="0"/>
    <x v="0"/>
  </r>
  <r>
    <s v="18-614-2070"/>
    <n v="47"/>
    <x v="0"/>
    <x v="0"/>
    <x v="4"/>
    <x v="15"/>
    <x v="444"/>
    <x v="6"/>
    <x v="0"/>
    <x v="0"/>
  </r>
  <r>
    <s v="80-277-3242"/>
    <n v="36"/>
    <x v="1"/>
    <x v="1"/>
    <x v="3"/>
    <x v="22"/>
    <x v="445"/>
    <x v="4"/>
    <x v="2"/>
    <x v="1"/>
  </r>
  <r>
    <s v="44-949-9040"/>
    <n v="23"/>
    <x v="0"/>
    <x v="1"/>
    <x v="0"/>
    <x v="10"/>
    <x v="446"/>
    <x v="11"/>
    <x v="0"/>
    <x v="1"/>
  </r>
  <r>
    <s v="04-545-9162"/>
    <n v="49"/>
    <x v="1"/>
    <x v="1"/>
    <x v="2"/>
    <x v="13"/>
    <x v="447"/>
    <x v="9"/>
    <x v="0"/>
    <x v="0"/>
  </r>
  <r>
    <s v="51-320-2801"/>
    <n v="27"/>
    <x v="0"/>
    <x v="1"/>
    <x v="4"/>
    <x v="19"/>
    <x v="448"/>
    <x v="7"/>
    <x v="3"/>
    <x v="0"/>
  </r>
  <r>
    <s v="50-510-5119"/>
    <n v="43"/>
    <x v="1"/>
    <x v="1"/>
    <x v="5"/>
    <x v="21"/>
    <x v="449"/>
    <x v="6"/>
    <x v="1"/>
    <x v="0"/>
  </r>
  <r>
    <s v="63-964-6954"/>
    <n v="19"/>
    <x v="0"/>
    <x v="1"/>
    <x v="0"/>
    <x v="10"/>
    <x v="450"/>
    <x v="8"/>
    <x v="2"/>
    <x v="1"/>
  </r>
  <r>
    <s v="55-569-9247"/>
    <n v="41"/>
    <x v="0"/>
    <x v="0"/>
    <x v="4"/>
    <x v="16"/>
    <x v="451"/>
    <x v="10"/>
    <x v="3"/>
    <x v="1"/>
  </r>
  <r>
    <s v="02-911-0447"/>
    <n v="29"/>
    <x v="0"/>
    <x v="0"/>
    <x v="1"/>
    <x v="22"/>
    <x v="452"/>
    <x v="10"/>
    <x v="0"/>
    <x v="1"/>
  </r>
  <r>
    <s v="77-626-7240"/>
    <n v="25"/>
    <x v="1"/>
    <x v="1"/>
    <x v="2"/>
    <x v="1"/>
    <x v="453"/>
    <x v="8"/>
    <x v="3"/>
    <x v="1"/>
  </r>
  <r>
    <s v="75-915-9803"/>
    <n v="45"/>
    <x v="1"/>
    <x v="1"/>
    <x v="1"/>
    <x v="15"/>
    <x v="454"/>
    <x v="5"/>
    <x v="3"/>
    <x v="0"/>
  </r>
  <r>
    <s v="78-905-2660"/>
    <n v="36"/>
    <x v="0"/>
    <x v="0"/>
    <x v="0"/>
    <x v="21"/>
    <x v="455"/>
    <x v="6"/>
    <x v="1"/>
    <x v="1"/>
  </r>
  <r>
    <s v="02-677-6735"/>
    <n v="21"/>
    <x v="0"/>
    <x v="1"/>
    <x v="3"/>
    <x v="13"/>
    <x v="456"/>
    <x v="4"/>
    <x v="2"/>
    <x v="1"/>
  </r>
  <r>
    <s v="20-460-9796"/>
    <n v="47"/>
    <x v="0"/>
    <x v="0"/>
    <x v="2"/>
    <x v="1"/>
    <x v="457"/>
    <x v="4"/>
    <x v="0"/>
    <x v="0"/>
  </r>
  <r>
    <s v="57-587-4005"/>
    <n v="26"/>
    <x v="0"/>
    <x v="0"/>
    <x v="4"/>
    <x v="16"/>
    <x v="458"/>
    <x v="11"/>
    <x v="0"/>
    <x v="1"/>
  </r>
  <r>
    <s v="99-477-8256"/>
    <n v="25"/>
    <x v="0"/>
    <x v="0"/>
    <x v="2"/>
    <x v="0"/>
    <x v="370"/>
    <x v="3"/>
    <x v="2"/>
    <x v="0"/>
  </r>
  <r>
    <s v="03-992-3728"/>
    <n v="26"/>
    <x v="0"/>
    <x v="0"/>
    <x v="3"/>
    <x v="19"/>
    <x v="459"/>
    <x v="11"/>
    <x v="1"/>
    <x v="1"/>
  </r>
  <r>
    <s v="24-878-4507"/>
    <n v="34"/>
    <x v="1"/>
    <x v="1"/>
    <x v="0"/>
    <x v="20"/>
    <x v="460"/>
    <x v="11"/>
    <x v="2"/>
    <x v="1"/>
  </r>
  <r>
    <s v="22-106-8347"/>
    <n v="48"/>
    <x v="1"/>
    <x v="1"/>
    <x v="4"/>
    <x v="16"/>
    <x v="461"/>
    <x v="2"/>
    <x v="1"/>
    <x v="0"/>
  </r>
  <r>
    <s v="81-479-0790"/>
    <n v="19"/>
    <x v="1"/>
    <x v="1"/>
    <x v="4"/>
    <x v="1"/>
    <x v="462"/>
    <x v="7"/>
    <x v="1"/>
    <x v="1"/>
  </r>
  <r>
    <s v="03-023-9932"/>
    <n v="37"/>
    <x v="0"/>
    <x v="1"/>
    <x v="4"/>
    <x v="19"/>
    <x v="463"/>
    <x v="4"/>
    <x v="1"/>
    <x v="0"/>
  </r>
  <r>
    <s v="36-632-2460"/>
    <n v="23"/>
    <x v="0"/>
    <x v="1"/>
    <x v="1"/>
    <x v="0"/>
    <x v="464"/>
    <x v="4"/>
    <x v="0"/>
    <x v="0"/>
  </r>
  <r>
    <s v="32-799-7704"/>
    <n v="34"/>
    <x v="0"/>
    <x v="1"/>
    <x v="2"/>
    <x v="10"/>
    <x v="465"/>
    <x v="1"/>
    <x v="3"/>
    <x v="1"/>
  </r>
  <r>
    <s v="09-369-0588"/>
    <n v="42"/>
    <x v="1"/>
    <x v="1"/>
    <x v="5"/>
    <x v="0"/>
    <x v="466"/>
    <x v="3"/>
    <x v="1"/>
    <x v="0"/>
  </r>
  <r>
    <s v="87-727-6434"/>
    <n v="28"/>
    <x v="0"/>
    <x v="1"/>
    <x v="5"/>
    <x v="17"/>
    <x v="467"/>
    <x v="4"/>
    <x v="2"/>
    <x v="0"/>
  </r>
  <r>
    <s v="18-793-9543"/>
    <n v="28"/>
    <x v="1"/>
    <x v="1"/>
    <x v="4"/>
    <x v="4"/>
    <x v="468"/>
    <x v="1"/>
    <x v="0"/>
    <x v="0"/>
  </r>
  <r>
    <s v="63-625-5757"/>
    <n v="33"/>
    <x v="1"/>
    <x v="0"/>
    <x v="5"/>
    <x v="1"/>
    <x v="469"/>
    <x v="8"/>
    <x v="1"/>
    <x v="1"/>
  </r>
  <r>
    <s v="93-413-4758"/>
    <n v="31"/>
    <x v="0"/>
    <x v="0"/>
    <x v="2"/>
    <x v="11"/>
    <x v="470"/>
    <x v="0"/>
    <x v="2"/>
    <x v="1"/>
  </r>
  <r>
    <s v="15-663-7994"/>
    <n v="20"/>
    <x v="0"/>
    <x v="0"/>
    <x v="0"/>
    <x v="23"/>
    <x v="471"/>
    <x v="2"/>
    <x v="3"/>
    <x v="0"/>
  </r>
  <r>
    <s v="29-319-4519"/>
    <n v="32"/>
    <x v="1"/>
    <x v="1"/>
    <x v="4"/>
    <x v="1"/>
    <x v="472"/>
    <x v="0"/>
    <x v="3"/>
    <x v="1"/>
  </r>
  <r>
    <s v="40-347-2903"/>
    <n v="27"/>
    <x v="0"/>
    <x v="0"/>
    <x v="2"/>
    <x v="23"/>
    <x v="473"/>
    <x v="9"/>
    <x v="2"/>
    <x v="0"/>
  </r>
  <r>
    <s v="18-452-1635"/>
    <n v="19"/>
    <x v="0"/>
    <x v="0"/>
    <x v="1"/>
    <x v="6"/>
    <x v="474"/>
    <x v="10"/>
    <x v="2"/>
    <x v="0"/>
  </r>
  <r>
    <s v="47-710-5471"/>
    <n v="50"/>
    <x v="1"/>
    <x v="0"/>
    <x v="3"/>
    <x v="21"/>
    <x v="475"/>
    <x v="1"/>
    <x v="3"/>
    <x v="1"/>
  </r>
  <r>
    <s v="88-167-7129"/>
    <n v="40"/>
    <x v="1"/>
    <x v="1"/>
    <x v="5"/>
    <x v="12"/>
    <x v="476"/>
    <x v="10"/>
    <x v="3"/>
    <x v="0"/>
  </r>
  <r>
    <s v="86-771-9082"/>
    <n v="20"/>
    <x v="1"/>
    <x v="1"/>
    <x v="4"/>
    <x v="6"/>
    <x v="477"/>
    <x v="4"/>
    <x v="0"/>
    <x v="1"/>
  </r>
  <r>
    <s v="46-678-4172"/>
    <n v="24"/>
    <x v="0"/>
    <x v="0"/>
    <x v="3"/>
    <x v="8"/>
    <x v="478"/>
    <x v="7"/>
    <x v="1"/>
    <x v="0"/>
  </r>
  <r>
    <s v="14-249-1256"/>
    <n v="46"/>
    <x v="1"/>
    <x v="0"/>
    <x v="2"/>
    <x v="21"/>
    <x v="479"/>
    <x v="3"/>
    <x v="1"/>
    <x v="1"/>
  </r>
  <r>
    <s v="75-617-1460"/>
    <n v="50"/>
    <x v="1"/>
    <x v="1"/>
    <x v="2"/>
    <x v="18"/>
    <x v="480"/>
    <x v="9"/>
    <x v="1"/>
    <x v="0"/>
  </r>
  <r>
    <s v="10-247-0192"/>
    <n v="29"/>
    <x v="0"/>
    <x v="1"/>
    <x v="5"/>
    <x v="19"/>
    <x v="481"/>
    <x v="8"/>
    <x v="1"/>
    <x v="1"/>
  </r>
  <r>
    <s v="94-120-9525"/>
    <n v="34"/>
    <x v="0"/>
    <x v="1"/>
    <x v="3"/>
    <x v="13"/>
    <x v="482"/>
    <x v="9"/>
    <x v="1"/>
    <x v="1"/>
  </r>
  <r>
    <s v="22-234-9315"/>
    <n v="44"/>
    <x v="0"/>
    <x v="1"/>
    <x v="1"/>
    <x v="23"/>
    <x v="483"/>
    <x v="6"/>
    <x v="0"/>
    <x v="1"/>
  </r>
  <r>
    <s v="37-560-7247"/>
    <n v="38"/>
    <x v="1"/>
    <x v="0"/>
    <x v="3"/>
    <x v="19"/>
    <x v="484"/>
    <x v="0"/>
    <x v="0"/>
    <x v="1"/>
  </r>
  <r>
    <s v="91-857-0797"/>
    <n v="22"/>
    <x v="0"/>
    <x v="1"/>
    <x v="1"/>
    <x v="15"/>
    <x v="485"/>
    <x v="1"/>
    <x v="2"/>
    <x v="0"/>
  </r>
  <r>
    <s v="19-344-0102"/>
    <n v="44"/>
    <x v="1"/>
    <x v="1"/>
    <x v="1"/>
    <x v="3"/>
    <x v="486"/>
    <x v="11"/>
    <x v="0"/>
    <x v="1"/>
  </r>
  <r>
    <s v="48-609-7715"/>
    <n v="43"/>
    <x v="0"/>
    <x v="1"/>
    <x v="1"/>
    <x v="23"/>
    <x v="487"/>
    <x v="2"/>
    <x v="3"/>
    <x v="0"/>
  </r>
  <r>
    <s v="13-571-6506"/>
    <n v="25"/>
    <x v="1"/>
    <x v="0"/>
    <x v="1"/>
    <x v="9"/>
    <x v="488"/>
    <x v="5"/>
    <x v="2"/>
    <x v="0"/>
  </r>
  <r>
    <s v="47-073-6440"/>
    <n v="21"/>
    <x v="0"/>
    <x v="0"/>
    <x v="3"/>
    <x v="7"/>
    <x v="489"/>
    <x v="0"/>
    <x v="3"/>
    <x v="1"/>
  </r>
  <r>
    <s v="50-303-1693"/>
    <n v="29"/>
    <x v="0"/>
    <x v="0"/>
    <x v="1"/>
    <x v="15"/>
    <x v="490"/>
    <x v="10"/>
    <x v="1"/>
    <x v="1"/>
  </r>
  <r>
    <s v="69-157-9577"/>
    <n v="41"/>
    <x v="1"/>
    <x v="1"/>
    <x v="4"/>
    <x v="16"/>
    <x v="491"/>
    <x v="6"/>
    <x v="0"/>
    <x v="0"/>
  </r>
  <r>
    <s v="09-513-4923"/>
    <n v="38"/>
    <x v="0"/>
    <x v="1"/>
    <x v="3"/>
    <x v="22"/>
    <x v="492"/>
    <x v="10"/>
    <x v="1"/>
    <x v="1"/>
  </r>
  <r>
    <s v="82-975-8569"/>
    <n v="26"/>
    <x v="1"/>
    <x v="1"/>
    <x v="5"/>
    <x v="8"/>
    <x v="493"/>
    <x v="7"/>
    <x v="1"/>
    <x v="1"/>
  </r>
  <r>
    <s v="70-774-7728"/>
    <n v="41"/>
    <x v="0"/>
    <x v="0"/>
    <x v="0"/>
    <x v="16"/>
    <x v="494"/>
    <x v="2"/>
    <x v="1"/>
    <x v="0"/>
  </r>
  <r>
    <s v="13-015-8097"/>
    <n v="46"/>
    <x v="0"/>
    <x v="1"/>
    <x v="2"/>
    <x v="6"/>
    <x v="495"/>
    <x v="1"/>
    <x v="3"/>
    <x v="1"/>
  </r>
  <r>
    <s v="68-391-7279"/>
    <n v="39"/>
    <x v="1"/>
    <x v="1"/>
    <x v="3"/>
    <x v="0"/>
    <x v="496"/>
    <x v="8"/>
    <x v="1"/>
    <x v="0"/>
  </r>
  <r>
    <s v="28-764-3337"/>
    <n v="43"/>
    <x v="1"/>
    <x v="0"/>
    <x v="1"/>
    <x v="13"/>
    <x v="497"/>
    <x v="1"/>
    <x v="2"/>
    <x v="1"/>
  </r>
  <r>
    <s v="00-285-9607"/>
    <n v="44"/>
    <x v="0"/>
    <x v="0"/>
    <x v="3"/>
    <x v="20"/>
    <x v="498"/>
    <x v="10"/>
    <x v="2"/>
    <x v="1"/>
  </r>
  <r>
    <s v="04-832-3559"/>
    <n v="26"/>
    <x v="1"/>
    <x v="0"/>
    <x v="1"/>
    <x v="21"/>
    <x v="499"/>
    <x v="8"/>
    <x v="1"/>
    <x v="0"/>
  </r>
  <r>
    <s v="27-613-5005"/>
    <n v="29"/>
    <x v="1"/>
    <x v="0"/>
    <x v="5"/>
    <x v="2"/>
    <x v="500"/>
    <x v="4"/>
    <x v="3"/>
    <x v="1"/>
  </r>
  <r>
    <s v="49-825-3438"/>
    <n v="50"/>
    <x v="1"/>
    <x v="1"/>
    <x v="5"/>
    <x v="7"/>
    <x v="501"/>
    <x v="2"/>
    <x v="0"/>
    <x v="1"/>
  </r>
  <r>
    <s v="31-783-9785"/>
    <n v="19"/>
    <x v="0"/>
    <x v="1"/>
    <x v="1"/>
    <x v="16"/>
    <x v="502"/>
    <x v="9"/>
    <x v="2"/>
    <x v="0"/>
  </r>
  <r>
    <s v="58-059-8187"/>
    <n v="27"/>
    <x v="1"/>
    <x v="1"/>
    <x v="0"/>
    <x v="18"/>
    <x v="503"/>
    <x v="10"/>
    <x v="3"/>
    <x v="1"/>
  </r>
  <r>
    <s v="74-882-6648"/>
    <n v="34"/>
    <x v="0"/>
    <x v="1"/>
    <x v="2"/>
    <x v="17"/>
    <x v="504"/>
    <x v="6"/>
    <x v="3"/>
    <x v="1"/>
  </r>
  <r>
    <s v="03-180-9200"/>
    <n v="39"/>
    <x v="1"/>
    <x v="1"/>
    <x v="3"/>
    <x v="12"/>
    <x v="505"/>
    <x v="3"/>
    <x v="0"/>
    <x v="1"/>
  </r>
  <r>
    <s v="46-578-1425"/>
    <n v="44"/>
    <x v="1"/>
    <x v="1"/>
    <x v="3"/>
    <x v="9"/>
    <x v="506"/>
    <x v="10"/>
    <x v="0"/>
    <x v="0"/>
  </r>
  <r>
    <s v="13-588-5783"/>
    <n v="20"/>
    <x v="0"/>
    <x v="0"/>
    <x v="3"/>
    <x v="16"/>
    <x v="507"/>
    <x v="2"/>
    <x v="0"/>
    <x v="0"/>
  </r>
  <r>
    <s v="25-085-7917"/>
    <n v="42"/>
    <x v="0"/>
    <x v="0"/>
    <x v="0"/>
    <x v="11"/>
    <x v="508"/>
    <x v="8"/>
    <x v="1"/>
    <x v="0"/>
  </r>
  <r>
    <s v="66-085-1226"/>
    <n v="22"/>
    <x v="0"/>
    <x v="0"/>
    <x v="3"/>
    <x v="19"/>
    <x v="509"/>
    <x v="6"/>
    <x v="3"/>
    <x v="1"/>
  </r>
  <r>
    <s v="37-037-1765"/>
    <n v="30"/>
    <x v="1"/>
    <x v="1"/>
    <x v="2"/>
    <x v="23"/>
    <x v="510"/>
    <x v="3"/>
    <x v="3"/>
    <x v="1"/>
  </r>
  <r>
    <s v="48-630-6410"/>
    <n v="39"/>
    <x v="1"/>
    <x v="1"/>
    <x v="5"/>
    <x v="19"/>
    <x v="511"/>
    <x v="10"/>
    <x v="0"/>
    <x v="0"/>
  </r>
  <r>
    <s v="50-471-0212"/>
    <n v="19"/>
    <x v="0"/>
    <x v="1"/>
    <x v="2"/>
    <x v="23"/>
    <x v="512"/>
    <x v="0"/>
    <x v="1"/>
    <x v="1"/>
  </r>
  <r>
    <s v="48-642-5768"/>
    <n v="26"/>
    <x v="0"/>
    <x v="0"/>
    <x v="2"/>
    <x v="12"/>
    <x v="513"/>
    <x v="6"/>
    <x v="2"/>
    <x v="0"/>
  </r>
  <r>
    <s v="15-152-9751"/>
    <n v="21"/>
    <x v="0"/>
    <x v="1"/>
    <x v="5"/>
    <x v="4"/>
    <x v="514"/>
    <x v="10"/>
    <x v="3"/>
    <x v="0"/>
  </r>
  <r>
    <s v="23-451-9920"/>
    <n v="37"/>
    <x v="1"/>
    <x v="0"/>
    <x v="0"/>
    <x v="8"/>
    <x v="515"/>
    <x v="7"/>
    <x v="2"/>
    <x v="0"/>
  </r>
  <r>
    <s v="09-775-4058"/>
    <n v="23"/>
    <x v="1"/>
    <x v="1"/>
    <x v="5"/>
    <x v="7"/>
    <x v="516"/>
    <x v="7"/>
    <x v="2"/>
    <x v="0"/>
  </r>
  <r>
    <s v="43-595-0966"/>
    <n v="46"/>
    <x v="1"/>
    <x v="0"/>
    <x v="3"/>
    <x v="14"/>
    <x v="517"/>
    <x v="2"/>
    <x v="3"/>
    <x v="1"/>
  </r>
  <r>
    <s v="56-592-0089"/>
    <n v="35"/>
    <x v="0"/>
    <x v="0"/>
    <x v="1"/>
    <x v="10"/>
    <x v="518"/>
    <x v="10"/>
    <x v="2"/>
    <x v="0"/>
  </r>
  <r>
    <s v="29-374-1297"/>
    <n v="33"/>
    <x v="0"/>
    <x v="0"/>
    <x v="0"/>
    <x v="9"/>
    <x v="519"/>
    <x v="10"/>
    <x v="2"/>
    <x v="0"/>
  </r>
  <r>
    <s v="80-728-6133"/>
    <n v="47"/>
    <x v="1"/>
    <x v="0"/>
    <x v="1"/>
    <x v="0"/>
    <x v="520"/>
    <x v="8"/>
    <x v="3"/>
    <x v="0"/>
  </r>
  <r>
    <s v="58-502-7490"/>
    <n v="32"/>
    <x v="1"/>
    <x v="1"/>
    <x v="5"/>
    <x v="18"/>
    <x v="521"/>
    <x v="3"/>
    <x v="1"/>
    <x v="1"/>
  </r>
  <r>
    <s v="23-537-0742"/>
    <n v="20"/>
    <x v="1"/>
    <x v="0"/>
    <x v="1"/>
    <x v="4"/>
    <x v="522"/>
    <x v="1"/>
    <x v="3"/>
    <x v="0"/>
  </r>
  <r>
    <s v="22-483-3115"/>
    <n v="37"/>
    <x v="0"/>
    <x v="1"/>
    <x v="3"/>
    <x v="17"/>
    <x v="523"/>
    <x v="3"/>
    <x v="1"/>
    <x v="1"/>
  </r>
  <r>
    <s v="57-372-5969"/>
    <n v="35"/>
    <x v="0"/>
    <x v="1"/>
    <x v="0"/>
    <x v="20"/>
    <x v="524"/>
    <x v="11"/>
    <x v="1"/>
    <x v="1"/>
  </r>
  <r>
    <s v="37-283-9076"/>
    <n v="18"/>
    <x v="0"/>
    <x v="0"/>
    <x v="0"/>
    <x v="4"/>
    <x v="525"/>
    <x v="5"/>
    <x v="0"/>
    <x v="1"/>
  </r>
  <r>
    <s v="39-075-3518"/>
    <n v="27"/>
    <x v="1"/>
    <x v="0"/>
    <x v="0"/>
    <x v="6"/>
    <x v="526"/>
    <x v="3"/>
    <x v="3"/>
    <x v="1"/>
  </r>
  <r>
    <s v="84-315-7189"/>
    <n v="29"/>
    <x v="0"/>
    <x v="1"/>
    <x v="1"/>
    <x v="7"/>
    <x v="527"/>
    <x v="7"/>
    <x v="3"/>
    <x v="1"/>
  </r>
  <r>
    <s v="75-964-5589"/>
    <n v="24"/>
    <x v="1"/>
    <x v="1"/>
    <x v="5"/>
    <x v="6"/>
    <x v="528"/>
    <x v="8"/>
    <x v="1"/>
    <x v="1"/>
  </r>
  <r>
    <s v="06-594-3417"/>
    <n v="27"/>
    <x v="1"/>
    <x v="1"/>
    <x v="3"/>
    <x v="14"/>
    <x v="529"/>
    <x v="10"/>
    <x v="2"/>
    <x v="0"/>
  </r>
  <r>
    <s v="08-297-3351"/>
    <n v="34"/>
    <x v="1"/>
    <x v="1"/>
    <x v="0"/>
    <x v="10"/>
    <x v="530"/>
    <x v="10"/>
    <x v="0"/>
    <x v="0"/>
  </r>
  <r>
    <s v="05-546-5128"/>
    <n v="21"/>
    <x v="1"/>
    <x v="0"/>
    <x v="0"/>
    <x v="6"/>
    <x v="531"/>
    <x v="11"/>
    <x v="2"/>
    <x v="0"/>
  </r>
  <r>
    <s v="79-759-6726"/>
    <n v="18"/>
    <x v="1"/>
    <x v="1"/>
    <x v="1"/>
    <x v="3"/>
    <x v="532"/>
    <x v="9"/>
    <x v="1"/>
    <x v="1"/>
  </r>
  <r>
    <s v="12-851-1771"/>
    <n v="50"/>
    <x v="0"/>
    <x v="1"/>
    <x v="0"/>
    <x v="13"/>
    <x v="533"/>
    <x v="11"/>
    <x v="3"/>
    <x v="1"/>
  </r>
  <r>
    <s v="79-960-1714"/>
    <n v="31"/>
    <x v="1"/>
    <x v="0"/>
    <x v="2"/>
    <x v="22"/>
    <x v="534"/>
    <x v="2"/>
    <x v="2"/>
    <x v="0"/>
  </r>
  <r>
    <s v="30-417-6981"/>
    <n v="45"/>
    <x v="1"/>
    <x v="1"/>
    <x v="2"/>
    <x v="15"/>
    <x v="535"/>
    <x v="9"/>
    <x v="3"/>
    <x v="1"/>
  </r>
  <r>
    <s v="91-532-5399"/>
    <n v="29"/>
    <x v="1"/>
    <x v="0"/>
    <x v="5"/>
    <x v="18"/>
    <x v="536"/>
    <x v="0"/>
    <x v="3"/>
    <x v="0"/>
  </r>
  <r>
    <s v="89-997-9041"/>
    <n v="36"/>
    <x v="1"/>
    <x v="1"/>
    <x v="3"/>
    <x v="2"/>
    <x v="537"/>
    <x v="1"/>
    <x v="3"/>
    <x v="1"/>
  </r>
  <r>
    <s v="26-235-6745"/>
    <n v="27"/>
    <x v="0"/>
    <x v="1"/>
    <x v="3"/>
    <x v="23"/>
    <x v="538"/>
    <x v="7"/>
    <x v="3"/>
    <x v="1"/>
  </r>
  <r>
    <s v="99-080-9462"/>
    <n v="24"/>
    <x v="1"/>
    <x v="1"/>
    <x v="0"/>
    <x v="5"/>
    <x v="539"/>
    <x v="9"/>
    <x v="3"/>
    <x v="1"/>
  </r>
  <r>
    <s v="87-056-8987"/>
    <n v="49"/>
    <x v="0"/>
    <x v="1"/>
    <x v="4"/>
    <x v="19"/>
    <x v="540"/>
    <x v="10"/>
    <x v="1"/>
    <x v="1"/>
  </r>
  <r>
    <s v="06-160-8063"/>
    <n v="21"/>
    <x v="0"/>
    <x v="0"/>
    <x v="1"/>
    <x v="6"/>
    <x v="541"/>
    <x v="0"/>
    <x v="2"/>
    <x v="1"/>
  </r>
  <r>
    <s v="73-434-2308"/>
    <n v="19"/>
    <x v="0"/>
    <x v="0"/>
    <x v="3"/>
    <x v="7"/>
    <x v="542"/>
    <x v="10"/>
    <x v="2"/>
    <x v="1"/>
  </r>
  <r>
    <s v="84-260-6464"/>
    <n v="23"/>
    <x v="0"/>
    <x v="0"/>
    <x v="0"/>
    <x v="7"/>
    <x v="543"/>
    <x v="6"/>
    <x v="2"/>
    <x v="0"/>
  </r>
  <r>
    <s v="00-149-4481"/>
    <n v="28"/>
    <x v="0"/>
    <x v="1"/>
    <x v="5"/>
    <x v="19"/>
    <x v="544"/>
    <x v="2"/>
    <x v="2"/>
    <x v="1"/>
  </r>
  <r>
    <s v="05-710-6109"/>
    <n v="27"/>
    <x v="0"/>
    <x v="1"/>
    <x v="2"/>
    <x v="3"/>
    <x v="545"/>
    <x v="6"/>
    <x v="0"/>
    <x v="0"/>
  </r>
  <r>
    <s v="84-724-8407"/>
    <n v="47"/>
    <x v="0"/>
    <x v="1"/>
    <x v="1"/>
    <x v="23"/>
    <x v="546"/>
    <x v="4"/>
    <x v="0"/>
    <x v="0"/>
  </r>
  <r>
    <s v="45-795-1873"/>
    <n v="20"/>
    <x v="0"/>
    <x v="1"/>
    <x v="4"/>
    <x v="12"/>
    <x v="547"/>
    <x v="6"/>
    <x v="3"/>
    <x v="0"/>
  </r>
  <r>
    <s v="06-647-3248"/>
    <n v="26"/>
    <x v="0"/>
    <x v="1"/>
    <x v="4"/>
    <x v="13"/>
    <x v="548"/>
    <x v="6"/>
    <x v="1"/>
    <x v="0"/>
  </r>
  <r>
    <s v="06-767-5206"/>
    <n v="49"/>
    <x v="1"/>
    <x v="1"/>
    <x v="4"/>
    <x v="18"/>
    <x v="549"/>
    <x v="0"/>
    <x v="0"/>
    <x v="0"/>
  </r>
  <r>
    <s v="94-288-4423"/>
    <n v="39"/>
    <x v="0"/>
    <x v="1"/>
    <x v="3"/>
    <x v="21"/>
    <x v="550"/>
    <x v="7"/>
    <x v="0"/>
    <x v="0"/>
  </r>
  <r>
    <s v="49-891-9711"/>
    <n v="22"/>
    <x v="1"/>
    <x v="0"/>
    <x v="1"/>
    <x v="22"/>
    <x v="551"/>
    <x v="9"/>
    <x v="1"/>
    <x v="1"/>
  </r>
  <r>
    <s v="08-806-0588"/>
    <n v="25"/>
    <x v="1"/>
    <x v="1"/>
    <x v="3"/>
    <x v="18"/>
    <x v="552"/>
    <x v="1"/>
    <x v="3"/>
    <x v="0"/>
  </r>
  <r>
    <s v="94-746-2001"/>
    <n v="30"/>
    <x v="0"/>
    <x v="0"/>
    <x v="3"/>
    <x v="2"/>
    <x v="553"/>
    <x v="11"/>
    <x v="2"/>
    <x v="0"/>
  </r>
  <r>
    <s v="38-943-5744"/>
    <n v="19"/>
    <x v="1"/>
    <x v="1"/>
    <x v="5"/>
    <x v="23"/>
    <x v="554"/>
    <x v="5"/>
    <x v="3"/>
    <x v="0"/>
  </r>
  <r>
    <s v="98-535-8497"/>
    <n v="35"/>
    <x v="1"/>
    <x v="1"/>
    <x v="0"/>
    <x v="20"/>
    <x v="555"/>
    <x v="7"/>
    <x v="2"/>
    <x v="1"/>
  </r>
  <r>
    <s v="33-243-8793"/>
    <n v="45"/>
    <x v="1"/>
    <x v="0"/>
    <x v="4"/>
    <x v="8"/>
    <x v="556"/>
    <x v="9"/>
    <x v="3"/>
    <x v="0"/>
  </r>
  <r>
    <s v="99-581-5577"/>
    <n v="20"/>
    <x v="1"/>
    <x v="1"/>
    <x v="1"/>
    <x v="0"/>
    <x v="557"/>
    <x v="3"/>
    <x v="0"/>
    <x v="1"/>
  </r>
  <r>
    <s v="64-180-2404"/>
    <n v="48"/>
    <x v="1"/>
    <x v="0"/>
    <x v="0"/>
    <x v="0"/>
    <x v="558"/>
    <x v="10"/>
    <x v="1"/>
    <x v="0"/>
  </r>
  <r>
    <s v="73-097-0986"/>
    <n v="23"/>
    <x v="1"/>
    <x v="0"/>
    <x v="4"/>
    <x v="11"/>
    <x v="559"/>
    <x v="2"/>
    <x v="0"/>
    <x v="0"/>
  </r>
  <r>
    <s v="88-051-0567"/>
    <n v="49"/>
    <x v="0"/>
    <x v="1"/>
    <x v="2"/>
    <x v="16"/>
    <x v="560"/>
    <x v="1"/>
    <x v="0"/>
    <x v="1"/>
  </r>
  <r>
    <s v="44-715-9594"/>
    <n v="23"/>
    <x v="0"/>
    <x v="0"/>
    <x v="0"/>
    <x v="13"/>
    <x v="561"/>
    <x v="9"/>
    <x v="1"/>
    <x v="0"/>
  </r>
  <r>
    <s v="84-188-6577"/>
    <n v="39"/>
    <x v="1"/>
    <x v="0"/>
    <x v="5"/>
    <x v="0"/>
    <x v="562"/>
    <x v="4"/>
    <x v="3"/>
    <x v="1"/>
  </r>
  <r>
    <s v="19-116-4723"/>
    <n v="45"/>
    <x v="1"/>
    <x v="1"/>
    <x v="1"/>
    <x v="9"/>
    <x v="563"/>
    <x v="6"/>
    <x v="2"/>
    <x v="0"/>
  </r>
  <r>
    <s v="21-783-9242"/>
    <n v="31"/>
    <x v="1"/>
    <x v="1"/>
    <x v="2"/>
    <x v="19"/>
    <x v="564"/>
    <x v="9"/>
    <x v="3"/>
    <x v="0"/>
  </r>
  <r>
    <s v="95-528-2313"/>
    <n v="19"/>
    <x v="0"/>
    <x v="0"/>
    <x v="4"/>
    <x v="13"/>
    <x v="565"/>
    <x v="9"/>
    <x v="3"/>
    <x v="0"/>
  </r>
  <r>
    <s v="94-682-4886"/>
    <n v="27"/>
    <x v="1"/>
    <x v="0"/>
    <x v="5"/>
    <x v="0"/>
    <x v="566"/>
    <x v="7"/>
    <x v="3"/>
    <x v="0"/>
  </r>
  <r>
    <s v="55-944-9669"/>
    <n v="32"/>
    <x v="0"/>
    <x v="0"/>
    <x v="1"/>
    <x v="20"/>
    <x v="567"/>
    <x v="8"/>
    <x v="2"/>
    <x v="0"/>
  </r>
  <r>
    <s v="32-314-2958"/>
    <n v="24"/>
    <x v="1"/>
    <x v="0"/>
    <x v="2"/>
    <x v="3"/>
    <x v="568"/>
    <x v="6"/>
    <x v="3"/>
    <x v="0"/>
  </r>
  <r>
    <s v="67-697-2331"/>
    <n v="22"/>
    <x v="1"/>
    <x v="0"/>
    <x v="3"/>
    <x v="19"/>
    <x v="569"/>
    <x v="0"/>
    <x v="0"/>
    <x v="0"/>
  </r>
  <r>
    <s v="28-855-1639"/>
    <n v="46"/>
    <x v="1"/>
    <x v="1"/>
    <x v="5"/>
    <x v="13"/>
    <x v="570"/>
    <x v="3"/>
    <x v="3"/>
    <x v="1"/>
  </r>
  <r>
    <s v="38-069-8615"/>
    <n v="37"/>
    <x v="0"/>
    <x v="0"/>
    <x v="0"/>
    <x v="14"/>
    <x v="571"/>
    <x v="3"/>
    <x v="3"/>
    <x v="0"/>
  </r>
  <r>
    <s v="58-233-5963"/>
    <n v="34"/>
    <x v="1"/>
    <x v="1"/>
    <x v="3"/>
    <x v="22"/>
    <x v="572"/>
    <x v="4"/>
    <x v="1"/>
    <x v="1"/>
  </r>
  <r>
    <s v="02-004-0620"/>
    <n v="32"/>
    <x v="1"/>
    <x v="0"/>
    <x v="0"/>
    <x v="19"/>
    <x v="573"/>
    <x v="2"/>
    <x v="0"/>
    <x v="0"/>
  </r>
  <r>
    <s v="78-822-9328"/>
    <n v="44"/>
    <x v="1"/>
    <x v="1"/>
    <x v="2"/>
    <x v="0"/>
    <x v="574"/>
    <x v="2"/>
    <x v="0"/>
    <x v="1"/>
  </r>
  <r>
    <s v="73-359-1998"/>
    <n v="24"/>
    <x v="0"/>
    <x v="0"/>
    <x v="4"/>
    <x v="7"/>
    <x v="575"/>
    <x v="1"/>
    <x v="1"/>
    <x v="1"/>
  </r>
  <r>
    <s v="84-459-7736"/>
    <n v="22"/>
    <x v="1"/>
    <x v="0"/>
    <x v="4"/>
    <x v="8"/>
    <x v="576"/>
    <x v="8"/>
    <x v="3"/>
    <x v="0"/>
  </r>
  <r>
    <s v="07-395-5818"/>
    <n v="37"/>
    <x v="0"/>
    <x v="1"/>
    <x v="1"/>
    <x v="20"/>
    <x v="577"/>
    <x v="5"/>
    <x v="3"/>
    <x v="1"/>
  </r>
  <r>
    <s v="07-560-6637"/>
    <n v="41"/>
    <x v="0"/>
    <x v="0"/>
    <x v="1"/>
    <x v="20"/>
    <x v="578"/>
    <x v="6"/>
    <x v="0"/>
    <x v="0"/>
  </r>
  <r>
    <s v="61-926-1691"/>
    <n v="32"/>
    <x v="1"/>
    <x v="1"/>
    <x v="2"/>
    <x v="2"/>
    <x v="579"/>
    <x v="6"/>
    <x v="0"/>
    <x v="1"/>
  </r>
  <r>
    <s v="68-129-1060"/>
    <n v="37"/>
    <x v="0"/>
    <x v="1"/>
    <x v="2"/>
    <x v="17"/>
    <x v="580"/>
    <x v="3"/>
    <x v="1"/>
    <x v="1"/>
  </r>
  <r>
    <s v="04-052-5592"/>
    <n v="41"/>
    <x v="1"/>
    <x v="0"/>
    <x v="0"/>
    <x v="1"/>
    <x v="581"/>
    <x v="7"/>
    <x v="3"/>
    <x v="0"/>
  </r>
  <r>
    <s v="41-215-6092"/>
    <n v="37"/>
    <x v="0"/>
    <x v="1"/>
    <x v="0"/>
    <x v="5"/>
    <x v="24"/>
    <x v="7"/>
    <x v="0"/>
    <x v="1"/>
  </r>
  <r>
    <s v="89-833-7175"/>
    <n v="43"/>
    <x v="1"/>
    <x v="0"/>
    <x v="2"/>
    <x v="9"/>
    <x v="582"/>
    <x v="7"/>
    <x v="1"/>
    <x v="0"/>
  </r>
  <r>
    <s v="08-117-9893"/>
    <n v="49"/>
    <x v="1"/>
    <x v="1"/>
    <x v="1"/>
    <x v="15"/>
    <x v="583"/>
    <x v="3"/>
    <x v="1"/>
    <x v="0"/>
  </r>
  <r>
    <s v="24-109-2173"/>
    <n v="27"/>
    <x v="0"/>
    <x v="1"/>
    <x v="0"/>
    <x v="1"/>
    <x v="584"/>
    <x v="2"/>
    <x v="3"/>
    <x v="1"/>
  </r>
  <r>
    <s v="79-939-2140"/>
    <n v="41"/>
    <x v="1"/>
    <x v="0"/>
    <x v="4"/>
    <x v="10"/>
    <x v="585"/>
    <x v="3"/>
    <x v="2"/>
    <x v="1"/>
  </r>
  <r>
    <s v="95-999-0984"/>
    <n v="33"/>
    <x v="1"/>
    <x v="1"/>
    <x v="5"/>
    <x v="12"/>
    <x v="586"/>
    <x v="2"/>
    <x v="3"/>
    <x v="0"/>
  </r>
  <r>
    <s v="64-799-3174"/>
    <n v="46"/>
    <x v="1"/>
    <x v="0"/>
    <x v="1"/>
    <x v="22"/>
    <x v="587"/>
    <x v="9"/>
    <x v="1"/>
    <x v="1"/>
  </r>
  <r>
    <s v="27-018-2262"/>
    <n v="42"/>
    <x v="0"/>
    <x v="0"/>
    <x v="3"/>
    <x v="22"/>
    <x v="588"/>
    <x v="0"/>
    <x v="0"/>
    <x v="1"/>
  </r>
  <r>
    <s v="38-881-0766"/>
    <n v="27"/>
    <x v="1"/>
    <x v="0"/>
    <x v="4"/>
    <x v="21"/>
    <x v="589"/>
    <x v="7"/>
    <x v="2"/>
    <x v="1"/>
  </r>
  <r>
    <s v="17-344-8603"/>
    <n v="29"/>
    <x v="1"/>
    <x v="1"/>
    <x v="0"/>
    <x v="9"/>
    <x v="590"/>
    <x v="11"/>
    <x v="2"/>
    <x v="0"/>
  </r>
  <r>
    <s v="51-387-9144"/>
    <n v="38"/>
    <x v="1"/>
    <x v="1"/>
    <x v="3"/>
    <x v="13"/>
    <x v="591"/>
    <x v="4"/>
    <x v="0"/>
    <x v="1"/>
  </r>
  <r>
    <s v="42-101-8525"/>
    <n v="21"/>
    <x v="1"/>
    <x v="0"/>
    <x v="2"/>
    <x v="0"/>
    <x v="592"/>
    <x v="11"/>
    <x v="3"/>
    <x v="1"/>
  </r>
  <r>
    <s v="69-157-6752"/>
    <n v="18"/>
    <x v="1"/>
    <x v="0"/>
    <x v="2"/>
    <x v="13"/>
    <x v="593"/>
    <x v="8"/>
    <x v="1"/>
    <x v="0"/>
  </r>
  <r>
    <s v="27-843-5553"/>
    <n v="44"/>
    <x v="0"/>
    <x v="0"/>
    <x v="2"/>
    <x v="7"/>
    <x v="594"/>
    <x v="3"/>
    <x v="3"/>
    <x v="0"/>
  </r>
  <r>
    <s v="04-468-5487"/>
    <n v="22"/>
    <x v="1"/>
    <x v="0"/>
    <x v="5"/>
    <x v="2"/>
    <x v="595"/>
    <x v="7"/>
    <x v="0"/>
    <x v="1"/>
  </r>
  <r>
    <s v="08-584-8296"/>
    <n v="18"/>
    <x v="0"/>
    <x v="0"/>
    <x v="4"/>
    <x v="1"/>
    <x v="596"/>
    <x v="0"/>
    <x v="2"/>
    <x v="1"/>
  </r>
  <r>
    <s v="81-014-4502"/>
    <n v="24"/>
    <x v="0"/>
    <x v="0"/>
    <x v="4"/>
    <x v="9"/>
    <x v="597"/>
    <x v="8"/>
    <x v="0"/>
    <x v="1"/>
  </r>
  <r>
    <s v="65-167-9819"/>
    <n v="28"/>
    <x v="1"/>
    <x v="1"/>
    <x v="2"/>
    <x v="8"/>
    <x v="421"/>
    <x v="1"/>
    <x v="2"/>
    <x v="0"/>
  </r>
  <r>
    <s v="19-925-2376"/>
    <n v="24"/>
    <x v="1"/>
    <x v="1"/>
    <x v="5"/>
    <x v="7"/>
    <x v="598"/>
    <x v="1"/>
    <x v="3"/>
    <x v="1"/>
  </r>
  <r>
    <s v="03-669-7519"/>
    <n v="40"/>
    <x v="0"/>
    <x v="0"/>
    <x v="5"/>
    <x v="18"/>
    <x v="599"/>
    <x v="2"/>
    <x v="0"/>
    <x v="1"/>
  </r>
  <r>
    <s v="00-520-4376"/>
    <n v="50"/>
    <x v="1"/>
    <x v="1"/>
    <x v="1"/>
    <x v="21"/>
    <x v="600"/>
    <x v="2"/>
    <x v="2"/>
    <x v="0"/>
  </r>
  <r>
    <s v="62-701-1037"/>
    <n v="49"/>
    <x v="1"/>
    <x v="0"/>
    <x v="4"/>
    <x v="5"/>
    <x v="601"/>
    <x v="11"/>
    <x v="1"/>
    <x v="0"/>
  </r>
  <r>
    <s v="87-806-4478"/>
    <n v="35"/>
    <x v="1"/>
    <x v="0"/>
    <x v="0"/>
    <x v="13"/>
    <x v="602"/>
    <x v="4"/>
    <x v="1"/>
    <x v="1"/>
  </r>
  <r>
    <s v="04-809-8989"/>
    <n v="25"/>
    <x v="0"/>
    <x v="1"/>
    <x v="0"/>
    <x v="4"/>
    <x v="603"/>
    <x v="4"/>
    <x v="1"/>
    <x v="1"/>
  </r>
  <r>
    <s v="39-867-1989"/>
    <n v="40"/>
    <x v="0"/>
    <x v="1"/>
    <x v="0"/>
    <x v="7"/>
    <x v="604"/>
    <x v="0"/>
    <x v="1"/>
    <x v="1"/>
  </r>
  <r>
    <s v="45-584-7333"/>
    <n v="40"/>
    <x v="0"/>
    <x v="1"/>
    <x v="4"/>
    <x v="13"/>
    <x v="605"/>
    <x v="1"/>
    <x v="0"/>
    <x v="0"/>
  </r>
  <r>
    <s v="85-885-6579"/>
    <n v="50"/>
    <x v="1"/>
    <x v="0"/>
    <x v="1"/>
    <x v="17"/>
    <x v="606"/>
    <x v="3"/>
    <x v="3"/>
    <x v="1"/>
  </r>
  <r>
    <s v="65-457-2840"/>
    <n v="24"/>
    <x v="1"/>
    <x v="0"/>
    <x v="1"/>
    <x v="14"/>
    <x v="607"/>
    <x v="8"/>
    <x v="0"/>
    <x v="0"/>
  </r>
  <r>
    <s v="82-726-1255"/>
    <n v="30"/>
    <x v="0"/>
    <x v="0"/>
    <x v="0"/>
    <x v="22"/>
    <x v="608"/>
    <x v="7"/>
    <x v="1"/>
    <x v="0"/>
  </r>
  <r>
    <s v="90-602-3583"/>
    <n v="32"/>
    <x v="0"/>
    <x v="1"/>
    <x v="3"/>
    <x v="3"/>
    <x v="609"/>
    <x v="0"/>
    <x v="0"/>
    <x v="0"/>
  </r>
  <r>
    <s v="02-711-1034"/>
    <n v="48"/>
    <x v="0"/>
    <x v="1"/>
    <x v="2"/>
    <x v="21"/>
    <x v="610"/>
    <x v="5"/>
    <x v="3"/>
    <x v="0"/>
  </r>
  <r>
    <s v="27-347-7437"/>
    <n v="44"/>
    <x v="0"/>
    <x v="1"/>
    <x v="2"/>
    <x v="8"/>
    <x v="611"/>
    <x v="7"/>
    <x v="2"/>
    <x v="0"/>
  </r>
  <r>
    <s v="95-675-7816"/>
    <n v="19"/>
    <x v="0"/>
    <x v="1"/>
    <x v="1"/>
    <x v="19"/>
    <x v="612"/>
    <x v="1"/>
    <x v="2"/>
    <x v="0"/>
  </r>
  <r>
    <s v="87-418-1400"/>
    <n v="39"/>
    <x v="1"/>
    <x v="0"/>
    <x v="5"/>
    <x v="20"/>
    <x v="613"/>
    <x v="11"/>
    <x v="1"/>
    <x v="1"/>
  </r>
  <r>
    <s v="73-991-0066"/>
    <n v="35"/>
    <x v="0"/>
    <x v="1"/>
    <x v="3"/>
    <x v="15"/>
    <x v="614"/>
    <x v="3"/>
    <x v="2"/>
    <x v="1"/>
  </r>
  <r>
    <s v="62-273-8089"/>
    <n v="39"/>
    <x v="1"/>
    <x v="0"/>
    <x v="4"/>
    <x v="10"/>
    <x v="615"/>
    <x v="11"/>
    <x v="1"/>
    <x v="0"/>
  </r>
  <r>
    <s v="51-220-3072"/>
    <n v="31"/>
    <x v="1"/>
    <x v="0"/>
    <x v="0"/>
    <x v="7"/>
    <x v="616"/>
    <x v="0"/>
    <x v="3"/>
    <x v="0"/>
  </r>
  <r>
    <s v="17-648-0171"/>
    <n v="38"/>
    <x v="0"/>
    <x v="1"/>
    <x v="0"/>
    <x v="19"/>
    <x v="617"/>
    <x v="1"/>
    <x v="2"/>
    <x v="0"/>
  </r>
  <r>
    <s v="11-975-9054"/>
    <n v="33"/>
    <x v="1"/>
    <x v="0"/>
    <x v="5"/>
    <x v="20"/>
    <x v="618"/>
    <x v="2"/>
    <x v="3"/>
    <x v="1"/>
  </r>
  <r>
    <s v="75-518-2831"/>
    <n v="33"/>
    <x v="1"/>
    <x v="0"/>
    <x v="5"/>
    <x v="23"/>
    <x v="619"/>
    <x v="8"/>
    <x v="1"/>
    <x v="1"/>
  </r>
  <r>
    <s v="13-297-9777"/>
    <n v="42"/>
    <x v="0"/>
    <x v="0"/>
    <x v="5"/>
    <x v="12"/>
    <x v="620"/>
    <x v="10"/>
    <x v="0"/>
    <x v="1"/>
  </r>
  <r>
    <s v="81-604-7906"/>
    <n v="49"/>
    <x v="1"/>
    <x v="0"/>
    <x v="5"/>
    <x v="11"/>
    <x v="621"/>
    <x v="3"/>
    <x v="2"/>
    <x v="1"/>
  </r>
  <r>
    <s v="87-518-0375"/>
    <n v="46"/>
    <x v="0"/>
    <x v="0"/>
    <x v="0"/>
    <x v="6"/>
    <x v="622"/>
    <x v="1"/>
    <x v="1"/>
    <x v="0"/>
  </r>
  <r>
    <s v="53-437-2629"/>
    <n v="42"/>
    <x v="1"/>
    <x v="1"/>
    <x v="3"/>
    <x v="5"/>
    <x v="623"/>
    <x v="0"/>
    <x v="3"/>
    <x v="0"/>
  </r>
  <r>
    <s v="46-681-0764"/>
    <n v="44"/>
    <x v="0"/>
    <x v="0"/>
    <x v="0"/>
    <x v="8"/>
    <x v="624"/>
    <x v="9"/>
    <x v="3"/>
    <x v="0"/>
  </r>
  <r>
    <s v="43-990-6454"/>
    <n v="33"/>
    <x v="0"/>
    <x v="1"/>
    <x v="5"/>
    <x v="23"/>
    <x v="625"/>
    <x v="1"/>
    <x v="1"/>
    <x v="0"/>
  </r>
  <r>
    <s v="55-570-3804"/>
    <n v="36"/>
    <x v="1"/>
    <x v="0"/>
    <x v="4"/>
    <x v="8"/>
    <x v="626"/>
    <x v="2"/>
    <x v="3"/>
    <x v="0"/>
  </r>
  <r>
    <s v="29-067-4901"/>
    <n v="35"/>
    <x v="1"/>
    <x v="1"/>
    <x v="1"/>
    <x v="18"/>
    <x v="627"/>
    <x v="7"/>
    <x v="3"/>
    <x v="0"/>
  </r>
  <r>
    <s v="93-957-6269"/>
    <n v="26"/>
    <x v="1"/>
    <x v="1"/>
    <x v="3"/>
    <x v="3"/>
    <x v="628"/>
    <x v="0"/>
    <x v="2"/>
    <x v="0"/>
  </r>
  <r>
    <s v="81-225-6647"/>
    <n v="43"/>
    <x v="0"/>
    <x v="1"/>
    <x v="2"/>
    <x v="9"/>
    <x v="629"/>
    <x v="8"/>
    <x v="0"/>
    <x v="1"/>
  </r>
  <r>
    <s v="64-706-7841"/>
    <n v="25"/>
    <x v="1"/>
    <x v="1"/>
    <x v="3"/>
    <x v="0"/>
    <x v="630"/>
    <x v="1"/>
    <x v="3"/>
    <x v="1"/>
  </r>
  <r>
    <s v="47-178-9529"/>
    <n v="37"/>
    <x v="0"/>
    <x v="1"/>
    <x v="0"/>
    <x v="23"/>
    <x v="631"/>
    <x v="5"/>
    <x v="1"/>
    <x v="1"/>
  </r>
  <r>
    <s v="63-808-3641"/>
    <n v="25"/>
    <x v="1"/>
    <x v="1"/>
    <x v="2"/>
    <x v="3"/>
    <x v="632"/>
    <x v="9"/>
    <x v="1"/>
    <x v="1"/>
  </r>
  <r>
    <s v="85-738-8909"/>
    <n v="40"/>
    <x v="0"/>
    <x v="0"/>
    <x v="0"/>
    <x v="21"/>
    <x v="633"/>
    <x v="9"/>
    <x v="0"/>
    <x v="1"/>
  </r>
  <r>
    <s v="40-224-1057"/>
    <n v="40"/>
    <x v="0"/>
    <x v="0"/>
    <x v="0"/>
    <x v="6"/>
    <x v="634"/>
    <x v="2"/>
    <x v="0"/>
    <x v="1"/>
  </r>
  <r>
    <s v="24-853-1635"/>
    <n v="20"/>
    <x v="0"/>
    <x v="0"/>
    <x v="3"/>
    <x v="23"/>
    <x v="635"/>
    <x v="8"/>
    <x v="1"/>
    <x v="1"/>
  </r>
  <r>
    <s v="61-627-1822"/>
    <n v="39"/>
    <x v="1"/>
    <x v="1"/>
    <x v="4"/>
    <x v="23"/>
    <x v="636"/>
    <x v="11"/>
    <x v="2"/>
    <x v="0"/>
  </r>
  <r>
    <s v="89-392-5002"/>
    <n v="19"/>
    <x v="0"/>
    <x v="1"/>
    <x v="1"/>
    <x v="17"/>
    <x v="637"/>
    <x v="9"/>
    <x v="0"/>
    <x v="0"/>
  </r>
  <r>
    <s v="71-573-6085"/>
    <n v="31"/>
    <x v="0"/>
    <x v="0"/>
    <x v="3"/>
    <x v="8"/>
    <x v="638"/>
    <x v="3"/>
    <x v="1"/>
    <x v="0"/>
  </r>
  <r>
    <s v="91-810-3612"/>
    <n v="36"/>
    <x v="0"/>
    <x v="0"/>
    <x v="1"/>
    <x v="6"/>
    <x v="639"/>
    <x v="6"/>
    <x v="1"/>
    <x v="0"/>
  </r>
  <r>
    <s v="07-323-0255"/>
    <n v="31"/>
    <x v="0"/>
    <x v="0"/>
    <x v="0"/>
    <x v="19"/>
    <x v="640"/>
    <x v="0"/>
    <x v="3"/>
    <x v="0"/>
  </r>
  <r>
    <s v="81-054-5343"/>
    <n v="45"/>
    <x v="0"/>
    <x v="1"/>
    <x v="5"/>
    <x v="2"/>
    <x v="641"/>
    <x v="0"/>
    <x v="0"/>
    <x v="1"/>
  </r>
  <r>
    <s v="14-854-9545"/>
    <n v="45"/>
    <x v="0"/>
    <x v="0"/>
    <x v="1"/>
    <x v="3"/>
    <x v="642"/>
    <x v="4"/>
    <x v="0"/>
    <x v="0"/>
  </r>
  <r>
    <s v="52-150-4629"/>
    <n v="23"/>
    <x v="0"/>
    <x v="1"/>
    <x v="1"/>
    <x v="6"/>
    <x v="643"/>
    <x v="0"/>
    <x v="2"/>
    <x v="1"/>
  </r>
  <r>
    <s v="48-918-4473"/>
    <n v="28"/>
    <x v="1"/>
    <x v="0"/>
    <x v="5"/>
    <x v="14"/>
    <x v="644"/>
    <x v="1"/>
    <x v="1"/>
    <x v="0"/>
  </r>
  <r>
    <s v="06-764-5496"/>
    <n v="26"/>
    <x v="0"/>
    <x v="1"/>
    <x v="0"/>
    <x v="20"/>
    <x v="645"/>
    <x v="6"/>
    <x v="0"/>
    <x v="0"/>
  </r>
  <r>
    <s v="67-036-4295"/>
    <n v="50"/>
    <x v="0"/>
    <x v="0"/>
    <x v="4"/>
    <x v="17"/>
    <x v="646"/>
    <x v="8"/>
    <x v="0"/>
    <x v="0"/>
  </r>
  <r>
    <s v="35-880-9374"/>
    <n v="36"/>
    <x v="0"/>
    <x v="0"/>
    <x v="2"/>
    <x v="17"/>
    <x v="647"/>
    <x v="10"/>
    <x v="3"/>
    <x v="1"/>
  </r>
  <r>
    <s v="08-614-6177"/>
    <n v="32"/>
    <x v="1"/>
    <x v="0"/>
    <x v="0"/>
    <x v="3"/>
    <x v="648"/>
    <x v="2"/>
    <x v="2"/>
    <x v="1"/>
  </r>
  <r>
    <s v="35-879-0014"/>
    <n v="34"/>
    <x v="1"/>
    <x v="1"/>
    <x v="3"/>
    <x v="1"/>
    <x v="649"/>
    <x v="6"/>
    <x v="3"/>
    <x v="1"/>
  </r>
  <r>
    <s v="91-570-2695"/>
    <n v="50"/>
    <x v="1"/>
    <x v="0"/>
    <x v="3"/>
    <x v="15"/>
    <x v="650"/>
    <x v="1"/>
    <x v="1"/>
    <x v="0"/>
  </r>
  <r>
    <s v="54-193-3526"/>
    <n v="24"/>
    <x v="0"/>
    <x v="0"/>
    <x v="0"/>
    <x v="22"/>
    <x v="651"/>
    <x v="11"/>
    <x v="2"/>
    <x v="0"/>
  </r>
  <r>
    <s v="55-237-7991"/>
    <n v="49"/>
    <x v="1"/>
    <x v="0"/>
    <x v="1"/>
    <x v="3"/>
    <x v="652"/>
    <x v="7"/>
    <x v="0"/>
    <x v="1"/>
  </r>
  <r>
    <s v="90-569-7391"/>
    <n v="18"/>
    <x v="0"/>
    <x v="0"/>
    <x v="5"/>
    <x v="18"/>
    <x v="653"/>
    <x v="1"/>
    <x v="1"/>
    <x v="0"/>
  </r>
  <r>
    <s v="88-395-8741"/>
    <n v="44"/>
    <x v="1"/>
    <x v="1"/>
    <x v="1"/>
    <x v="22"/>
    <x v="654"/>
    <x v="4"/>
    <x v="3"/>
    <x v="1"/>
  </r>
  <r>
    <s v="06-638-0433"/>
    <n v="41"/>
    <x v="1"/>
    <x v="1"/>
    <x v="0"/>
    <x v="22"/>
    <x v="655"/>
    <x v="10"/>
    <x v="2"/>
    <x v="1"/>
  </r>
  <r>
    <s v="84-208-7045"/>
    <n v="33"/>
    <x v="1"/>
    <x v="1"/>
    <x v="1"/>
    <x v="5"/>
    <x v="656"/>
    <x v="7"/>
    <x v="1"/>
    <x v="1"/>
  </r>
  <r>
    <s v="71-568-0867"/>
    <n v="46"/>
    <x v="1"/>
    <x v="1"/>
    <x v="5"/>
    <x v="14"/>
    <x v="657"/>
    <x v="4"/>
    <x v="3"/>
    <x v="1"/>
  </r>
  <r>
    <s v="18-925-1867"/>
    <n v="23"/>
    <x v="0"/>
    <x v="1"/>
    <x v="4"/>
    <x v="16"/>
    <x v="658"/>
    <x v="7"/>
    <x v="2"/>
    <x v="0"/>
  </r>
  <r>
    <s v="69-394-1424"/>
    <n v="35"/>
    <x v="0"/>
    <x v="1"/>
    <x v="4"/>
    <x v="14"/>
    <x v="659"/>
    <x v="7"/>
    <x v="2"/>
    <x v="1"/>
  </r>
  <r>
    <s v="91-695-8237"/>
    <n v="31"/>
    <x v="0"/>
    <x v="0"/>
    <x v="5"/>
    <x v="17"/>
    <x v="660"/>
    <x v="3"/>
    <x v="1"/>
    <x v="0"/>
  </r>
  <r>
    <s v="68-458-0904"/>
    <n v="20"/>
    <x v="0"/>
    <x v="1"/>
    <x v="2"/>
    <x v="6"/>
    <x v="661"/>
    <x v="4"/>
    <x v="0"/>
    <x v="0"/>
  </r>
  <r>
    <s v="28-862-5550"/>
    <n v="49"/>
    <x v="0"/>
    <x v="0"/>
    <x v="1"/>
    <x v="1"/>
    <x v="662"/>
    <x v="7"/>
    <x v="1"/>
    <x v="0"/>
  </r>
  <r>
    <s v="85-666-7449"/>
    <n v="26"/>
    <x v="0"/>
    <x v="1"/>
    <x v="2"/>
    <x v="18"/>
    <x v="663"/>
    <x v="10"/>
    <x v="1"/>
    <x v="1"/>
  </r>
  <r>
    <s v="30-987-7421"/>
    <n v="36"/>
    <x v="1"/>
    <x v="0"/>
    <x v="2"/>
    <x v="4"/>
    <x v="664"/>
    <x v="5"/>
    <x v="3"/>
    <x v="1"/>
  </r>
  <r>
    <s v="39-107-6852"/>
    <n v="21"/>
    <x v="1"/>
    <x v="0"/>
    <x v="5"/>
    <x v="6"/>
    <x v="665"/>
    <x v="1"/>
    <x v="3"/>
    <x v="1"/>
  </r>
  <r>
    <s v="85-467-6564"/>
    <n v="35"/>
    <x v="0"/>
    <x v="0"/>
    <x v="0"/>
    <x v="10"/>
    <x v="666"/>
    <x v="8"/>
    <x v="3"/>
    <x v="1"/>
  </r>
  <r>
    <s v="82-692-9306"/>
    <n v="41"/>
    <x v="1"/>
    <x v="1"/>
    <x v="3"/>
    <x v="15"/>
    <x v="667"/>
    <x v="6"/>
    <x v="1"/>
    <x v="1"/>
  </r>
  <r>
    <s v="18-593-8611"/>
    <n v="22"/>
    <x v="1"/>
    <x v="1"/>
    <x v="0"/>
    <x v="18"/>
    <x v="668"/>
    <x v="6"/>
    <x v="2"/>
    <x v="1"/>
  </r>
  <r>
    <s v="93-093-0556"/>
    <n v="42"/>
    <x v="1"/>
    <x v="0"/>
    <x v="4"/>
    <x v="6"/>
    <x v="669"/>
    <x v="9"/>
    <x v="2"/>
    <x v="0"/>
  </r>
  <r>
    <s v="59-080-5779"/>
    <n v="50"/>
    <x v="1"/>
    <x v="1"/>
    <x v="1"/>
    <x v="14"/>
    <x v="670"/>
    <x v="1"/>
    <x v="1"/>
    <x v="1"/>
  </r>
  <r>
    <s v="64-915-2968"/>
    <n v="30"/>
    <x v="0"/>
    <x v="1"/>
    <x v="1"/>
    <x v="12"/>
    <x v="671"/>
    <x v="1"/>
    <x v="1"/>
    <x v="0"/>
  </r>
  <r>
    <s v="94-495-3402"/>
    <n v="49"/>
    <x v="0"/>
    <x v="1"/>
    <x v="0"/>
    <x v="21"/>
    <x v="672"/>
    <x v="10"/>
    <x v="1"/>
    <x v="0"/>
  </r>
  <r>
    <s v="84-458-6432"/>
    <n v="40"/>
    <x v="0"/>
    <x v="0"/>
    <x v="4"/>
    <x v="19"/>
    <x v="673"/>
    <x v="0"/>
    <x v="0"/>
    <x v="0"/>
  </r>
  <r>
    <s v="46-452-3822"/>
    <n v="38"/>
    <x v="0"/>
    <x v="0"/>
    <x v="2"/>
    <x v="4"/>
    <x v="674"/>
    <x v="10"/>
    <x v="0"/>
    <x v="0"/>
  </r>
  <r>
    <s v="54-877-5699"/>
    <n v="21"/>
    <x v="1"/>
    <x v="1"/>
    <x v="5"/>
    <x v="6"/>
    <x v="675"/>
    <x v="10"/>
    <x v="2"/>
    <x v="1"/>
  </r>
  <r>
    <s v="15-146-4456"/>
    <n v="40"/>
    <x v="1"/>
    <x v="1"/>
    <x v="5"/>
    <x v="9"/>
    <x v="676"/>
    <x v="8"/>
    <x v="0"/>
    <x v="1"/>
  </r>
  <r>
    <s v="76-620-2994"/>
    <n v="26"/>
    <x v="1"/>
    <x v="1"/>
    <x v="5"/>
    <x v="7"/>
    <x v="677"/>
    <x v="1"/>
    <x v="0"/>
    <x v="0"/>
  </r>
  <r>
    <s v="60-834-3348"/>
    <n v="32"/>
    <x v="0"/>
    <x v="0"/>
    <x v="0"/>
    <x v="23"/>
    <x v="678"/>
    <x v="10"/>
    <x v="1"/>
    <x v="1"/>
  </r>
  <r>
    <s v="77-742-5663"/>
    <n v="47"/>
    <x v="0"/>
    <x v="0"/>
    <x v="4"/>
    <x v="23"/>
    <x v="679"/>
    <x v="3"/>
    <x v="2"/>
    <x v="0"/>
  </r>
  <r>
    <s v="05-167-0833"/>
    <n v="21"/>
    <x v="1"/>
    <x v="0"/>
    <x v="2"/>
    <x v="22"/>
    <x v="680"/>
    <x v="7"/>
    <x v="3"/>
    <x v="1"/>
  </r>
  <r>
    <s v="86-182-9556"/>
    <n v="34"/>
    <x v="1"/>
    <x v="1"/>
    <x v="1"/>
    <x v="13"/>
    <x v="681"/>
    <x v="0"/>
    <x v="3"/>
    <x v="1"/>
  </r>
  <r>
    <s v="14-415-2802"/>
    <n v="29"/>
    <x v="1"/>
    <x v="0"/>
    <x v="5"/>
    <x v="18"/>
    <x v="682"/>
    <x v="4"/>
    <x v="2"/>
    <x v="1"/>
  </r>
  <r>
    <s v="49-469-9163"/>
    <n v="20"/>
    <x v="0"/>
    <x v="0"/>
    <x v="1"/>
    <x v="23"/>
    <x v="683"/>
    <x v="10"/>
    <x v="2"/>
    <x v="0"/>
  </r>
  <r>
    <s v="67-937-6624"/>
    <n v="50"/>
    <x v="1"/>
    <x v="1"/>
    <x v="0"/>
    <x v="14"/>
    <x v="684"/>
    <x v="6"/>
    <x v="2"/>
    <x v="0"/>
  </r>
  <r>
    <s v="91-761-9492"/>
    <n v="29"/>
    <x v="0"/>
    <x v="0"/>
    <x v="4"/>
    <x v="22"/>
    <x v="685"/>
    <x v="10"/>
    <x v="2"/>
    <x v="0"/>
  </r>
  <r>
    <s v="19-184-7665"/>
    <n v="25"/>
    <x v="0"/>
    <x v="0"/>
    <x v="1"/>
    <x v="7"/>
    <x v="686"/>
    <x v="10"/>
    <x v="0"/>
    <x v="1"/>
  </r>
  <r>
    <s v="19-383-9741"/>
    <n v="37"/>
    <x v="1"/>
    <x v="0"/>
    <x v="1"/>
    <x v="16"/>
    <x v="687"/>
    <x v="11"/>
    <x v="2"/>
    <x v="0"/>
  </r>
  <r>
    <s v="15-625-4047"/>
    <n v="39"/>
    <x v="1"/>
    <x v="0"/>
    <x v="4"/>
    <x v="19"/>
    <x v="688"/>
    <x v="2"/>
    <x v="3"/>
    <x v="0"/>
  </r>
  <r>
    <s v="81-820-4735"/>
    <n v="48"/>
    <x v="0"/>
    <x v="0"/>
    <x v="2"/>
    <x v="16"/>
    <x v="689"/>
    <x v="0"/>
    <x v="1"/>
    <x v="1"/>
  </r>
  <r>
    <s v="71-436-6908"/>
    <n v="47"/>
    <x v="1"/>
    <x v="1"/>
    <x v="1"/>
    <x v="16"/>
    <x v="690"/>
    <x v="5"/>
    <x v="1"/>
    <x v="0"/>
  </r>
  <r>
    <s v="73-145-5784"/>
    <n v="50"/>
    <x v="0"/>
    <x v="0"/>
    <x v="1"/>
    <x v="4"/>
    <x v="691"/>
    <x v="8"/>
    <x v="0"/>
    <x v="0"/>
  </r>
  <r>
    <s v="50-637-1630"/>
    <n v="42"/>
    <x v="1"/>
    <x v="1"/>
    <x v="4"/>
    <x v="13"/>
    <x v="692"/>
    <x v="7"/>
    <x v="3"/>
    <x v="1"/>
  </r>
  <r>
    <s v="44-938-7475"/>
    <n v="28"/>
    <x v="0"/>
    <x v="1"/>
    <x v="2"/>
    <x v="11"/>
    <x v="693"/>
    <x v="11"/>
    <x v="3"/>
    <x v="1"/>
  </r>
  <r>
    <s v="55-279-3045"/>
    <n v="23"/>
    <x v="1"/>
    <x v="0"/>
    <x v="0"/>
    <x v="11"/>
    <x v="694"/>
    <x v="8"/>
    <x v="2"/>
    <x v="0"/>
  </r>
  <r>
    <s v="59-997-3903"/>
    <n v="42"/>
    <x v="1"/>
    <x v="1"/>
    <x v="3"/>
    <x v="17"/>
    <x v="695"/>
    <x v="6"/>
    <x v="1"/>
    <x v="0"/>
  </r>
  <r>
    <s v="12-029-9344"/>
    <n v="32"/>
    <x v="1"/>
    <x v="1"/>
    <x v="0"/>
    <x v="16"/>
    <x v="696"/>
    <x v="10"/>
    <x v="3"/>
    <x v="0"/>
  </r>
  <r>
    <s v="41-130-2570"/>
    <n v="33"/>
    <x v="1"/>
    <x v="0"/>
    <x v="4"/>
    <x v="9"/>
    <x v="697"/>
    <x v="1"/>
    <x v="0"/>
    <x v="1"/>
  </r>
  <r>
    <s v="25-285-7453"/>
    <n v="32"/>
    <x v="1"/>
    <x v="1"/>
    <x v="3"/>
    <x v="17"/>
    <x v="698"/>
    <x v="9"/>
    <x v="2"/>
    <x v="1"/>
  </r>
  <r>
    <s v="47-225-8686"/>
    <n v="29"/>
    <x v="1"/>
    <x v="1"/>
    <x v="1"/>
    <x v="10"/>
    <x v="699"/>
    <x v="11"/>
    <x v="2"/>
    <x v="1"/>
  </r>
  <r>
    <s v="33-519-4214"/>
    <n v="25"/>
    <x v="0"/>
    <x v="1"/>
    <x v="2"/>
    <x v="7"/>
    <x v="700"/>
    <x v="3"/>
    <x v="2"/>
    <x v="0"/>
  </r>
  <r>
    <s v="03-991-2098"/>
    <n v="41"/>
    <x v="0"/>
    <x v="1"/>
    <x v="3"/>
    <x v="14"/>
    <x v="701"/>
    <x v="2"/>
    <x v="0"/>
    <x v="1"/>
  </r>
  <r>
    <s v="30-735-8744"/>
    <n v="24"/>
    <x v="0"/>
    <x v="0"/>
    <x v="5"/>
    <x v="7"/>
    <x v="702"/>
    <x v="4"/>
    <x v="1"/>
    <x v="1"/>
  </r>
  <r>
    <s v="13-848-5757"/>
    <n v="32"/>
    <x v="0"/>
    <x v="1"/>
    <x v="2"/>
    <x v="6"/>
    <x v="703"/>
    <x v="10"/>
    <x v="0"/>
    <x v="0"/>
  </r>
  <r>
    <s v="21-300-2001"/>
    <n v="41"/>
    <x v="0"/>
    <x v="0"/>
    <x v="1"/>
    <x v="8"/>
    <x v="704"/>
    <x v="9"/>
    <x v="3"/>
    <x v="1"/>
  </r>
  <r>
    <s v="38-587-1781"/>
    <n v="18"/>
    <x v="1"/>
    <x v="0"/>
    <x v="5"/>
    <x v="10"/>
    <x v="705"/>
    <x v="9"/>
    <x v="1"/>
    <x v="0"/>
  </r>
  <r>
    <s v="66-557-1474"/>
    <n v="25"/>
    <x v="1"/>
    <x v="0"/>
    <x v="4"/>
    <x v="4"/>
    <x v="706"/>
    <x v="11"/>
    <x v="1"/>
    <x v="0"/>
  </r>
  <r>
    <s v="03-422-8710"/>
    <n v="49"/>
    <x v="1"/>
    <x v="0"/>
    <x v="5"/>
    <x v="6"/>
    <x v="707"/>
    <x v="0"/>
    <x v="1"/>
    <x v="0"/>
  </r>
  <r>
    <s v="39-731-8532"/>
    <n v="39"/>
    <x v="1"/>
    <x v="1"/>
    <x v="1"/>
    <x v="17"/>
    <x v="708"/>
    <x v="4"/>
    <x v="1"/>
    <x v="0"/>
  </r>
  <r>
    <s v="80-830-3184"/>
    <n v="47"/>
    <x v="0"/>
    <x v="1"/>
    <x v="1"/>
    <x v="23"/>
    <x v="709"/>
    <x v="3"/>
    <x v="0"/>
    <x v="0"/>
  </r>
  <r>
    <s v="97-505-8416"/>
    <n v="43"/>
    <x v="1"/>
    <x v="0"/>
    <x v="2"/>
    <x v="8"/>
    <x v="710"/>
    <x v="6"/>
    <x v="0"/>
    <x v="1"/>
  </r>
  <r>
    <s v="98-585-4742"/>
    <n v="38"/>
    <x v="0"/>
    <x v="1"/>
    <x v="0"/>
    <x v="3"/>
    <x v="711"/>
    <x v="1"/>
    <x v="3"/>
    <x v="0"/>
  </r>
  <r>
    <s v="51-302-9537"/>
    <n v="40"/>
    <x v="0"/>
    <x v="1"/>
    <x v="5"/>
    <x v="9"/>
    <x v="712"/>
    <x v="2"/>
    <x v="2"/>
    <x v="0"/>
  </r>
  <r>
    <s v="88-313-2633"/>
    <n v="33"/>
    <x v="1"/>
    <x v="0"/>
    <x v="4"/>
    <x v="4"/>
    <x v="713"/>
    <x v="11"/>
    <x v="2"/>
    <x v="0"/>
  </r>
  <r>
    <s v="61-286-0069"/>
    <n v="18"/>
    <x v="0"/>
    <x v="0"/>
    <x v="0"/>
    <x v="17"/>
    <x v="714"/>
    <x v="8"/>
    <x v="2"/>
    <x v="1"/>
  </r>
  <r>
    <s v="35-907-0586"/>
    <n v="39"/>
    <x v="0"/>
    <x v="1"/>
    <x v="4"/>
    <x v="4"/>
    <x v="715"/>
    <x v="3"/>
    <x v="1"/>
    <x v="1"/>
  </r>
  <r>
    <s v="30-522-1574"/>
    <n v="31"/>
    <x v="1"/>
    <x v="0"/>
    <x v="4"/>
    <x v="18"/>
    <x v="716"/>
    <x v="2"/>
    <x v="1"/>
    <x v="1"/>
  </r>
  <r>
    <s v="43-715-8777"/>
    <n v="27"/>
    <x v="1"/>
    <x v="0"/>
    <x v="0"/>
    <x v="8"/>
    <x v="717"/>
    <x v="5"/>
    <x v="1"/>
    <x v="0"/>
  </r>
  <r>
    <s v="94-692-4313"/>
    <n v="31"/>
    <x v="0"/>
    <x v="1"/>
    <x v="3"/>
    <x v="9"/>
    <x v="718"/>
    <x v="9"/>
    <x v="0"/>
    <x v="1"/>
  </r>
  <r>
    <s v="96-915-4091"/>
    <n v="36"/>
    <x v="0"/>
    <x v="1"/>
    <x v="1"/>
    <x v="13"/>
    <x v="719"/>
    <x v="9"/>
    <x v="3"/>
    <x v="1"/>
  </r>
  <r>
    <s v="67-073-5578"/>
    <n v="27"/>
    <x v="0"/>
    <x v="0"/>
    <x v="2"/>
    <x v="19"/>
    <x v="720"/>
    <x v="3"/>
    <x v="3"/>
    <x v="1"/>
  </r>
  <r>
    <s v="27-010-9462"/>
    <n v="21"/>
    <x v="0"/>
    <x v="0"/>
    <x v="5"/>
    <x v="19"/>
    <x v="721"/>
    <x v="2"/>
    <x v="0"/>
    <x v="0"/>
  </r>
  <r>
    <s v="19-689-4556"/>
    <n v="50"/>
    <x v="0"/>
    <x v="0"/>
    <x v="0"/>
    <x v="8"/>
    <x v="722"/>
    <x v="0"/>
    <x v="3"/>
    <x v="1"/>
  </r>
  <r>
    <s v="53-143-6147"/>
    <n v="49"/>
    <x v="0"/>
    <x v="1"/>
    <x v="3"/>
    <x v="10"/>
    <x v="723"/>
    <x v="10"/>
    <x v="2"/>
    <x v="1"/>
  </r>
  <r>
    <s v="02-725-7664"/>
    <n v="43"/>
    <x v="0"/>
    <x v="1"/>
    <x v="0"/>
    <x v="1"/>
    <x v="724"/>
    <x v="5"/>
    <x v="0"/>
    <x v="1"/>
  </r>
  <r>
    <s v="54-439-4748"/>
    <n v="35"/>
    <x v="0"/>
    <x v="1"/>
    <x v="0"/>
    <x v="10"/>
    <x v="725"/>
    <x v="3"/>
    <x v="3"/>
    <x v="1"/>
  </r>
  <r>
    <s v="66-949-9895"/>
    <n v="21"/>
    <x v="1"/>
    <x v="0"/>
    <x v="4"/>
    <x v="13"/>
    <x v="726"/>
    <x v="7"/>
    <x v="0"/>
    <x v="0"/>
  </r>
  <r>
    <s v="20-648-1010"/>
    <n v="34"/>
    <x v="1"/>
    <x v="1"/>
    <x v="4"/>
    <x v="3"/>
    <x v="727"/>
    <x v="6"/>
    <x v="2"/>
    <x v="1"/>
  </r>
  <r>
    <s v="79-939-5393"/>
    <n v="21"/>
    <x v="0"/>
    <x v="1"/>
    <x v="2"/>
    <x v="2"/>
    <x v="728"/>
    <x v="1"/>
    <x v="1"/>
    <x v="1"/>
  </r>
  <r>
    <s v="89-249-8369"/>
    <n v="23"/>
    <x v="0"/>
    <x v="1"/>
    <x v="0"/>
    <x v="4"/>
    <x v="729"/>
    <x v="9"/>
    <x v="1"/>
    <x v="1"/>
  </r>
  <r>
    <s v="85-366-1482"/>
    <n v="31"/>
    <x v="0"/>
    <x v="0"/>
    <x v="4"/>
    <x v="10"/>
    <x v="730"/>
    <x v="4"/>
    <x v="2"/>
    <x v="0"/>
  </r>
  <r>
    <s v="34-874-7357"/>
    <n v="21"/>
    <x v="1"/>
    <x v="1"/>
    <x v="1"/>
    <x v="21"/>
    <x v="731"/>
    <x v="7"/>
    <x v="2"/>
    <x v="1"/>
  </r>
  <r>
    <s v="11-820-5039"/>
    <n v="22"/>
    <x v="0"/>
    <x v="0"/>
    <x v="2"/>
    <x v="2"/>
    <x v="732"/>
    <x v="2"/>
    <x v="0"/>
    <x v="0"/>
  </r>
  <r>
    <s v="73-846-1423"/>
    <n v="38"/>
    <x v="0"/>
    <x v="1"/>
    <x v="3"/>
    <x v="21"/>
    <x v="733"/>
    <x v="6"/>
    <x v="2"/>
    <x v="1"/>
  </r>
  <r>
    <s v="90-363-8040"/>
    <n v="27"/>
    <x v="1"/>
    <x v="1"/>
    <x v="0"/>
    <x v="10"/>
    <x v="734"/>
    <x v="6"/>
    <x v="1"/>
    <x v="0"/>
  </r>
  <r>
    <s v="65-533-1660"/>
    <n v="18"/>
    <x v="1"/>
    <x v="0"/>
    <x v="4"/>
    <x v="3"/>
    <x v="735"/>
    <x v="1"/>
    <x v="2"/>
    <x v="1"/>
  </r>
  <r>
    <s v="98-376-8787"/>
    <n v="36"/>
    <x v="1"/>
    <x v="1"/>
    <x v="0"/>
    <x v="13"/>
    <x v="736"/>
    <x v="6"/>
    <x v="1"/>
    <x v="1"/>
  </r>
  <r>
    <s v="18-938-9896"/>
    <n v="44"/>
    <x v="0"/>
    <x v="0"/>
    <x v="4"/>
    <x v="12"/>
    <x v="737"/>
    <x v="2"/>
    <x v="1"/>
    <x v="0"/>
  </r>
  <r>
    <s v="04-829-7037"/>
    <n v="48"/>
    <x v="0"/>
    <x v="1"/>
    <x v="4"/>
    <x v="17"/>
    <x v="738"/>
    <x v="1"/>
    <x v="3"/>
    <x v="1"/>
  </r>
  <r>
    <s v="93-455-0576"/>
    <n v="23"/>
    <x v="0"/>
    <x v="0"/>
    <x v="5"/>
    <x v="16"/>
    <x v="739"/>
    <x v="5"/>
    <x v="3"/>
    <x v="1"/>
  </r>
  <r>
    <s v="84-637-9188"/>
    <n v="35"/>
    <x v="1"/>
    <x v="0"/>
    <x v="0"/>
    <x v="23"/>
    <x v="740"/>
    <x v="0"/>
    <x v="3"/>
    <x v="0"/>
  </r>
  <r>
    <s v="81-111-7832"/>
    <n v="50"/>
    <x v="0"/>
    <x v="1"/>
    <x v="1"/>
    <x v="9"/>
    <x v="49"/>
    <x v="2"/>
    <x v="0"/>
    <x v="0"/>
  </r>
  <r>
    <s v="77-401-8183"/>
    <n v="30"/>
    <x v="0"/>
    <x v="1"/>
    <x v="1"/>
    <x v="15"/>
    <x v="741"/>
    <x v="10"/>
    <x v="2"/>
    <x v="1"/>
  </r>
  <r>
    <s v="01-484-8220"/>
    <n v="38"/>
    <x v="1"/>
    <x v="0"/>
    <x v="0"/>
    <x v="11"/>
    <x v="742"/>
    <x v="9"/>
    <x v="3"/>
    <x v="0"/>
  </r>
  <r>
    <s v="11-121-0709"/>
    <n v="42"/>
    <x v="1"/>
    <x v="0"/>
    <x v="1"/>
    <x v="18"/>
    <x v="743"/>
    <x v="10"/>
    <x v="2"/>
    <x v="0"/>
  </r>
  <r>
    <s v="36-649-0081"/>
    <n v="24"/>
    <x v="0"/>
    <x v="1"/>
    <x v="3"/>
    <x v="11"/>
    <x v="744"/>
    <x v="6"/>
    <x v="3"/>
    <x v="0"/>
  </r>
  <r>
    <s v="61-176-8712"/>
    <n v="27"/>
    <x v="0"/>
    <x v="1"/>
    <x v="3"/>
    <x v="21"/>
    <x v="745"/>
    <x v="1"/>
    <x v="1"/>
    <x v="0"/>
  </r>
  <r>
    <s v="75-526-2611"/>
    <n v="36"/>
    <x v="0"/>
    <x v="1"/>
    <x v="3"/>
    <x v="21"/>
    <x v="746"/>
    <x v="7"/>
    <x v="2"/>
    <x v="0"/>
  </r>
  <r>
    <s v="72-339-1854"/>
    <n v="19"/>
    <x v="0"/>
    <x v="1"/>
    <x v="1"/>
    <x v="4"/>
    <x v="747"/>
    <x v="1"/>
    <x v="2"/>
    <x v="0"/>
  </r>
  <r>
    <s v="80-360-6324"/>
    <n v="24"/>
    <x v="0"/>
    <x v="1"/>
    <x v="1"/>
    <x v="12"/>
    <x v="748"/>
    <x v="11"/>
    <x v="1"/>
    <x v="1"/>
  </r>
  <r>
    <s v="24-591-4327"/>
    <n v="35"/>
    <x v="1"/>
    <x v="1"/>
    <x v="4"/>
    <x v="9"/>
    <x v="749"/>
    <x v="3"/>
    <x v="3"/>
    <x v="0"/>
  </r>
  <r>
    <s v="58-487-8848"/>
    <n v="38"/>
    <x v="0"/>
    <x v="1"/>
    <x v="1"/>
    <x v="21"/>
    <x v="750"/>
    <x v="11"/>
    <x v="0"/>
    <x v="1"/>
  </r>
  <r>
    <s v="61-453-3503"/>
    <n v="34"/>
    <x v="1"/>
    <x v="1"/>
    <x v="3"/>
    <x v="14"/>
    <x v="751"/>
    <x v="3"/>
    <x v="0"/>
    <x v="0"/>
  </r>
  <r>
    <s v="63-680-7694"/>
    <n v="29"/>
    <x v="0"/>
    <x v="1"/>
    <x v="2"/>
    <x v="11"/>
    <x v="752"/>
    <x v="3"/>
    <x v="1"/>
    <x v="0"/>
  </r>
  <r>
    <s v="51-431-7150"/>
    <n v="41"/>
    <x v="0"/>
    <x v="0"/>
    <x v="0"/>
    <x v="4"/>
    <x v="753"/>
    <x v="10"/>
    <x v="3"/>
    <x v="0"/>
  </r>
  <r>
    <s v="23-039-9347"/>
    <n v="41"/>
    <x v="1"/>
    <x v="0"/>
    <x v="2"/>
    <x v="18"/>
    <x v="754"/>
    <x v="6"/>
    <x v="1"/>
    <x v="0"/>
  </r>
  <r>
    <s v="18-832-6916"/>
    <n v="32"/>
    <x v="1"/>
    <x v="1"/>
    <x v="0"/>
    <x v="9"/>
    <x v="755"/>
    <x v="7"/>
    <x v="0"/>
    <x v="0"/>
  </r>
  <r>
    <s v="29-438-8126"/>
    <n v="36"/>
    <x v="0"/>
    <x v="0"/>
    <x v="0"/>
    <x v="12"/>
    <x v="756"/>
    <x v="1"/>
    <x v="1"/>
    <x v="1"/>
  </r>
  <r>
    <s v="68-201-1633"/>
    <n v="33"/>
    <x v="1"/>
    <x v="0"/>
    <x v="0"/>
    <x v="14"/>
    <x v="757"/>
    <x v="9"/>
    <x v="1"/>
    <x v="0"/>
  </r>
  <r>
    <s v="07-314-2945"/>
    <n v="25"/>
    <x v="0"/>
    <x v="0"/>
    <x v="0"/>
    <x v="7"/>
    <x v="758"/>
    <x v="6"/>
    <x v="1"/>
    <x v="0"/>
  </r>
  <r>
    <s v="64-490-6975"/>
    <n v="46"/>
    <x v="0"/>
    <x v="0"/>
    <x v="2"/>
    <x v="23"/>
    <x v="759"/>
    <x v="9"/>
    <x v="0"/>
    <x v="0"/>
  </r>
  <r>
    <s v="91-789-3191"/>
    <n v="41"/>
    <x v="0"/>
    <x v="1"/>
    <x v="0"/>
    <x v="6"/>
    <x v="760"/>
    <x v="6"/>
    <x v="0"/>
    <x v="1"/>
  </r>
  <r>
    <s v="83-714-9649"/>
    <n v="28"/>
    <x v="0"/>
    <x v="0"/>
    <x v="0"/>
    <x v="3"/>
    <x v="761"/>
    <x v="9"/>
    <x v="3"/>
    <x v="0"/>
  </r>
  <r>
    <s v="33-203-4230"/>
    <n v="23"/>
    <x v="1"/>
    <x v="1"/>
    <x v="4"/>
    <x v="14"/>
    <x v="762"/>
    <x v="2"/>
    <x v="3"/>
    <x v="1"/>
  </r>
  <r>
    <s v="90-918-2833"/>
    <n v="48"/>
    <x v="0"/>
    <x v="1"/>
    <x v="3"/>
    <x v="4"/>
    <x v="763"/>
    <x v="6"/>
    <x v="2"/>
    <x v="0"/>
  </r>
  <r>
    <s v="53-409-1176"/>
    <n v="26"/>
    <x v="1"/>
    <x v="1"/>
    <x v="5"/>
    <x v="17"/>
    <x v="764"/>
    <x v="6"/>
    <x v="3"/>
    <x v="1"/>
  </r>
  <r>
    <s v="52-491-3386"/>
    <n v="39"/>
    <x v="0"/>
    <x v="1"/>
    <x v="2"/>
    <x v="17"/>
    <x v="765"/>
    <x v="6"/>
    <x v="3"/>
    <x v="0"/>
  </r>
  <r>
    <s v="10-870-3357"/>
    <n v="45"/>
    <x v="1"/>
    <x v="0"/>
    <x v="4"/>
    <x v="6"/>
    <x v="766"/>
    <x v="2"/>
    <x v="2"/>
    <x v="0"/>
  </r>
  <r>
    <s v="41-816-7753"/>
    <n v="22"/>
    <x v="1"/>
    <x v="0"/>
    <x v="1"/>
    <x v="16"/>
    <x v="767"/>
    <x v="6"/>
    <x v="2"/>
    <x v="0"/>
  </r>
  <r>
    <s v="68-296-5978"/>
    <n v="36"/>
    <x v="1"/>
    <x v="1"/>
    <x v="0"/>
    <x v="11"/>
    <x v="768"/>
    <x v="8"/>
    <x v="1"/>
    <x v="0"/>
  </r>
  <r>
    <s v="03-874-9055"/>
    <n v="29"/>
    <x v="0"/>
    <x v="0"/>
    <x v="4"/>
    <x v="7"/>
    <x v="769"/>
    <x v="6"/>
    <x v="2"/>
    <x v="1"/>
  </r>
  <r>
    <s v="28-123-8406"/>
    <n v="33"/>
    <x v="1"/>
    <x v="1"/>
    <x v="1"/>
    <x v="21"/>
    <x v="770"/>
    <x v="2"/>
    <x v="2"/>
    <x v="0"/>
  </r>
  <r>
    <s v="01-089-2223"/>
    <n v="35"/>
    <x v="1"/>
    <x v="1"/>
    <x v="2"/>
    <x v="1"/>
    <x v="771"/>
    <x v="4"/>
    <x v="3"/>
    <x v="1"/>
  </r>
  <r>
    <s v="23-758-1012"/>
    <n v="39"/>
    <x v="0"/>
    <x v="0"/>
    <x v="5"/>
    <x v="5"/>
    <x v="772"/>
    <x v="11"/>
    <x v="0"/>
    <x v="0"/>
  </r>
  <r>
    <s v="34-788-8387"/>
    <n v="38"/>
    <x v="0"/>
    <x v="0"/>
    <x v="2"/>
    <x v="19"/>
    <x v="773"/>
    <x v="10"/>
    <x v="1"/>
    <x v="0"/>
  </r>
  <r>
    <s v="53-865-9342"/>
    <n v="27"/>
    <x v="0"/>
    <x v="1"/>
    <x v="1"/>
    <x v="5"/>
    <x v="774"/>
    <x v="6"/>
    <x v="2"/>
    <x v="0"/>
  </r>
  <r>
    <s v="79-052-8470"/>
    <n v="35"/>
    <x v="1"/>
    <x v="0"/>
    <x v="2"/>
    <x v="17"/>
    <x v="775"/>
    <x v="2"/>
    <x v="3"/>
    <x v="1"/>
  </r>
  <r>
    <s v="86-359-7320"/>
    <n v="43"/>
    <x v="0"/>
    <x v="0"/>
    <x v="4"/>
    <x v="16"/>
    <x v="776"/>
    <x v="8"/>
    <x v="2"/>
    <x v="1"/>
  </r>
  <r>
    <s v="27-111-2242"/>
    <n v="40"/>
    <x v="0"/>
    <x v="1"/>
    <x v="4"/>
    <x v="13"/>
    <x v="777"/>
    <x v="1"/>
    <x v="1"/>
    <x v="0"/>
  </r>
  <r>
    <s v="84-538-0238"/>
    <n v="19"/>
    <x v="1"/>
    <x v="0"/>
    <x v="4"/>
    <x v="2"/>
    <x v="778"/>
    <x v="6"/>
    <x v="1"/>
    <x v="0"/>
  </r>
  <r>
    <s v="04-660-2742"/>
    <n v="46"/>
    <x v="0"/>
    <x v="1"/>
    <x v="4"/>
    <x v="9"/>
    <x v="779"/>
    <x v="3"/>
    <x v="0"/>
    <x v="1"/>
  </r>
  <r>
    <s v="96-496-9833"/>
    <n v="30"/>
    <x v="0"/>
    <x v="1"/>
    <x v="1"/>
    <x v="12"/>
    <x v="780"/>
    <x v="4"/>
    <x v="3"/>
    <x v="0"/>
  </r>
  <r>
    <s v="27-672-6081"/>
    <n v="35"/>
    <x v="1"/>
    <x v="1"/>
    <x v="5"/>
    <x v="19"/>
    <x v="781"/>
    <x v="0"/>
    <x v="1"/>
    <x v="1"/>
  </r>
  <r>
    <s v="66-033-0540"/>
    <n v="34"/>
    <x v="1"/>
    <x v="1"/>
    <x v="4"/>
    <x v="3"/>
    <x v="782"/>
    <x v="2"/>
    <x v="0"/>
    <x v="1"/>
  </r>
  <r>
    <s v="99-643-9845"/>
    <n v="28"/>
    <x v="0"/>
    <x v="0"/>
    <x v="5"/>
    <x v="19"/>
    <x v="783"/>
    <x v="3"/>
    <x v="3"/>
    <x v="1"/>
  </r>
  <r>
    <s v="27-571-9402"/>
    <n v="44"/>
    <x v="0"/>
    <x v="0"/>
    <x v="1"/>
    <x v="3"/>
    <x v="784"/>
    <x v="8"/>
    <x v="3"/>
    <x v="0"/>
  </r>
  <r>
    <s v="10-430-5821"/>
    <n v="25"/>
    <x v="1"/>
    <x v="1"/>
    <x v="4"/>
    <x v="14"/>
    <x v="785"/>
    <x v="11"/>
    <x v="0"/>
    <x v="0"/>
  </r>
  <r>
    <s v="36-835-7445"/>
    <n v="45"/>
    <x v="1"/>
    <x v="0"/>
    <x v="0"/>
    <x v="7"/>
    <x v="786"/>
    <x v="9"/>
    <x v="0"/>
    <x v="1"/>
  </r>
  <r>
    <s v="41-602-4042"/>
    <n v="47"/>
    <x v="0"/>
    <x v="1"/>
    <x v="5"/>
    <x v="21"/>
    <x v="787"/>
    <x v="10"/>
    <x v="1"/>
    <x v="0"/>
  </r>
  <r>
    <s v="63-743-6962"/>
    <n v="39"/>
    <x v="1"/>
    <x v="0"/>
    <x v="5"/>
    <x v="22"/>
    <x v="788"/>
    <x v="7"/>
    <x v="2"/>
    <x v="0"/>
  </r>
  <r>
    <s v="66-772-9922"/>
    <n v="32"/>
    <x v="1"/>
    <x v="1"/>
    <x v="5"/>
    <x v="23"/>
    <x v="789"/>
    <x v="0"/>
    <x v="0"/>
    <x v="0"/>
  </r>
  <r>
    <s v="23-246-5927"/>
    <n v="47"/>
    <x v="1"/>
    <x v="0"/>
    <x v="0"/>
    <x v="5"/>
    <x v="790"/>
    <x v="6"/>
    <x v="2"/>
    <x v="0"/>
  </r>
  <r>
    <s v="74-022-7557"/>
    <n v="19"/>
    <x v="1"/>
    <x v="1"/>
    <x v="1"/>
    <x v="13"/>
    <x v="791"/>
    <x v="7"/>
    <x v="2"/>
    <x v="0"/>
  </r>
  <r>
    <s v="78-214-5658"/>
    <n v="48"/>
    <x v="0"/>
    <x v="0"/>
    <x v="3"/>
    <x v="17"/>
    <x v="792"/>
    <x v="5"/>
    <x v="0"/>
    <x v="1"/>
  </r>
  <r>
    <s v="25-286-8786"/>
    <n v="27"/>
    <x v="1"/>
    <x v="1"/>
    <x v="1"/>
    <x v="3"/>
    <x v="793"/>
    <x v="7"/>
    <x v="1"/>
    <x v="0"/>
  </r>
  <r>
    <s v="55-955-9889"/>
    <n v="31"/>
    <x v="0"/>
    <x v="1"/>
    <x v="5"/>
    <x v="10"/>
    <x v="794"/>
    <x v="0"/>
    <x v="3"/>
    <x v="0"/>
  </r>
  <r>
    <s v="34-237-3943"/>
    <n v="44"/>
    <x v="1"/>
    <x v="0"/>
    <x v="1"/>
    <x v="8"/>
    <x v="795"/>
    <x v="4"/>
    <x v="1"/>
    <x v="1"/>
  </r>
  <r>
    <s v="19-386-9088"/>
    <n v="24"/>
    <x v="0"/>
    <x v="1"/>
    <x v="2"/>
    <x v="8"/>
    <x v="796"/>
    <x v="10"/>
    <x v="0"/>
    <x v="0"/>
  </r>
  <r>
    <s v="16-583-2801"/>
    <n v="32"/>
    <x v="0"/>
    <x v="0"/>
    <x v="1"/>
    <x v="0"/>
    <x v="797"/>
    <x v="8"/>
    <x v="0"/>
    <x v="0"/>
  </r>
  <r>
    <s v="83-752-5439"/>
    <n v="28"/>
    <x v="0"/>
    <x v="0"/>
    <x v="5"/>
    <x v="0"/>
    <x v="798"/>
    <x v="6"/>
    <x v="1"/>
    <x v="1"/>
  </r>
  <r>
    <s v="25-485-2023"/>
    <n v="26"/>
    <x v="1"/>
    <x v="0"/>
    <x v="3"/>
    <x v="23"/>
    <x v="799"/>
    <x v="7"/>
    <x v="1"/>
    <x v="1"/>
  </r>
  <r>
    <s v="90-822-7664"/>
    <n v="38"/>
    <x v="0"/>
    <x v="0"/>
    <x v="4"/>
    <x v="9"/>
    <x v="800"/>
    <x v="11"/>
    <x v="0"/>
    <x v="0"/>
  </r>
  <r>
    <s v="22-039-6819"/>
    <n v="28"/>
    <x v="0"/>
    <x v="0"/>
    <x v="5"/>
    <x v="6"/>
    <x v="801"/>
    <x v="6"/>
    <x v="0"/>
    <x v="0"/>
  </r>
  <r>
    <s v="50-395-1941"/>
    <n v="30"/>
    <x v="1"/>
    <x v="1"/>
    <x v="2"/>
    <x v="14"/>
    <x v="802"/>
    <x v="3"/>
    <x v="0"/>
    <x v="1"/>
  </r>
  <r>
    <s v="99-771-9310"/>
    <n v="37"/>
    <x v="0"/>
    <x v="1"/>
    <x v="2"/>
    <x v="1"/>
    <x v="803"/>
    <x v="10"/>
    <x v="2"/>
    <x v="0"/>
  </r>
  <r>
    <s v="18-518-0140"/>
    <n v="47"/>
    <x v="0"/>
    <x v="1"/>
    <x v="5"/>
    <x v="15"/>
    <x v="804"/>
    <x v="4"/>
    <x v="0"/>
    <x v="1"/>
  </r>
  <r>
    <s v="57-000-8646"/>
    <n v="41"/>
    <x v="0"/>
    <x v="1"/>
    <x v="1"/>
    <x v="23"/>
    <x v="805"/>
    <x v="3"/>
    <x v="3"/>
    <x v="0"/>
  </r>
  <r>
    <s v="81-926-9297"/>
    <n v="22"/>
    <x v="0"/>
    <x v="0"/>
    <x v="4"/>
    <x v="12"/>
    <x v="806"/>
    <x v="1"/>
    <x v="0"/>
    <x v="1"/>
  </r>
  <r>
    <s v="53-070-2625"/>
    <n v="46"/>
    <x v="1"/>
    <x v="1"/>
    <x v="3"/>
    <x v="7"/>
    <x v="807"/>
    <x v="10"/>
    <x v="2"/>
    <x v="0"/>
  </r>
  <r>
    <s v="63-217-7638"/>
    <n v="34"/>
    <x v="0"/>
    <x v="0"/>
    <x v="2"/>
    <x v="17"/>
    <x v="808"/>
    <x v="11"/>
    <x v="0"/>
    <x v="0"/>
  </r>
  <r>
    <s v="64-120-6212"/>
    <n v="31"/>
    <x v="1"/>
    <x v="0"/>
    <x v="2"/>
    <x v="5"/>
    <x v="809"/>
    <x v="0"/>
    <x v="2"/>
    <x v="0"/>
  </r>
  <r>
    <s v="01-404-3425"/>
    <n v="38"/>
    <x v="1"/>
    <x v="1"/>
    <x v="5"/>
    <x v="3"/>
    <x v="810"/>
    <x v="1"/>
    <x v="1"/>
    <x v="0"/>
  </r>
  <r>
    <s v="68-971-6148"/>
    <n v="45"/>
    <x v="1"/>
    <x v="1"/>
    <x v="2"/>
    <x v="23"/>
    <x v="811"/>
    <x v="2"/>
    <x v="2"/>
    <x v="0"/>
  </r>
  <r>
    <s v="22-053-4627"/>
    <n v="30"/>
    <x v="0"/>
    <x v="1"/>
    <x v="4"/>
    <x v="1"/>
    <x v="812"/>
    <x v="1"/>
    <x v="1"/>
    <x v="1"/>
  </r>
  <r>
    <s v="09-258-0424"/>
    <n v="45"/>
    <x v="0"/>
    <x v="0"/>
    <x v="0"/>
    <x v="3"/>
    <x v="813"/>
    <x v="9"/>
    <x v="2"/>
    <x v="1"/>
  </r>
  <r>
    <s v="56-782-9001"/>
    <n v="18"/>
    <x v="1"/>
    <x v="1"/>
    <x v="1"/>
    <x v="7"/>
    <x v="814"/>
    <x v="4"/>
    <x v="2"/>
    <x v="1"/>
  </r>
  <r>
    <s v="05-506-7216"/>
    <n v="36"/>
    <x v="1"/>
    <x v="1"/>
    <x v="0"/>
    <x v="9"/>
    <x v="815"/>
    <x v="0"/>
    <x v="2"/>
    <x v="1"/>
  </r>
  <r>
    <s v="47-356-9730"/>
    <n v="25"/>
    <x v="0"/>
    <x v="1"/>
    <x v="3"/>
    <x v="5"/>
    <x v="816"/>
    <x v="7"/>
    <x v="2"/>
    <x v="0"/>
  </r>
  <r>
    <s v="42-898-6421"/>
    <n v="21"/>
    <x v="0"/>
    <x v="1"/>
    <x v="3"/>
    <x v="8"/>
    <x v="817"/>
    <x v="7"/>
    <x v="2"/>
    <x v="1"/>
  </r>
  <r>
    <s v="17-364-8685"/>
    <n v="26"/>
    <x v="1"/>
    <x v="1"/>
    <x v="4"/>
    <x v="19"/>
    <x v="818"/>
    <x v="1"/>
    <x v="0"/>
    <x v="0"/>
  </r>
  <r>
    <s v="13-618-9438"/>
    <n v="40"/>
    <x v="1"/>
    <x v="1"/>
    <x v="3"/>
    <x v="3"/>
    <x v="819"/>
    <x v="7"/>
    <x v="0"/>
    <x v="1"/>
  </r>
  <r>
    <s v="32-457-2982"/>
    <n v="47"/>
    <x v="0"/>
    <x v="1"/>
    <x v="1"/>
    <x v="9"/>
    <x v="820"/>
    <x v="1"/>
    <x v="2"/>
    <x v="0"/>
  </r>
  <r>
    <s v="43-386-2489"/>
    <n v="27"/>
    <x v="0"/>
    <x v="1"/>
    <x v="5"/>
    <x v="1"/>
    <x v="821"/>
    <x v="3"/>
    <x v="0"/>
    <x v="0"/>
  </r>
  <r>
    <s v="67-438-2378"/>
    <n v="29"/>
    <x v="0"/>
    <x v="0"/>
    <x v="3"/>
    <x v="23"/>
    <x v="822"/>
    <x v="9"/>
    <x v="3"/>
    <x v="1"/>
  </r>
  <r>
    <s v="65-431-1264"/>
    <n v="21"/>
    <x v="1"/>
    <x v="0"/>
    <x v="4"/>
    <x v="5"/>
    <x v="823"/>
    <x v="1"/>
    <x v="0"/>
    <x v="0"/>
  </r>
  <r>
    <s v="73-367-8478"/>
    <n v="41"/>
    <x v="0"/>
    <x v="1"/>
    <x v="3"/>
    <x v="12"/>
    <x v="824"/>
    <x v="0"/>
    <x v="2"/>
    <x v="0"/>
  </r>
  <r>
    <s v="84-162-8799"/>
    <n v="43"/>
    <x v="1"/>
    <x v="0"/>
    <x v="2"/>
    <x v="23"/>
    <x v="825"/>
    <x v="6"/>
    <x v="3"/>
    <x v="1"/>
  </r>
  <r>
    <s v="51-546-9992"/>
    <n v="33"/>
    <x v="1"/>
    <x v="1"/>
    <x v="3"/>
    <x v="11"/>
    <x v="826"/>
    <x v="2"/>
    <x v="2"/>
    <x v="1"/>
  </r>
  <r>
    <s v="89-189-3295"/>
    <n v="23"/>
    <x v="0"/>
    <x v="0"/>
    <x v="1"/>
    <x v="2"/>
    <x v="827"/>
    <x v="6"/>
    <x v="0"/>
    <x v="0"/>
  </r>
  <r>
    <s v="45-776-7217"/>
    <n v="37"/>
    <x v="0"/>
    <x v="0"/>
    <x v="3"/>
    <x v="15"/>
    <x v="828"/>
    <x v="4"/>
    <x v="2"/>
    <x v="0"/>
  </r>
  <r>
    <s v="71-354-5174"/>
    <n v="34"/>
    <x v="0"/>
    <x v="1"/>
    <x v="3"/>
    <x v="14"/>
    <x v="829"/>
    <x v="2"/>
    <x v="1"/>
    <x v="0"/>
  </r>
  <r>
    <s v="05-975-6985"/>
    <n v="27"/>
    <x v="1"/>
    <x v="1"/>
    <x v="5"/>
    <x v="11"/>
    <x v="830"/>
    <x v="9"/>
    <x v="1"/>
    <x v="0"/>
  </r>
  <r>
    <s v="42-859-2475"/>
    <n v="40"/>
    <x v="1"/>
    <x v="0"/>
    <x v="5"/>
    <x v="6"/>
    <x v="831"/>
    <x v="10"/>
    <x v="2"/>
    <x v="0"/>
  </r>
  <r>
    <s v="34-094-1923"/>
    <n v="40"/>
    <x v="0"/>
    <x v="0"/>
    <x v="3"/>
    <x v="6"/>
    <x v="832"/>
    <x v="0"/>
    <x v="0"/>
    <x v="1"/>
  </r>
  <r>
    <s v="57-797-8139"/>
    <n v="43"/>
    <x v="1"/>
    <x v="1"/>
    <x v="5"/>
    <x v="16"/>
    <x v="833"/>
    <x v="10"/>
    <x v="2"/>
    <x v="0"/>
  </r>
  <r>
    <s v="21-048-8669"/>
    <n v="37"/>
    <x v="0"/>
    <x v="0"/>
    <x v="2"/>
    <x v="1"/>
    <x v="834"/>
    <x v="4"/>
    <x v="2"/>
    <x v="1"/>
  </r>
  <r>
    <s v="30-038-8752"/>
    <n v="49"/>
    <x v="1"/>
    <x v="1"/>
    <x v="1"/>
    <x v="2"/>
    <x v="478"/>
    <x v="10"/>
    <x v="0"/>
    <x v="1"/>
  </r>
  <r>
    <s v="06-237-7338"/>
    <n v="27"/>
    <x v="0"/>
    <x v="0"/>
    <x v="3"/>
    <x v="16"/>
    <x v="835"/>
    <x v="4"/>
    <x v="0"/>
    <x v="0"/>
  </r>
  <r>
    <s v="71-817-5422"/>
    <n v="19"/>
    <x v="0"/>
    <x v="1"/>
    <x v="5"/>
    <x v="23"/>
    <x v="836"/>
    <x v="10"/>
    <x v="0"/>
    <x v="0"/>
  </r>
  <r>
    <s v="68-512-0568"/>
    <n v="40"/>
    <x v="0"/>
    <x v="1"/>
    <x v="1"/>
    <x v="5"/>
    <x v="837"/>
    <x v="6"/>
    <x v="1"/>
    <x v="0"/>
  </r>
  <r>
    <s v="18-633-9387"/>
    <n v="27"/>
    <x v="1"/>
    <x v="0"/>
    <x v="3"/>
    <x v="9"/>
    <x v="838"/>
    <x v="3"/>
    <x v="2"/>
    <x v="0"/>
  </r>
  <r>
    <s v="08-977-4418"/>
    <n v="29"/>
    <x v="0"/>
    <x v="0"/>
    <x v="4"/>
    <x v="13"/>
    <x v="839"/>
    <x v="11"/>
    <x v="0"/>
    <x v="1"/>
  </r>
  <r>
    <s v="97-738-8095"/>
    <n v="45"/>
    <x v="1"/>
    <x v="1"/>
    <x v="1"/>
    <x v="18"/>
    <x v="840"/>
    <x v="4"/>
    <x v="3"/>
    <x v="0"/>
  </r>
  <r>
    <s v="15-421-1255"/>
    <n v="24"/>
    <x v="0"/>
    <x v="1"/>
    <x v="4"/>
    <x v="5"/>
    <x v="841"/>
    <x v="1"/>
    <x v="0"/>
    <x v="0"/>
  </r>
  <r>
    <s v="92-142-4328"/>
    <n v="45"/>
    <x v="0"/>
    <x v="0"/>
    <x v="2"/>
    <x v="10"/>
    <x v="842"/>
    <x v="8"/>
    <x v="3"/>
    <x v="0"/>
  </r>
  <r>
    <s v="06-357-6548"/>
    <n v="39"/>
    <x v="0"/>
    <x v="0"/>
    <x v="4"/>
    <x v="19"/>
    <x v="843"/>
    <x v="4"/>
    <x v="0"/>
    <x v="1"/>
  </r>
  <r>
    <s v="59-261-4453"/>
    <n v="40"/>
    <x v="1"/>
    <x v="1"/>
    <x v="4"/>
    <x v="4"/>
    <x v="844"/>
    <x v="11"/>
    <x v="1"/>
    <x v="0"/>
  </r>
  <r>
    <s v="35-644-3184"/>
    <n v="21"/>
    <x v="0"/>
    <x v="1"/>
    <x v="3"/>
    <x v="7"/>
    <x v="845"/>
    <x v="6"/>
    <x v="0"/>
    <x v="0"/>
  </r>
  <r>
    <s v="30-528-9105"/>
    <n v="42"/>
    <x v="0"/>
    <x v="0"/>
    <x v="3"/>
    <x v="0"/>
    <x v="846"/>
    <x v="0"/>
    <x v="0"/>
    <x v="1"/>
  </r>
  <r>
    <s v="14-709-8547"/>
    <n v="44"/>
    <x v="0"/>
    <x v="0"/>
    <x v="5"/>
    <x v="4"/>
    <x v="847"/>
    <x v="7"/>
    <x v="0"/>
    <x v="1"/>
  </r>
  <r>
    <s v="80-508-9866"/>
    <n v="46"/>
    <x v="0"/>
    <x v="0"/>
    <x v="4"/>
    <x v="11"/>
    <x v="848"/>
    <x v="9"/>
    <x v="0"/>
    <x v="0"/>
  </r>
  <r>
    <s v="27-100-0661"/>
    <n v="29"/>
    <x v="1"/>
    <x v="1"/>
    <x v="5"/>
    <x v="9"/>
    <x v="849"/>
    <x v="8"/>
    <x v="3"/>
    <x v="1"/>
  </r>
  <r>
    <s v="68-488-7343"/>
    <n v="19"/>
    <x v="0"/>
    <x v="0"/>
    <x v="1"/>
    <x v="15"/>
    <x v="850"/>
    <x v="4"/>
    <x v="0"/>
    <x v="0"/>
  </r>
  <r>
    <s v="63-304-1852"/>
    <n v="21"/>
    <x v="1"/>
    <x v="1"/>
    <x v="0"/>
    <x v="6"/>
    <x v="851"/>
    <x v="11"/>
    <x v="1"/>
    <x v="0"/>
  </r>
  <r>
    <s v="53-843-5619"/>
    <n v="38"/>
    <x v="0"/>
    <x v="1"/>
    <x v="1"/>
    <x v="0"/>
    <x v="852"/>
    <x v="10"/>
    <x v="2"/>
    <x v="1"/>
  </r>
  <r>
    <s v="44-786-7696"/>
    <n v="41"/>
    <x v="0"/>
    <x v="0"/>
    <x v="1"/>
    <x v="0"/>
    <x v="853"/>
    <x v="0"/>
    <x v="0"/>
    <x v="0"/>
  </r>
  <r>
    <s v="45-631-4619"/>
    <n v="49"/>
    <x v="0"/>
    <x v="1"/>
    <x v="2"/>
    <x v="2"/>
    <x v="854"/>
    <x v="4"/>
    <x v="3"/>
    <x v="1"/>
  </r>
  <r>
    <s v="11-850-1953"/>
    <n v="32"/>
    <x v="0"/>
    <x v="0"/>
    <x v="1"/>
    <x v="12"/>
    <x v="855"/>
    <x v="9"/>
    <x v="2"/>
    <x v="0"/>
  </r>
  <r>
    <s v="20-421-2544"/>
    <n v="24"/>
    <x v="1"/>
    <x v="1"/>
    <x v="1"/>
    <x v="5"/>
    <x v="856"/>
    <x v="1"/>
    <x v="2"/>
    <x v="1"/>
  </r>
  <r>
    <s v="37-100-8709"/>
    <n v="27"/>
    <x v="1"/>
    <x v="1"/>
    <x v="1"/>
    <x v="2"/>
    <x v="857"/>
    <x v="6"/>
    <x v="3"/>
    <x v="0"/>
  </r>
  <r>
    <s v="78-361-5100"/>
    <n v="44"/>
    <x v="0"/>
    <x v="0"/>
    <x v="1"/>
    <x v="2"/>
    <x v="858"/>
    <x v="1"/>
    <x v="2"/>
    <x v="0"/>
  </r>
  <r>
    <s v="67-676-5945"/>
    <n v="28"/>
    <x v="0"/>
    <x v="1"/>
    <x v="4"/>
    <x v="15"/>
    <x v="859"/>
    <x v="6"/>
    <x v="1"/>
    <x v="1"/>
  </r>
  <r>
    <s v="67-639-5838"/>
    <n v="23"/>
    <x v="1"/>
    <x v="0"/>
    <x v="0"/>
    <x v="12"/>
    <x v="860"/>
    <x v="8"/>
    <x v="2"/>
    <x v="1"/>
  </r>
  <r>
    <s v="51-415-1931"/>
    <n v="42"/>
    <x v="0"/>
    <x v="1"/>
    <x v="4"/>
    <x v="13"/>
    <x v="861"/>
    <x v="6"/>
    <x v="0"/>
    <x v="0"/>
  </r>
  <r>
    <s v="96-764-3843"/>
    <n v="20"/>
    <x v="1"/>
    <x v="0"/>
    <x v="0"/>
    <x v="2"/>
    <x v="862"/>
    <x v="2"/>
    <x v="0"/>
    <x v="0"/>
  </r>
  <r>
    <s v="16-730-2056"/>
    <n v="49"/>
    <x v="1"/>
    <x v="1"/>
    <x v="3"/>
    <x v="22"/>
    <x v="863"/>
    <x v="8"/>
    <x v="1"/>
    <x v="0"/>
  </r>
  <r>
    <s v="22-157-2494"/>
    <n v="19"/>
    <x v="1"/>
    <x v="1"/>
    <x v="5"/>
    <x v="16"/>
    <x v="864"/>
    <x v="7"/>
    <x v="0"/>
    <x v="0"/>
  </r>
  <r>
    <s v="29-341-6463"/>
    <n v="38"/>
    <x v="0"/>
    <x v="0"/>
    <x v="3"/>
    <x v="22"/>
    <x v="865"/>
    <x v="10"/>
    <x v="0"/>
    <x v="0"/>
  </r>
  <r>
    <s v="64-906-4475"/>
    <n v="43"/>
    <x v="1"/>
    <x v="1"/>
    <x v="5"/>
    <x v="22"/>
    <x v="866"/>
    <x v="8"/>
    <x v="0"/>
    <x v="1"/>
  </r>
  <r>
    <s v="36-340-8494"/>
    <n v="38"/>
    <x v="1"/>
    <x v="0"/>
    <x v="1"/>
    <x v="17"/>
    <x v="867"/>
    <x v="7"/>
    <x v="1"/>
    <x v="1"/>
  </r>
  <r>
    <s v="77-031-4898"/>
    <n v="21"/>
    <x v="1"/>
    <x v="0"/>
    <x v="1"/>
    <x v="14"/>
    <x v="868"/>
    <x v="10"/>
    <x v="2"/>
    <x v="0"/>
  </r>
  <r>
    <s v="86-097-9642"/>
    <n v="27"/>
    <x v="1"/>
    <x v="0"/>
    <x v="4"/>
    <x v="23"/>
    <x v="869"/>
    <x v="9"/>
    <x v="0"/>
    <x v="0"/>
  </r>
  <r>
    <s v="64-090-3433"/>
    <n v="35"/>
    <x v="1"/>
    <x v="0"/>
    <x v="3"/>
    <x v="6"/>
    <x v="870"/>
    <x v="4"/>
    <x v="3"/>
    <x v="1"/>
  </r>
  <r>
    <s v="96-140-1936"/>
    <n v="30"/>
    <x v="1"/>
    <x v="0"/>
    <x v="0"/>
    <x v="8"/>
    <x v="871"/>
    <x v="0"/>
    <x v="3"/>
    <x v="1"/>
  </r>
  <r>
    <s v="38-830-6976"/>
    <n v="31"/>
    <x v="1"/>
    <x v="1"/>
    <x v="2"/>
    <x v="15"/>
    <x v="872"/>
    <x v="10"/>
    <x v="1"/>
    <x v="0"/>
  </r>
  <r>
    <s v="82-864-1154"/>
    <n v="50"/>
    <x v="0"/>
    <x v="1"/>
    <x v="5"/>
    <x v="10"/>
    <x v="873"/>
    <x v="0"/>
    <x v="1"/>
    <x v="0"/>
  </r>
  <r>
    <s v="79-711-6779"/>
    <n v="34"/>
    <x v="0"/>
    <x v="1"/>
    <x v="3"/>
    <x v="0"/>
    <x v="874"/>
    <x v="6"/>
    <x v="3"/>
    <x v="1"/>
  </r>
  <r>
    <s v="22-860-9860"/>
    <n v="24"/>
    <x v="0"/>
    <x v="1"/>
    <x v="5"/>
    <x v="3"/>
    <x v="875"/>
    <x v="4"/>
    <x v="1"/>
    <x v="0"/>
  </r>
  <r>
    <s v="72-590-6161"/>
    <n v="32"/>
    <x v="0"/>
    <x v="0"/>
    <x v="1"/>
    <x v="0"/>
    <x v="876"/>
    <x v="0"/>
    <x v="2"/>
    <x v="0"/>
  </r>
  <r>
    <s v="76-213-5806"/>
    <n v="21"/>
    <x v="0"/>
    <x v="1"/>
    <x v="2"/>
    <x v="13"/>
    <x v="877"/>
    <x v="0"/>
    <x v="0"/>
    <x v="1"/>
  </r>
  <r>
    <s v="66-894-5431"/>
    <n v="41"/>
    <x v="1"/>
    <x v="0"/>
    <x v="3"/>
    <x v="7"/>
    <x v="878"/>
    <x v="11"/>
    <x v="1"/>
    <x v="1"/>
  </r>
  <r>
    <s v="20-939-3906"/>
    <n v="40"/>
    <x v="0"/>
    <x v="1"/>
    <x v="3"/>
    <x v="13"/>
    <x v="879"/>
    <x v="0"/>
    <x v="1"/>
    <x v="0"/>
  </r>
  <r>
    <s v="86-390-9555"/>
    <n v="48"/>
    <x v="1"/>
    <x v="0"/>
    <x v="0"/>
    <x v="19"/>
    <x v="880"/>
    <x v="7"/>
    <x v="1"/>
    <x v="0"/>
  </r>
  <r>
    <s v="91-602-0761"/>
    <n v="25"/>
    <x v="0"/>
    <x v="0"/>
    <x v="2"/>
    <x v="9"/>
    <x v="881"/>
    <x v="0"/>
    <x v="3"/>
    <x v="0"/>
  </r>
  <r>
    <s v="62-974-7965"/>
    <n v="30"/>
    <x v="0"/>
    <x v="1"/>
    <x v="4"/>
    <x v="22"/>
    <x v="882"/>
    <x v="2"/>
    <x v="1"/>
    <x v="1"/>
  </r>
  <r>
    <s v="21-232-1397"/>
    <n v="25"/>
    <x v="1"/>
    <x v="0"/>
    <x v="5"/>
    <x v="6"/>
    <x v="883"/>
    <x v="10"/>
    <x v="0"/>
    <x v="1"/>
  </r>
  <r>
    <s v="31-364-4144"/>
    <n v="40"/>
    <x v="0"/>
    <x v="1"/>
    <x v="2"/>
    <x v="9"/>
    <x v="884"/>
    <x v="4"/>
    <x v="0"/>
    <x v="1"/>
  </r>
  <r>
    <s v="99-945-7193"/>
    <n v="24"/>
    <x v="0"/>
    <x v="0"/>
    <x v="4"/>
    <x v="11"/>
    <x v="885"/>
    <x v="11"/>
    <x v="1"/>
    <x v="1"/>
  </r>
  <r>
    <s v="91-053-3261"/>
    <n v="49"/>
    <x v="1"/>
    <x v="0"/>
    <x v="5"/>
    <x v="6"/>
    <x v="886"/>
    <x v="11"/>
    <x v="3"/>
    <x v="0"/>
  </r>
  <r>
    <s v="50-447-5171"/>
    <n v="50"/>
    <x v="0"/>
    <x v="1"/>
    <x v="4"/>
    <x v="2"/>
    <x v="887"/>
    <x v="8"/>
    <x v="3"/>
    <x v="0"/>
  </r>
  <r>
    <s v="89-754-7244"/>
    <n v="45"/>
    <x v="1"/>
    <x v="1"/>
    <x v="0"/>
    <x v="7"/>
    <x v="888"/>
    <x v="9"/>
    <x v="3"/>
    <x v="0"/>
  </r>
  <r>
    <s v="56-072-7011"/>
    <n v="19"/>
    <x v="1"/>
    <x v="1"/>
    <x v="0"/>
    <x v="7"/>
    <x v="889"/>
    <x v="1"/>
    <x v="3"/>
    <x v="1"/>
  </r>
  <r>
    <s v="74-281-3421"/>
    <n v="50"/>
    <x v="0"/>
    <x v="0"/>
    <x v="2"/>
    <x v="1"/>
    <x v="890"/>
    <x v="10"/>
    <x v="3"/>
    <x v="0"/>
  </r>
  <r>
    <s v="86-068-2133"/>
    <n v="32"/>
    <x v="1"/>
    <x v="1"/>
    <x v="0"/>
    <x v="0"/>
    <x v="891"/>
    <x v="9"/>
    <x v="2"/>
    <x v="0"/>
  </r>
  <r>
    <s v="03-102-0288"/>
    <n v="21"/>
    <x v="1"/>
    <x v="0"/>
    <x v="2"/>
    <x v="4"/>
    <x v="892"/>
    <x v="6"/>
    <x v="2"/>
    <x v="1"/>
  </r>
  <r>
    <s v="74-033-1145"/>
    <n v="27"/>
    <x v="1"/>
    <x v="1"/>
    <x v="0"/>
    <x v="23"/>
    <x v="893"/>
    <x v="1"/>
    <x v="3"/>
    <x v="0"/>
  </r>
  <r>
    <s v="24-272-6205"/>
    <n v="39"/>
    <x v="0"/>
    <x v="1"/>
    <x v="2"/>
    <x v="12"/>
    <x v="894"/>
    <x v="11"/>
    <x v="3"/>
    <x v="0"/>
  </r>
  <r>
    <s v="90-170-1951"/>
    <n v="34"/>
    <x v="1"/>
    <x v="0"/>
    <x v="5"/>
    <x v="13"/>
    <x v="895"/>
    <x v="6"/>
    <x v="0"/>
    <x v="0"/>
  </r>
  <r>
    <s v="73-259-8940"/>
    <n v="34"/>
    <x v="0"/>
    <x v="0"/>
    <x v="1"/>
    <x v="11"/>
    <x v="896"/>
    <x v="0"/>
    <x v="3"/>
    <x v="0"/>
  </r>
  <r>
    <s v="77-796-5786"/>
    <n v="42"/>
    <x v="1"/>
    <x v="0"/>
    <x v="1"/>
    <x v="4"/>
    <x v="897"/>
    <x v="7"/>
    <x v="2"/>
    <x v="0"/>
  </r>
  <r>
    <s v="23-949-1954"/>
    <n v="42"/>
    <x v="1"/>
    <x v="0"/>
    <x v="2"/>
    <x v="16"/>
    <x v="898"/>
    <x v="8"/>
    <x v="0"/>
    <x v="1"/>
  </r>
  <r>
    <s v="51-313-7293"/>
    <n v="31"/>
    <x v="1"/>
    <x v="1"/>
    <x v="5"/>
    <x v="23"/>
    <x v="899"/>
    <x v="3"/>
    <x v="0"/>
    <x v="1"/>
  </r>
  <r>
    <s v="62-797-9254"/>
    <n v="35"/>
    <x v="0"/>
    <x v="1"/>
    <x v="0"/>
    <x v="3"/>
    <x v="900"/>
    <x v="11"/>
    <x v="3"/>
    <x v="1"/>
  </r>
  <r>
    <s v="27-941-4995"/>
    <n v="27"/>
    <x v="0"/>
    <x v="1"/>
    <x v="5"/>
    <x v="12"/>
    <x v="901"/>
    <x v="8"/>
    <x v="0"/>
    <x v="1"/>
  </r>
  <r>
    <s v="01-799-2615"/>
    <n v="45"/>
    <x v="1"/>
    <x v="0"/>
    <x v="5"/>
    <x v="4"/>
    <x v="902"/>
    <x v="6"/>
    <x v="3"/>
    <x v="0"/>
  </r>
  <r>
    <s v="82-133-0444"/>
    <n v="43"/>
    <x v="1"/>
    <x v="1"/>
    <x v="4"/>
    <x v="19"/>
    <x v="903"/>
    <x v="0"/>
    <x v="3"/>
    <x v="1"/>
  </r>
  <r>
    <s v="43-920-9499"/>
    <n v="35"/>
    <x v="0"/>
    <x v="0"/>
    <x v="1"/>
    <x v="1"/>
    <x v="904"/>
    <x v="2"/>
    <x v="0"/>
    <x v="1"/>
  </r>
  <r>
    <s v="17-551-9779"/>
    <n v="33"/>
    <x v="0"/>
    <x v="0"/>
    <x v="1"/>
    <x v="21"/>
    <x v="905"/>
    <x v="7"/>
    <x v="2"/>
    <x v="0"/>
  </r>
  <r>
    <s v="49-037-2300"/>
    <n v="31"/>
    <x v="0"/>
    <x v="0"/>
    <x v="4"/>
    <x v="20"/>
    <x v="906"/>
    <x v="9"/>
    <x v="2"/>
    <x v="0"/>
  </r>
  <r>
    <s v="95-876-9757"/>
    <n v="31"/>
    <x v="0"/>
    <x v="1"/>
    <x v="2"/>
    <x v="18"/>
    <x v="907"/>
    <x v="6"/>
    <x v="1"/>
    <x v="0"/>
  </r>
  <r>
    <s v="47-947-4888"/>
    <n v="26"/>
    <x v="1"/>
    <x v="1"/>
    <x v="4"/>
    <x v="15"/>
    <x v="908"/>
    <x v="1"/>
    <x v="1"/>
    <x v="0"/>
  </r>
  <r>
    <s v="83-003-2165"/>
    <n v="49"/>
    <x v="1"/>
    <x v="1"/>
    <x v="1"/>
    <x v="0"/>
    <x v="909"/>
    <x v="4"/>
    <x v="3"/>
    <x v="0"/>
  </r>
  <r>
    <s v="27-619-9264"/>
    <n v="23"/>
    <x v="1"/>
    <x v="1"/>
    <x v="1"/>
    <x v="12"/>
    <x v="910"/>
    <x v="9"/>
    <x v="3"/>
    <x v="0"/>
  </r>
  <r>
    <s v="49-476-1729"/>
    <n v="42"/>
    <x v="1"/>
    <x v="1"/>
    <x v="5"/>
    <x v="22"/>
    <x v="911"/>
    <x v="9"/>
    <x v="3"/>
    <x v="1"/>
  </r>
  <r>
    <s v="64-803-7087"/>
    <n v="32"/>
    <x v="1"/>
    <x v="0"/>
    <x v="1"/>
    <x v="19"/>
    <x v="912"/>
    <x v="11"/>
    <x v="3"/>
    <x v="0"/>
  </r>
  <r>
    <s v="01-925-4021"/>
    <n v="37"/>
    <x v="0"/>
    <x v="0"/>
    <x v="2"/>
    <x v="13"/>
    <x v="913"/>
    <x v="6"/>
    <x v="3"/>
    <x v="1"/>
  </r>
  <r>
    <s v="51-116-5937"/>
    <n v="25"/>
    <x v="1"/>
    <x v="1"/>
    <x v="0"/>
    <x v="22"/>
    <x v="914"/>
    <x v="1"/>
    <x v="0"/>
    <x v="1"/>
  </r>
  <r>
    <s v="72-454-2741"/>
    <n v="49"/>
    <x v="1"/>
    <x v="0"/>
    <x v="0"/>
    <x v="12"/>
    <x v="915"/>
    <x v="0"/>
    <x v="2"/>
    <x v="1"/>
  </r>
  <r>
    <s v="96-484-1000"/>
    <n v="26"/>
    <x v="1"/>
    <x v="0"/>
    <x v="2"/>
    <x v="0"/>
    <x v="916"/>
    <x v="2"/>
    <x v="2"/>
    <x v="0"/>
  </r>
  <r>
    <s v="07-834-3350"/>
    <n v="29"/>
    <x v="0"/>
    <x v="1"/>
    <x v="1"/>
    <x v="0"/>
    <x v="917"/>
    <x v="7"/>
    <x v="1"/>
    <x v="1"/>
  </r>
  <r>
    <s v="11-802-5604"/>
    <n v="26"/>
    <x v="1"/>
    <x v="1"/>
    <x v="5"/>
    <x v="19"/>
    <x v="918"/>
    <x v="4"/>
    <x v="2"/>
    <x v="1"/>
  </r>
  <r>
    <s v="41-750-4105"/>
    <n v="23"/>
    <x v="0"/>
    <x v="1"/>
    <x v="4"/>
    <x v="5"/>
    <x v="919"/>
    <x v="4"/>
    <x v="1"/>
    <x v="1"/>
  </r>
  <r>
    <s v="31-491-8457"/>
    <n v="47"/>
    <x v="0"/>
    <x v="1"/>
    <x v="4"/>
    <x v="21"/>
    <x v="920"/>
    <x v="6"/>
    <x v="0"/>
    <x v="1"/>
  </r>
  <r>
    <s v="86-257-9581"/>
    <n v="30"/>
    <x v="1"/>
    <x v="1"/>
    <x v="4"/>
    <x v="0"/>
    <x v="921"/>
    <x v="2"/>
    <x v="3"/>
    <x v="0"/>
  </r>
  <r>
    <s v="22-981-6595"/>
    <n v="26"/>
    <x v="0"/>
    <x v="1"/>
    <x v="5"/>
    <x v="4"/>
    <x v="205"/>
    <x v="8"/>
    <x v="3"/>
    <x v="0"/>
  </r>
  <r>
    <s v="54-002-5845"/>
    <n v="35"/>
    <x v="0"/>
    <x v="1"/>
    <x v="2"/>
    <x v="13"/>
    <x v="922"/>
    <x v="2"/>
    <x v="3"/>
    <x v="0"/>
  </r>
  <r>
    <s v="31-927-7787"/>
    <n v="40"/>
    <x v="1"/>
    <x v="1"/>
    <x v="3"/>
    <x v="15"/>
    <x v="923"/>
    <x v="9"/>
    <x v="3"/>
    <x v="0"/>
  </r>
  <r>
    <s v="46-098-9737"/>
    <n v="35"/>
    <x v="1"/>
    <x v="0"/>
    <x v="4"/>
    <x v="0"/>
    <x v="924"/>
    <x v="2"/>
    <x v="3"/>
    <x v="0"/>
  </r>
  <r>
    <s v="27-017-7173"/>
    <n v="21"/>
    <x v="1"/>
    <x v="0"/>
    <x v="4"/>
    <x v="14"/>
    <x v="925"/>
    <x v="9"/>
    <x v="0"/>
    <x v="1"/>
  </r>
  <r>
    <s v="53-102-9949"/>
    <n v="41"/>
    <x v="1"/>
    <x v="0"/>
    <x v="1"/>
    <x v="6"/>
    <x v="926"/>
    <x v="3"/>
    <x v="0"/>
    <x v="0"/>
  </r>
  <r>
    <s v="02-676-9312"/>
    <n v="44"/>
    <x v="0"/>
    <x v="1"/>
    <x v="1"/>
    <x v="7"/>
    <x v="927"/>
    <x v="6"/>
    <x v="2"/>
    <x v="1"/>
  </r>
  <r>
    <s v="28-969-7540"/>
    <n v="44"/>
    <x v="0"/>
    <x v="1"/>
    <x v="0"/>
    <x v="13"/>
    <x v="928"/>
    <x v="9"/>
    <x v="2"/>
    <x v="1"/>
  </r>
  <r>
    <s v="30-083-9565"/>
    <n v="37"/>
    <x v="1"/>
    <x v="0"/>
    <x v="3"/>
    <x v="6"/>
    <x v="929"/>
    <x v="1"/>
    <x v="0"/>
    <x v="1"/>
  </r>
  <r>
    <s v="30-975-0306"/>
    <n v="40"/>
    <x v="0"/>
    <x v="1"/>
    <x v="4"/>
    <x v="9"/>
    <x v="930"/>
    <x v="3"/>
    <x v="2"/>
    <x v="0"/>
  </r>
  <r>
    <s v="14-364-4904"/>
    <n v="43"/>
    <x v="1"/>
    <x v="1"/>
    <x v="0"/>
    <x v="13"/>
    <x v="931"/>
    <x v="10"/>
    <x v="3"/>
    <x v="0"/>
  </r>
  <r>
    <s v="08-652-2085"/>
    <n v="48"/>
    <x v="1"/>
    <x v="0"/>
    <x v="5"/>
    <x v="9"/>
    <x v="627"/>
    <x v="11"/>
    <x v="2"/>
    <x v="0"/>
  </r>
  <r>
    <s v="67-037-2087"/>
    <n v="32"/>
    <x v="0"/>
    <x v="1"/>
    <x v="2"/>
    <x v="11"/>
    <x v="932"/>
    <x v="10"/>
    <x v="2"/>
    <x v="1"/>
  </r>
  <r>
    <s v="09-737-8354"/>
    <n v="37"/>
    <x v="0"/>
    <x v="0"/>
    <x v="1"/>
    <x v="9"/>
    <x v="933"/>
    <x v="0"/>
    <x v="1"/>
    <x v="0"/>
  </r>
  <r>
    <s v="12-417-5609"/>
    <n v="29"/>
    <x v="0"/>
    <x v="0"/>
    <x v="1"/>
    <x v="15"/>
    <x v="934"/>
    <x v="2"/>
    <x v="3"/>
    <x v="0"/>
  </r>
  <r>
    <s v="25-096-6830"/>
    <n v="36"/>
    <x v="1"/>
    <x v="1"/>
    <x v="0"/>
    <x v="7"/>
    <x v="935"/>
    <x v="10"/>
    <x v="0"/>
    <x v="0"/>
  </r>
  <r>
    <s v="91-558-5922"/>
    <n v="50"/>
    <x v="0"/>
    <x v="1"/>
    <x v="3"/>
    <x v="16"/>
    <x v="936"/>
    <x v="11"/>
    <x v="0"/>
    <x v="0"/>
  </r>
  <r>
    <s v="25-560-4506"/>
    <n v="31"/>
    <x v="0"/>
    <x v="1"/>
    <x v="1"/>
    <x v="18"/>
    <x v="937"/>
    <x v="2"/>
    <x v="0"/>
    <x v="1"/>
  </r>
  <r>
    <s v="33-609-0598"/>
    <n v="29"/>
    <x v="0"/>
    <x v="1"/>
    <x v="4"/>
    <x v="8"/>
    <x v="938"/>
    <x v="0"/>
    <x v="1"/>
    <x v="1"/>
  </r>
  <r>
    <s v="45-337-1798"/>
    <n v="26"/>
    <x v="1"/>
    <x v="0"/>
    <x v="5"/>
    <x v="15"/>
    <x v="939"/>
    <x v="4"/>
    <x v="2"/>
    <x v="1"/>
  </r>
  <r>
    <s v="34-265-8558"/>
    <n v="22"/>
    <x v="0"/>
    <x v="1"/>
    <x v="3"/>
    <x v="1"/>
    <x v="874"/>
    <x v="2"/>
    <x v="1"/>
    <x v="1"/>
  </r>
  <r>
    <s v="67-323-7406"/>
    <n v="35"/>
    <x v="0"/>
    <x v="1"/>
    <x v="2"/>
    <x v="13"/>
    <x v="940"/>
    <x v="6"/>
    <x v="3"/>
    <x v="1"/>
  </r>
  <r>
    <s v="40-149-8247"/>
    <n v="23"/>
    <x v="1"/>
    <x v="0"/>
    <x v="4"/>
    <x v="3"/>
    <x v="941"/>
    <x v="2"/>
    <x v="3"/>
    <x v="0"/>
  </r>
  <r>
    <s v="37-361-8691"/>
    <n v="40"/>
    <x v="0"/>
    <x v="1"/>
    <x v="1"/>
    <x v="12"/>
    <x v="942"/>
    <x v="1"/>
    <x v="2"/>
    <x v="1"/>
  </r>
  <r>
    <s v="17-763-9416"/>
    <n v="32"/>
    <x v="0"/>
    <x v="1"/>
    <x v="4"/>
    <x v="14"/>
    <x v="943"/>
    <x v="4"/>
    <x v="3"/>
    <x v="1"/>
  </r>
  <r>
    <s v="56-453-8263"/>
    <n v="29"/>
    <x v="1"/>
    <x v="0"/>
    <x v="1"/>
    <x v="7"/>
    <x v="944"/>
    <x v="9"/>
    <x v="1"/>
    <x v="0"/>
  </r>
  <r>
    <s v="19-560-0717"/>
    <n v="50"/>
    <x v="1"/>
    <x v="0"/>
    <x v="4"/>
    <x v="22"/>
    <x v="945"/>
    <x v="8"/>
    <x v="0"/>
    <x v="0"/>
  </r>
  <r>
    <s v="40-199-1803"/>
    <n v="42"/>
    <x v="1"/>
    <x v="1"/>
    <x v="4"/>
    <x v="18"/>
    <x v="946"/>
    <x v="2"/>
    <x v="1"/>
    <x v="1"/>
  </r>
  <r>
    <s v="09-332-0236"/>
    <n v="47"/>
    <x v="0"/>
    <x v="0"/>
    <x v="5"/>
    <x v="15"/>
    <x v="947"/>
    <x v="0"/>
    <x v="1"/>
    <x v="1"/>
  </r>
  <r>
    <s v="83-982-5300"/>
    <n v="27"/>
    <x v="1"/>
    <x v="0"/>
    <x v="1"/>
    <x v="2"/>
    <x v="948"/>
    <x v="8"/>
    <x v="0"/>
    <x v="1"/>
  </r>
  <r>
    <s v="46-662-1571"/>
    <n v="40"/>
    <x v="0"/>
    <x v="0"/>
    <x v="1"/>
    <x v="12"/>
    <x v="949"/>
    <x v="4"/>
    <x v="2"/>
    <x v="0"/>
  </r>
  <r>
    <s v="20-699-9217"/>
    <n v="28"/>
    <x v="0"/>
    <x v="1"/>
    <x v="0"/>
    <x v="12"/>
    <x v="950"/>
    <x v="7"/>
    <x v="3"/>
    <x v="1"/>
  </r>
  <r>
    <s v="26-150-0209"/>
    <n v="28"/>
    <x v="1"/>
    <x v="0"/>
    <x v="0"/>
    <x v="20"/>
    <x v="951"/>
    <x v="3"/>
    <x v="1"/>
    <x v="1"/>
  </r>
  <r>
    <s v="94-985-5336"/>
    <n v="29"/>
    <x v="0"/>
    <x v="1"/>
    <x v="2"/>
    <x v="20"/>
    <x v="952"/>
    <x v="9"/>
    <x v="3"/>
    <x v="0"/>
  </r>
  <r>
    <s v="97-715-3606"/>
    <n v="29"/>
    <x v="0"/>
    <x v="0"/>
    <x v="3"/>
    <x v="9"/>
    <x v="953"/>
    <x v="11"/>
    <x v="2"/>
    <x v="1"/>
  </r>
  <r>
    <s v="02-100-4320"/>
    <n v="32"/>
    <x v="0"/>
    <x v="1"/>
    <x v="2"/>
    <x v="15"/>
    <x v="954"/>
    <x v="7"/>
    <x v="3"/>
    <x v="0"/>
  </r>
  <r>
    <s v="16-070-0138"/>
    <n v="39"/>
    <x v="0"/>
    <x v="1"/>
    <x v="2"/>
    <x v="8"/>
    <x v="955"/>
    <x v="7"/>
    <x v="0"/>
    <x v="1"/>
  </r>
  <r>
    <s v="82-474-5074"/>
    <n v="22"/>
    <x v="1"/>
    <x v="0"/>
    <x v="2"/>
    <x v="22"/>
    <x v="956"/>
    <x v="11"/>
    <x v="0"/>
    <x v="1"/>
  </r>
  <r>
    <s v="36-444-5336"/>
    <n v="48"/>
    <x v="1"/>
    <x v="0"/>
    <x v="2"/>
    <x v="1"/>
    <x v="957"/>
    <x v="1"/>
    <x v="3"/>
    <x v="0"/>
  </r>
  <r>
    <s v="54-680-5344"/>
    <n v="29"/>
    <x v="1"/>
    <x v="0"/>
    <x v="2"/>
    <x v="2"/>
    <x v="958"/>
    <x v="10"/>
    <x v="0"/>
    <x v="1"/>
  </r>
  <r>
    <s v="16-364-8096"/>
    <n v="41"/>
    <x v="0"/>
    <x v="1"/>
    <x v="3"/>
    <x v="9"/>
    <x v="959"/>
    <x v="3"/>
    <x v="0"/>
    <x v="1"/>
  </r>
  <r>
    <s v="62-644-8183"/>
    <n v="50"/>
    <x v="0"/>
    <x v="0"/>
    <x v="2"/>
    <x v="16"/>
    <x v="373"/>
    <x v="6"/>
    <x v="1"/>
    <x v="0"/>
  </r>
  <r>
    <s v="59-971-0799"/>
    <n v="48"/>
    <x v="1"/>
    <x v="0"/>
    <x v="3"/>
    <x v="18"/>
    <x v="960"/>
    <x v="6"/>
    <x v="3"/>
    <x v="0"/>
  </r>
  <r>
    <s v="64-031-2046"/>
    <n v="29"/>
    <x v="0"/>
    <x v="1"/>
    <x v="2"/>
    <x v="21"/>
    <x v="961"/>
    <x v="8"/>
    <x v="3"/>
    <x v="0"/>
  </r>
  <r>
    <s v="87-079-0237"/>
    <n v="36"/>
    <x v="1"/>
    <x v="1"/>
    <x v="5"/>
    <x v="11"/>
    <x v="962"/>
    <x v="11"/>
    <x v="2"/>
    <x v="0"/>
  </r>
  <r>
    <s v="78-091-8662"/>
    <n v="43"/>
    <x v="1"/>
    <x v="1"/>
    <x v="0"/>
    <x v="0"/>
    <x v="963"/>
    <x v="9"/>
    <x v="0"/>
    <x v="0"/>
  </r>
  <r>
    <s v="62-720-2922"/>
    <n v="30"/>
    <x v="1"/>
    <x v="1"/>
    <x v="1"/>
    <x v="3"/>
    <x v="964"/>
    <x v="8"/>
    <x v="3"/>
    <x v="1"/>
  </r>
  <r>
    <s v="47-528-3961"/>
    <n v="24"/>
    <x v="1"/>
    <x v="1"/>
    <x v="3"/>
    <x v="0"/>
    <x v="965"/>
    <x v="11"/>
    <x v="2"/>
    <x v="0"/>
  </r>
  <r>
    <s v="21-808-2293"/>
    <n v="30"/>
    <x v="1"/>
    <x v="0"/>
    <x v="4"/>
    <x v="16"/>
    <x v="966"/>
    <x v="7"/>
    <x v="1"/>
    <x v="0"/>
  </r>
  <r>
    <s v="22-022-9256"/>
    <n v="37"/>
    <x v="0"/>
    <x v="0"/>
    <x v="4"/>
    <x v="23"/>
    <x v="967"/>
    <x v="2"/>
    <x v="0"/>
    <x v="1"/>
  </r>
  <r>
    <s v="96-772-7220"/>
    <n v="40"/>
    <x v="1"/>
    <x v="1"/>
    <x v="3"/>
    <x v="22"/>
    <x v="968"/>
    <x v="11"/>
    <x v="2"/>
    <x v="0"/>
  </r>
  <r>
    <s v="25-866-7286"/>
    <n v="30"/>
    <x v="0"/>
    <x v="0"/>
    <x v="4"/>
    <x v="13"/>
    <x v="969"/>
    <x v="10"/>
    <x v="1"/>
    <x v="0"/>
  </r>
  <r>
    <s v="72-694-4159"/>
    <n v="39"/>
    <x v="0"/>
    <x v="0"/>
    <x v="5"/>
    <x v="13"/>
    <x v="970"/>
    <x v="11"/>
    <x v="2"/>
    <x v="0"/>
  </r>
  <r>
    <s v="10-079-8237"/>
    <n v="46"/>
    <x v="0"/>
    <x v="1"/>
    <x v="1"/>
    <x v="7"/>
    <x v="971"/>
    <x v="4"/>
    <x v="0"/>
    <x v="1"/>
  </r>
  <r>
    <s v="47-460-8015"/>
    <n v="48"/>
    <x v="1"/>
    <x v="0"/>
    <x v="5"/>
    <x v="5"/>
    <x v="972"/>
    <x v="3"/>
    <x v="2"/>
    <x v="1"/>
  </r>
  <r>
    <s v="06-061-0023"/>
    <n v="20"/>
    <x v="0"/>
    <x v="1"/>
    <x v="4"/>
    <x v="11"/>
    <x v="973"/>
    <x v="4"/>
    <x v="3"/>
    <x v="1"/>
  </r>
  <r>
    <s v="80-487-2550"/>
    <n v="34"/>
    <x v="1"/>
    <x v="1"/>
    <x v="0"/>
    <x v="13"/>
    <x v="974"/>
    <x v="2"/>
    <x v="0"/>
    <x v="0"/>
  </r>
  <r>
    <s v="23-617-2637"/>
    <n v="50"/>
    <x v="0"/>
    <x v="0"/>
    <x v="5"/>
    <x v="14"/>
    <x v="975"/>
    <x v="2"/>
    <x v="0"/>
    <x v="1"/>
  </r>
  <r>
    <s v="60-005-5187"/>
    <n v="25"/>
    <x v="1"/>
    <x v="0"/>
    <x v="5"/>
    <x v="13"/>
    <x v="653"/>
    <x v="9"/>
    <x v="1"/>
    <x v="0"/>
  </r>
  <r>
    <s v="24-371-5870"/>
    <n v="49"/>
    <x v="1"/>
    <x v="0"/>
    <x v="3"/>
    <x v="3"/>
    <x v="976"/>
    <x v="6"/>
    <x v="2"/>
    <x v="0"/>
  </r>
  <r>
    <s v="02-055-8248"/>
    <n v="25"/>
    <x v="0"/>
    <x v="1"/>
    <x v="0"/>
    <x v="18"/>
    <x v="977"/>
    <x v="1"/>
    <x v="2"/>
    <x v="0"/>
  </r>
  <r>
    <s v="48-271-1908"/>
    <n v="40"/>
    <x v="0"/>
    <x v="1"/>
    <x v="2"/>
    <x v="15"/>
    <x v="978"/>
    <x v="1"/>
    <x v="1"/>
    <x v="1"/>
  </r>
  <r>
    <s v="54-238-5459"/>
    <n v="40"/>
    <x v="0"/>
    <x v="1"/>
    <x v="5"/>
    <x v="23"/>
    <x v="979"/>
    <x v="11"/>
    <x v="0"/>
    <x v="1"/>
  </r>
  <r>
    <s v="85-922-0190"/>
    <n v="19"/>
    <x v="0"/>
    <x v="1"/>
    <x v="5"/>
    <x v="16"/>
    <x v="980"/>
    <x v="8"/>
    <x v="2"/>
    <x v="0"/>
  </r>
  <r>
    <s v="46-978-3874"/>
    <n v="22"/>
    <x v="0"/>
    <x v="1"/>
    <x v="1"/>
    <x v="19"/>
    <x v="981"/>
    <x v="8"/>
    <x v="0"/>
    <x v="0"/>
  </r>
  <r>
    <s v="53-595-7635"/>
    <n v="25"/>
    <x v="0"/>
    <x v="1"/>
    <x v="0"/>
    <x v="8"/>
    <x v="982"/>
    <x v="6"/>
    <x v="2"/>
    <x v="1"/>
  </r>
  <r>
    <s v="08-185-6608"/>
    <n v="32"/>
    <x v="0"/>
    <x v="1"/>
    <x v="0"/>
    <x v="15"/>
    <x v="983"/>
    <x v="4"/>
    <x v="2"/>
    <x v="1"/>
  </r>
  <r>
    <s v="20-562-2569"/>
    <n v="44"/>
    <x v="0"/>
    <x v="1"/>
    <x v="3"/>
    <x v="7"/>
    <x v="984"/>
    <x v="8"/>
    <x v="3"/>
    <x v="0"/>
  </r>
  <r>
    <s v="41-366-4205"/>
    <n v="50"/>
    <x v="0"/>
    <x v="1"/>
    <x v="1"/>
    <x v="0"/>
    <x v="985"/>
    <x v="11"/>
    <x v="2"/>
    <x v="0"/>
  </r>
  <r>
    <s v="77-241-7621"/>
    <n v="26"/>
    <x v="1"/>
    <x v="1"/>
    <x v="5"/>
    <x v="1"/>
    <x v="986"/>
    <x v="5"/>
    <x v="2"/>
    <x v="0"/>
  </r>
  <r>
    <s v="53-091-2176"/>
    <n v="21"/>
    <x v="0"/>
    <x v="1"/>
    <x v="2"/>
    <x v="15"/>
    <x v="987"/>
    <x v="7"/>
    <x v="2"/>
    <x v="0"/>
  </r>
  <r>
    <s v="48-203-9118"/>
    <n v="21"/>
    <x v="0"/>
    <x v="0"/>
    <x v="3"/>
    <x v="10"/>
    <x v="988"/>
    <x v="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A5AD81-F05F-594E-8612-DAE70699F840}"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8" rowHeaderCaption="Pengaruh Sosial Media">
  <location ref="D41:E45" firstHeaderRow="1" firstDataRow="1" firstDataCol="1"/>
  <pivotFields count="10">
    <pivotField showAll="0"/>
    <pivotField numFmtId="1" showAll="0"/>
    <pivotField showAll="0">
      <items count="3">
        <item x="0"/>
        <item x="1"/>
        <item t="default"/>
      </items>
    </pivotField>
    <pivotField showAll="0">
      <items count="3">
        <item x="1"/>
        <item x="0"/>
        <item t="default"/>
      </items>
    </pivotField>
    <pivotField showAll="0"/>
    <pivotField showAll="0" measureFilter="1" sortType="descending">
      <items count="26">
        <item x="9"/>
        <item x="17"/>
        <item x="15"/>
        <item x="21"/>
        <item x="5"/>
        <item x="20"/>
        <item x="13"/>
        <item x="1"/>
        <item x="4"/>
        <item x="0"/>
        <item x="19"/>
        <item x="10"/>
        <item x="18"/>
        <item x="3"/>
        <item x="11"/>
        <item x="23"/>
        <item x="8"/>
        <item x="7"/>
        <item x="2"/>
        <item x="12"/>
        <item m="1" x="24"/>
        <item x="14"/>
        <item x="6"/>
        <item x="16"/>
        <item x="22"/>
        <item t="default"/>
      </items>
      <autoSortScope>
        <pivotArea dataOnly="0" outline="0" fieldPosition="0">
          <references count="1">
            <reference field="4294967294" count="1" selected="0">
              <x v="0"/>
            </reference>
          </references>
        </pivotArea>
      </autoSortScope>
    </pivotField>
    <pivotField numFmtId="42" showAll="0"/>
    <pivotField dataField="1" numFmtId="1" showAll="0">
      <items count="13">
        <item x="5"/>
        <item x="2"/>
        <item x="9"/>
        <item x="0"/>
        <item x="8"/>
        <item x="3"/>
        <item x="6"/>
        <item x="4"/>
        <item x="11"/>
        <item x="10"/>
        <item x="1"/>
        <item x="7"/>
        <item t="default"/>
      </items>
    </pivotField>
    <pivotField axis="axisRow" showAll="0" sortType="ascending">
      <items count="5">
        <item x="3"/>
        <item x="2"/>
        <item x="1"/>
        <item x="0"/>
        <item t="default"/>
      </items>
    </pivotField>
    <pivotField showAll="0"/>
  </pivotFields>
  <rowFields count="1">
    <field x="8"/>
  </rowFields>
  <rowItems count="4">
    <i>
      <x/>
    </i>
    <i>
      <x v="1"/>
    </i>
    <i>
      <x v="2"/>
    </i>
    <i>
      <x v="3"/>
    </i>
  </rowItems>
  <colItems count="1">
    <i/>
  </colItems>
  <dataFields count="1">
    <dataField name="Jumlah Pembelian" fld="7" baseField="0" baseItem="0"/>
  </dataFields>
  <formats count="7">
    <format dxfId="9">
      <pivotArea outline="0" collapsedLevelsAreSubtotals="1" fieldPosition="0"/>
    </format>
    <format dxfId="8">
      <pivotArea dataOnly="0" labelOnly="1" outline="0" axis="axisValues" fieldPosition="0"/>
    </format>
    <format dxfId="7">
      <pivotArea type="all" dataOnly="0" outline="0" fieldPosition="0"/>
    </format>
    <format dxfId="6">
      <pivotArea outline="0" collapsedLevelsAreSubtotals="1" fieldPosition="0"/>
    </format>
    <format dxfId="5">
      <pivotArea field="5" type="button" dataOnly="0" labelOnly="1" outline="0"/>
    </format>
    <format dxfId="4">
      <pivotArea dataOnly="0" labelOnly="1" outline="0" axis="axisValues" fieldPosition="0"/>
    </format>
    <format dxfId="3">
      <pivotArea outline="0" fieldPosition="0">
        <references count="1">
          <reference field="4294967294" count="1">
            <x v="0"/>
          </reference>
        </references>
      </pivotArea>
    </format>
  </formats>
  <chartFormats count="14">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8" count="1" selected="0">
            <x v="0"/>
          </reference>
        </references>
      </pivotArea>
    </chartFormat>
    <chartFormat chart="6" format="8">
      <pivotArea type="data" outline="0" fieldPosition="0">
        <references count="2">
          <reference field="4294967294" count="1" selected="0">
            <x v="0"/>
          </reference>
          <reference field="8" count="1" selected="0">
            <x v="1"/>
          </reference>
        </references>
      </pivotArea>
    </chartFormat>
    <chartFormat chart="6" format="9">
      <pivotArea type="data" outline="0" fieldPosition="0">
        <references count="2">
          <reference field="4294967294" count="1" selected="0">
            <x v="0"/>
          </reference>
          <reference field="8" count="1" selected="0">
            <x v="2"/>
          </reference>
        </references>
      </pivotArea>
    </chartFormat>
    <chartFormat chart="6" format="10">
      <pivotArea type="data" outline="0" fieldPosition="0">
        <references count="2">
          <reference field="4294967294" count="1" selected="0">
            <x v="0"/>
          </reference>
          <reference field="8" count="1" selected="0">
            <x v="3"/>
          </reference>
        </references>
      </pivotArea>
    </chartFormat>
    <chartFormat chart="10"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8" count="1" selected="0">
            <x v="3"/>
          </reference>
        </references>
      </pivotArea>
    </chartFormat>
    <chartFormat chart="15" format="4">
      <pivotArea type="data" outline="0" fieldPosition="0">
        <references count="2">
          <reference field="4294967294" count="1" selected="0">
            <x v="0"/>
          </reference>
          <reference field="8" count="1" selected="0">
            <x v="2"/>
          </reference>
        </references>
      </pivotArea>
    </chartFormat>
    <chartFormat chart="15" format="5">
      <pivotArea type="data" outline="0" fieldPosition="0">
        <references count="2">
          <reference field="4294967294" count="1" selected="0">
            <x v="0"/>
          </reference>
          <reference field="8" count="1" selected="0">
            <x v="1"/>
          </reference>
        </references>
      </pivotArea>
    </chartFormat>
    <chartFormat chart="15"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AA0410-3745-1A45-B3A1-2940132FD7A8}"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rowHeaderCaption="Jumlah Pembelian">
  <location ref="D24:F28" firstHeaderRow="1" firstDataRow="2" firstDataCol="1"/>
  <pivotFields count="10">
    <pivotField showAll="0"/>
    <pivotField numFmtId="1" showAll="0"/>
    <pivotField showAll="0">
      <items count="3">
        <item x="0"/>
        <item x="1"/>
        <item t="default"/>
      </items>
    </pivotField>
    <pivotField showAll="0">
      <items count="3">
        <item x="1"/>
        <item x="0"/>
        <item t="default"/>
      </items>
    </pivotField>
    <pivotField showAll="0"/>
    <pivotField showAll="0"/>
    <pivotField numFmtId="42" showAll="0"/>
    <pivotField axis="axisRow" numFmtId="1" showAll="0" sortType="ascending">
      <items count="13">
        <item h="1" x="5"/>
        <item n="10" x="10"/>
        <item n="11" x="1"/>
        <item n="12" x="7"/>
        <item n="2" h="1" x="2"/>
        <item n="3" h="1" x="9"/>
        <item n="4" h="1" x="0"/>
        <item n="5 Pembelian" h="1" x="8"/>
        <item n="6" h="1" x="3"/>
        <item n="7" h="1" x="6"/>
        <item n="8" h="1" x="4"/>
        <item n="9" h="1" x="11"/>
        <item t="default"/>
      </items>
    </pivotField>
    <pivotField showAll="0">
      <items count="5">
        <item x="3"/>
        <item x="2"/>
        <item x="1"/>
        <item x="0"/>
        <item t="default"/>
      </items>
    </pivotField>
    <pivotField axis="axisCol" dataField="1" showAll="0">
      <items count="3">
        <item n="Tanpa Diskon" x="1"/>
        <item n="Diskon" x="0"/>
        <item t="default"/>
      </items>
    </pivotField>
  </pivotFields>
  <rowFields count="1">
    <field x="7"/>
  </rowFields>
  <rowItems count="3">
    <i>
      <x v="1"/>
    </i>
    <i>
      <x v="2"/>
    </i>
    <i>
      <x v="3"/>
    </i>
  </rowItems>
  <colFields count="1">
    <field x="9"/>
  </colFields>
  <colItems count="2">
    <i>
      <x/>
    </i>
    <i>
      <x v="1"/>
    </i>
  </colItems>
  <dataFields count="1">
    <dataField name="Count of Discount_Used" fld="9" subtotal="count" showDataAs="percentOfRow" baseField="0" baseItem="0" numFmtId="10"/>
  </dataFields>
  <formats count="19">
    <format dxfId="28">
      <pivotArea dataOnly="0" labelOnly="1" outline="0" axis="axisValues" fieldPosition="0"/>
    </format>
    <format dxfId="27">
      <pivotArea outline="0" collapsedLevelsAreSubtotals="1" fieldPosition="0"/>
    </format>
    <format dxfId="26">
      <pivotArea field="7" type="button" dataOnly="0" labelOnly="1" outline="0" axis="axisRow" fieldPosition="0"/>
    </format>
    <format dxfId="25">
      <pivotArea dataOnly="0" labelOnly="1" fieldPosition="0">
        <references count="1">
          <reference field="7" count="0"/>
        </references>
      </pivotArea>
    </format>
    <format dxfId="24">
      <pivotArea dataOnly="0" labelOnly="1" fieldPosition="0">
        <references count="1">
          <reference field="9" count="0"/>
        </references>
      </pivotArea>
    </format>
    <format dxfId="23">
      <pivotArea dataOnly="0" labelOnly="1" grandCol="1" outline="0" fieldPosition="0"/>
    </format>
    <format dxfId="22">
      <pivotArea outline="0" collapsedLevelsAreSubtotals="1" fieldPosition="0"/>
    </format>
    <format dxfId="21">
      <pivotArea field="7" type="button" dataOnly="0" labelOnly="1" outline="0" axis="axisRow" fieldPosition="0"/>
    </format>
    <format dxfId="20">
      <pivotArea dataOnly="0" labelOnly="1" fieldPosition="0">
        <references count="1">
          <reference field="7" count="0"/>
        </references>
      </pivotArea>
    </format>
    <format dxfId="19">
      <pivotArea dataOnly="0" labelOnly="1" fieldPosition="0">
        <references count="1">
          <reference field="9" count="0"/>
        </references>
      </pivotArea>
    </format>
    <format dxfId="18">
      <pivotArea dataOnly="0" labelOnly="1" grandCol="1" outline="0" fieldPosition="0"/>
    </format>
    <format dxfId="17">
      <pivotArea outline="0" fieldPosition="0">
        <references count="1">
          <reference field="4294967294" count="1">
            <x v="0"/>
          </reference>
        </references>
      </pivotArea>
    </format>
    <format dxfId="16">
      <pivotArea type="all" dataOnly="0" outline="0" fieldPosition="0"/>
    </format>
    <format dxfId="15">
      <pivotArea collapsedLevelsAreSubtotals="1" fieldPosition="0">
        <references count="1">
          <reference field="7" count="1">
            <x v="3"/>
          </reference>
        </references>
      </pivotArea>
    </format>
    <format dxfId="14">
      <pivotArea dataOnly="0" labelOnly="1" fieldPosition="0">
        <references count="1">
          <reference field="7" count="1">
            <x v="3"/>
          </reference>
        </references>
      </pivotArea>
    </format>
    <format dxfId="13">
      <pivotArea collapsedLevelsAreSubtotals="1" fieldPosition="0">
        <references count="1">
          <reference field="7" count="1">
            <x v="3"/>
          </reference>
        </references>
      </pivotArea>
    </format>
    <format dxfId="12">
      <pivotArea dataOnly="0" labelOnly="1" fieldPosition="0">
        <references count="1">
          <reference field="7" count="1">
            <x v="3"/>
          </reference>
        </references>
      </pivotArea>
    </format>
    <format dxfId="11">
      <pivotArea collapsedLevelsAreSubtotals="1" fieldPosition="0">
        <references count="1">
          <reference field="7" count="1">
            <x v="3"/>
          </reference>
        </references>
      </pivotArea>
    </format>
    <format dxfId="10">
      <pivotArea dataOnly="0" labelOnly="1" fieldPosition="0">
        <references count="1">
          <reference field="7" count="1">
            <x v="3"/>
          </reference>
        </references>
      </pivotArea>
    </format>
  </formats>
  <chartFormats count="8">
    <chartFormat chart="7" format="10" series="1">
      <pivotArea type="data" outline="0" fieldPosition="0">
        <references count="2">
          <reference field="4294967294" count="1" selected="0">
            <x v="0"/>
          </reference>
          <reference field="9" count="1" selected="0">
            <x v="0"/>
          </reference>
        </references>
      </pivotArea>
    </chartFormat>
    <chartFormat chart="7" format="11">
      <pivotArea type="data" outline="0" fieldPosition="0">
        <references count="3">
          <reference field="4294967294" count="1" selected="0">
            <x v="0"/>
          </reference>
          <reference field="7" count="1" selected="0">
            <x v="3"/>
          </reference>
          <reference field="9" count="1" selected="0">
            <x v="0"/>
          </reference>
        </references>
      </pivotArea>
    </chartFormat>
    <chartFormat chart="7" format="12">
      <pivotArea type="data" outline="0" fieldPosition="0">
        <references count="3">
          <reference field="4294967294" count="1" selected="0">
            <x v="0"/>
          </reference>
          <reference field="7" count="1" selected="0">
            <x v="2"/>
          </reference>
          <reference field="9" count="1" selected="0">
            <x v="0"/>
          </reference>
        </references>
      </pivotArea>
    </chartFormat>
    <chartFormat chart="7" format="13">
      <pivotArea type="data" outline="0" fieldPosition="0">
        <references count="3">
          <reference field="4294967294" count="1" selected="0">
            <x v="0"/>
          </reference>
          <reference field="7" count="1" selected="0">
            <x v="1"/>
          </reference>
          <reference field="9" count="1" selected="0">
            <x v="0"/>
          </reference>
        </references>
      </pivotArea>
    </chartFormat>
    <chartFormat chart="7" format="14" series="1">
      <pivotArea type="data" outline="0" fieldPosition="0">
        <references count="2">
          <reference field="4294967294" count="1" selected="0">
            <x v="0"/>
          </reference>
          <reference field="9" count="1" selected="0">
            <x v="1"/>
          </reference>
        </references>
      </pivotArea>
    </chartFormat>
    <chartFormat chart="7" format="15">
      <pivotArea type="data" outline="0" fieldPosition="0">
        <references count="3">
          <reference field="4294967294" count="1" selected="0">
            <x v="0"/>
          </reference>
          <reference field="7" count="1" selected="0">
            <x v="3"/>
          </reference>
          <reference field="9" count="1" selected="0">
            <x v="1"/>
          </reference>
        </references>
      </pivotArea>
    </chartFormat>
    <chartFormat chart="7" format="16">
      <pivotArea type="data" outline="0" fieldPosition="0">
        <references count="3">
          <reference field="4294967294" count="1" selected="0">
            <x v="0"/>
          </reference>
          <reference field="7" count="1" selected="0">
            <x v="2"/>
          </reference>
          <reference field="9" count="1" selected="0">
            <x v="1"/>
          </reference>
        </references>
      </pivotArea>
    </chartFormat>
    <chartFormat chart="7" format="17">
      <pivotArea type="data" outline="0" fieldPosition="0">
        <references count="3">
          <reference field="4294967294" count="1" selected="0">
            <x v="0"/>
          </reference>
          <reference field="7" count="1" selected="0">
            <x v="1"/>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BDCC19-C0A1-C14A-B15F-1D299D2DE1C8}"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Purchase Category">
  <location ref="D16:E21" firstHeaderRow="1" firstDataRow="1" firstDataCol="1"/>
  <pivotFields count="10">
    <pivotField showAll="0"/>
    <pivotField numFmtId="1" showAll="0"/>
    <pivotField showAll="0">
      <items count="3">
        <item x="0"/>
        <item x="1"/>
        <item t="default"/>
      </items>
    </pivotField>
    <pivotField showAll="0">
      <items count="3">
        <item x="1"/>
        <item x="0"/>
        <item t="default"/>
      </items>
    </pivotField>
    <pivotField showAll="0"/>
    <pivotField axis="axisRow" showAll="0" measureFilter="1" sortType="descending">
      <items count="26">
        <item x="9"/>
        <item x="17"/>
        <item x="15"/>
        <item x="21"/>
        <item x="5"/>
        <item x="20"/>
        <item x="13"/>
        <item x="1"/>
        <item x="4"/>
        <item x="0"/>
        <item x="19"/>
        <item x="10"/>
        <item x="18"/>
        <item x="3"/>
        <item x="11"/>
        <item x="23"/>
        <item x="8"/>
        <item x="7"/>
        <item x="2"/>
        <item x="12"/>
        <item m="1" x="24"/>
        <item x="14"/>
        <item x="6"/>
        <item x="16"/>
        <item x="22"/>
        <item t="default"/>
      </items>
      <autoSortScope>
        <pivotArea dataOnly="0" outline="0" fieldPosition="0">
          <references count="1">
            <reference field="4294967294" count="1" selected="0">
              <x v="0"/>
            </reference>
          </references>
        </pivotArea>
      </autoSortScope>
    </pivotField>
    <pivotField numFmtId="42" showAll="0"/>
    <pivotField dataField="1" numFmtId="1" showAll="0"/>
    <pivotField showAll="0">
      <items count="5">
        <item x="3"/>
        <item x="2"/>
        <item x="1"/>
        <item x="0"/>
        <item t="default"/>
      </items>
    </pivotField>
    <pivotField showAll="0"/>
  </pivotFields>
  <rowFields count="1">
    <field x="5"/>
  </rowFields>
  <rowItems count="5">
    <i>
      <x v="6"/>
    </i>
    <i>
      <x v="13"/>
    </i>
    <i>
      <x v="23"/>
    </i>
    <i>
      <x v="8"/>
    </i>
    <i>
      <x v="22"/>
    </i>
  </rowItems>
  <colItems count="1">
    <i/>
  </colItems>
  <dataFields count="1">
    <dataField name="Frequency of Purchase" fld="7" baseField="0" baseItem="0" numFmtId="1"/>
  </dataFields>
  <formats count="7">
    <format dxfId="35">
      <pivotArea outline="0" collapsedLevelsAreSubtotals="1" fieldPosition="0"/>
    </format>
    <format dxfId="34">
      <pivotArea dataOnly="0" labelOnly="1" outline="0" axis="axisValues" fieldPosition="0"/>
    </format>
    <format dxfId="33">
      <pivotArea type="all" dataOnly="0" outline="0" fieldPosition="0"/>
    </format>
    <format dxfId="32">
      <pivotArea outline="0" collapsedLevelsAreSubtotals="1" fieldPosition="0"/>
    </format>
    <format dxfId="31">
      <pivotArea field="5" type="button" dataOnly="0" labelOnly="1" outline="0" axis="axisRow" fieldPosition="0"/>
    </format>
    <format dxfId="30">
      <pivotArea dataOnly="0" labelOnly="1" fieldPosition="0">
        <references count="1">
          <reference field="5" count="5">
            <x v="6"/>
            <x v="8"/>
            <x v="13"/>
            <x v="22"/>
            <x v="23"/>
          </reference>
        </references>
      </pivotArea>
    </format>
    <format dxfId="29">
      <pivotArea dataOnly="0" labelOnly="1" outline="0" axis="axisValues" fieldPosition="0"/>
    </format>
  </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01546B-D49F-C146-9FF6-9C3040EFC238}"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Purchase Category">
  <location ref="H16:I19" firstHeaderRow="1" firstDataRow="1" firstDataCol="1"/>
  <pivotFields count="10">
    <pivotField showAll="0"/>
    <pivotField numFmtId="1" showAll="0"/>
    <pivotField showAll="0">
      <items count="3">
        <item x="0"/>
        <item x="1"/>
        <item t="default"/>
      </items>
    </pivotField>
    <pivotField showAll="0">
      <items count="3">
        <item x="1"/>
        <item x="0"/>
        <item t="default"/>
      </items>
    </pivotField>
    <pivotField axis="axisRow" showAll="0" measureFilter="1" sortType="descending">
      <items count="7">
        <item x="1"/>
        <item x="5"/>
        <item x="4"/>
        <item x="3"/>
        <item x="2"/>
        <item x="0"/>
        <item t="default"/>
      </items>
      <autoSortScope>
        <pivotArea dataOnly="0" outline="0" fieldPosition="0">
          <references count="1">
            <reference field="4294967294" count="1" selected="0">
              <x v="0"/>
            </reference>
          </references>
        </pivotArea>
      </autoSortScope>
    </pivotField>
    <pivotField showAll="0" measureFilter="1" sortType="descending">
      <autoSortScope>
        <pivotArea dataOnly="0" outline="0" fieldPosition="0">
          <references count="1">
            <reference field="4294967294" count="1" selected="0">
              <x v="0"/>
            </reference>
          </references>
        </pivotArea>
      </autoSortScope>
    </pivotField>
    <pivotField numFmtId="42" showAll="0"/>
    <pivotField dataField="1" numFmtId="1" showAll="0"/>
    <pivotField showAll="0">
      <items count="5">
        <item x="3"/>
        <item x="2"/>
        <item x="1"/>
        <item x="0"/>
        <item t="default"/>
      </items>
    </pivotField>
    <pivotField showAll="0"/>
  </pivotFields>
  <rowFields count="1">
    <field x="4"/>
  </rowFields>
  <rowItems count="3">
    <i>
      <x/>
    </i>
    <i>
      <x v="2"/>
    </i>
    <i>
      <x v="1"/>
    </i>
  </rowItems>
  <colItems count="1">
    <i/>
  </colItems>
  <dataFields count="1">
    <dataField name="Frequency of Purchase" fld="7" baseField="0" baseItem="0" numFmtId="1"/>
  </dataFields>
  <formats count="9">
    <format dxfId="44">
      <pivotArea outline="0" collapsedLevelsAreSubtotals="1" fieldPosition="0"/>
    </format>
    <format dxfId="43">
      <pivotArea dataOnly="0" labelOnly="1" outline="0" axis="axisValues" fieldPosition="0"/>
    </format>
    <format dxfId="42">
      <pivotArea field="4" type="button" dataOnly="0" labelOnly="1" outline="0" axis="axisRow" fieldPosition="0"/>
    </format>
    <format dxfId="41">
      <pivotArea dataOnly="0" labelOnly="1" fieldPosition="0">
        <references count="1">
          <reference field="4" count="3">
            <x v="0"/>
            <x v="1"/>
            <x v="2"/>
          </reference>
        </references>
      </pivotArea>
    </format>
    <format dxfId="40">
      <pivotArea type="all" dataOnly="0" outline="0" fieldPosition="0"/>
    </format>
    <format dxfId="39">
      <pivotArea outline="0" collapsedLevelsAreSubtotals="1" fieldPosition="0"/>
    </format>
    <format dxfId="38">
      <pivotArea field="4" type="button" dataOnly="0" labelOnly="1" outline="0" axis="axisRow" fieldPosition="0"/>
    </format>
    <format dxfId="37">
      <pivotArea dataOnly="0" labelOnly="1" fieldPosition="0">
        <references count="1">
          <reference field="4" count="3">
            <x v="0"/>
            <x v="1"/>
            <x v="2"/>
          </reference>
        </references>
      </pivotArea>
    </format>
    <format dxfId="36">
      <pivotArea dataOnly="0" labelOnly="1" outline="0" axis="axisValues" fieldPosition="0"/>
    </format>
  </formats>
  <pivotTableStyleInfo name="PivotStyleLight16" showRowHeaders="1" showColHeaders="1" showRowStripes="0" showColStripes="0" showLastColumn="1"/>
  <filters count="2">
    <filter fld="5" type="count" evalOrder="-1" id="1" iMeasureFld="0">
      <autoFilter ref="A1">
        <filterColumn colId="0">
          <top10 val="5" filterVal="5"/>
        </filterColumn>
      </autoFilter>
    </filter>
    <filter fld="4"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CBB5C6-F6B7-AA4B-BC1C-B67DAA0402E7}"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9" rowHeaderCaption="Gender">
  <location ref="D8:E10" firstHeaderRow="1" firstDataRow="1" firstDataCol="1"/>
  <pivotFields count="10">
    <pivotField showAll="0"/>
    <pivotField numFmtId="1" showAll="0"/>
    <pivotField axis="axisRow" showAll="0">
      <items count="3">
        <item x="0"/>
        <item x="1"/>
        <item t="default"/>
      </items>
    </pivotField>
    <pivotField showAll="0">
      <items count="3">
        <item x="1"/>
        <item x="0"/>
        <item t="default"/>
      </items>
    </pivotField>
    <pivotField showAll="0"/>
    <pivotField showAll="0"/>
    <pivotField dataField="1" numFmtId="42" showAll="0">
      <items count="990">
        <item x="242"/>
        <item x="585"/>
        <item x="380"/>
        <item x="47"/>
        <item x="610"/>
        <item x="947"/>
        <item x="858"/>
        <item x="35"/>
        <item x="824"/>
        <item x="720"/>
        <item x="212"/>
        <item x="338"/>
        <item x="265"/>
        <item x="41"/>
        <item x="179"/>
        <item x="853"/>
        <item x="656"/>
        <item x="718"/>
        <item x="21"/>
        <item x="227"/>
        <item x="786"/>
        <item x="181"/>
        <item x="882"/>
        <item x="479"/>
        <item x="543"/>
        <item x="125"/>
        <item x="14"/>
        <item x="792"/>
        <item x="721"/>
        <item x="755"/>
        <item x="12"/>
        <item x="429"/>
        <item x="621"/>
        <item x="369"/>
        <item x="538"/>
        <item x="317"/>
        <item x="506"/>
        <item x="391"/>
        <item x="209"/>
        <item x="902"/>
        <item x="418"/>
        <item x="368"/>
        <item x="480"/>
        <item x="235"/>
        <item x="272"/>
        <item x="434"/>
        <item x="332"/>
        <item x="985"/>
        <item x="709"/>
        <item x="738"/>
        <item x="177"/>
        <item x="954"/>
        <item x="377"/>
        <item x="194"/>
        <item x="450"/>
        <item x="467"/>
        <item x="277"/>
        <item x="257"/>
        <item x="865"/>
        <item x="420"/>
        <item x="861"/>
        <item x="515"/>
        <item x="45"/>
        <item x="348"/>
        <item x="134"/>
        <item x="155"/>
        <item x="953"/>
        <item x="784"/>
        <item x="411"/>
        <item x="698"/>
        <item x="81"/>
        <item x="171"/>
        <item x="655"/>
        <item x="587"/>
        <item x="13"/>
        <item x="210"/>
        <item x="918"/>
        <item x="693"/>
        <item x="651"/>
        <item x="27"/>
        <item x="706"/>
        <item x="951"/>
        <item x="847"/>
        <item x="852"/>
        <item x="622"/>
        <item x="726"/>
        <item x="650"/>
        <item x="753"/>
        <item x="615"/>
        <item x="736"/>
        <item x="440"/>
        <item x="135"/>
        <item x="453"/>
        <item x="872"/>
        <item x="85"/>
        <item x="499"/>
        <item x="402"/>
        <item x="617"/>
        <item x="525"/>
        <item x="799"/>
        <item x="405"/>
        <item x="162"/>
        <item x="981"/>
        <item x="869"/>
        <item x="389"/>
        <item x="580"/>
        <item x="253"/>
        <item x="782"/>
        <item x="427"/>
        <item x="417"/>
        <item x="890"/>
        <item x="956"/>
        <item x="600"/>
        <item x="214"/>
        <item x="199"/>
        <item x="133"/>
        <item x="648"/>
        <item x="187"/>
        <item x="3"/>
        <item x="175"/>
        <item x="157"/>
        <item x="633"/>
        <item x="608"/>
        <item x="185"/>
        <item x="234"/>
        <item x="802"/>
        <item x="330"/>
        <item x="930"/>
        <item x="884"/>
        <item x="555"/>
        <item x="817"/>
        <item x="987"/>
        <item x="619"/>
        <item x="838"/>
        <item x="371"/>
        <item x="649"/>
        <item x="441"/>
        <item x="91"/>
        <item x="15"/>
        <item x="727"/>
        <item x="549"/>
        <item x="44"/>
        <item x="51"/>
        <item x="252"/>
        <item x="75"/>
        <item x="86"/>
        <item x="223"/>
        <item x="168"/>
        <item x="335"/>
        <item x="711"/>
        <item x="267"/>
        <item x="82"/>
        <item x="548"/>
        <item x="541"/>
        <item x="624"/>
        <item x="261"/>
        <item x="545"/>
        <item x="959"/>
        <item x="857"/>
        <item x="683"/>
        <item x="180"/>
        <item x="629"/>
        <item x="83"/>
        <item x="361"/>
        <item x="382"/>
        <item x="699"/>
        <item x="770"/>
        <item x="448"/>
        <item x="259"/>
        <item x="533"/>
        <item x="154"/>
        <item x="732"/>
        <item x="652"/>
        <item x="315"/>
        <item x="507"/>
        <item x="716"/>
        <item x="149"/>
        <item x="424"/>
        <item x="493"/>
        <item x="167"/>
        <item x="877"/>
        <item x="221"/>
        <item x="879"/>
        <item x="688"/>
        <item x="588"/>
        <item x="464"/>
        <item x="243"/>
        <item x="661"/>
        <item x="638"/>
        <item x="763"/>
        <item x="435"/>
        <item x="814"/>
        <item x="28"/>
        <item x="776"/>
        <item x="87"/>
        <item x="25"/>
        <item x="928"/>
        <item x="783"/>
        <item x="164"/>
        <item x="345"/>
        <item x="641"/>
        <item x="34"/>
        <item x="207"/>
        <item x="264"/>
        <item x="159"/>
        <item x="828"/>
        <item x="504"/>
        <item x="963"/>
        <item x="224"/>
        <item x="564"/>
        <item x="505"/>
        <item x="188"/>
        <item x="713"/>
        <item x="581"/>
        <item x="201"/>
        <item x="643"/>
        <item x="293"/>
        <item x="141"/>
        <item x="372"/>
        <item x="705"/>
        <item x="979"/>
        <item x="283"/>
        <item x="767"/>
        <item x="198"/>
        <item x="829"/>
        <item x="532"/>
        <item x="602"/>
        <item x="701"/>
        <item x="535"/>
        <item x="752"/>
        <item x="668"/>
        <item x="892"/>
        <item x="254"/>
        <item x="365"/>
        <item x="297"/>
        <item x="714"/>
        <item x="387"/>
        <item x="575"/>
        <item x="366"/>
        <item x="977"/>
        <item x="586"/>
        <item x="845"/>
        <item x="801"/>
        <item x="100"/>
        <item x="206"/>
        <item x="888"/>
        <item x="281"/>
        <item x="687"/>
        <item x="894"/>
        <item x="476"/>
        <item x="579"/>
        <item x="114"/>
        <item x="598"/>
        <item x="113"/>
        <item x="562"/>
        <item x="556"/>
        <item x="107"/>
        <item x="104"/>
        <item x="321"/>
        <item x="136"/>
        <item x="616"/>
        <item x="226"/>
        <item x="59"/>
        <item x="684"/>
        <item x="526"/>
        <item x="573"/>
        <item x="889"/>
        <item x="53"/>
        <item x="863"/>
        <item x="258"/>
        <item x="518"/>
        <item x="316"/>
        <item x="472"/>
        <item x="830"/>
        <item x="56"/>
        <item x="195"/>
        <item x="442"/>
        <item x="933"/>
        <item x="832"/>
        <item x="497"/>
        <item x="469"/>
        <item x="708"/>
        <item x="102"/>
        <item x="93"/>
        <item x="733"/>
        <item x="347"/>
        <item x="414"/>
        <item x="723"/>
        <item x="975"/>
        <item x="826"/>
        <item x="917"/>
        <item x="728"/>
        <item x="470"/>
        <item x="307"/>
        <item x="228"/>
        <item x="360"/>
        <item x="342"/>
        <item x="337"/>
        <item x="129"/>
        <item x="856"/>
        <item x="276"/>
        <item x="490"/>
        <item x="851"/>
        <item x="626"/>
        <item x="772"/>
        <item x="238"/>
        <item x="883"/>
        <item x="927"/>
        <item x="454"/>
        <item x="601"/>
        <item x="200"/>
        <item x="750"/>
        <item x="145"/>
        <item x="806"/>
        <item x="397"/>
        <item x="89"/>
        <item x="508"/>
        <item x="771"/>
        <item x="836"/>
        <item x="674"/>
        <item x="165"/>
        <item x="436"/>
        <item x="72"/>
        <item x="940"/>
        <item x="653"/>
        <item x="846"/>
        <item x="398"/>
        <item x="343"/>
        <item x="577"/>
        <item x="273"/>
        <item x="475"/>
        <item x="866"/>
        <item x="260"/>
        <item x="522"/>
        <item x="8"/>
        <item x="935"/>
        <item x="239"/>
        <item x="914"/>
        <item x="303"/>
        <item x="895"/>
        <item x="805"/>
        <item x="170"/>
        <item x="118"/>
        <item x="980"/>
        <item x="849"/>
        <item x="740"/>
        <item x="333"/>
        <item x="962"/>
        <item x="314"/>
        <item x="503"/>
        <item x="561"/>
        <item x="974"/>
        <item x="582"/>
        <item x="599"/>
        <item x="197"/>
        <item x="681"/>
        <item x="474"/>
        <item x="595"/>
        <item x="95"/>
        <item x="969"/>
        <item x="4"/>
        <item x="246"/>
        <item x="456"/>
        <item x="443"/>
        <item x="715"/>
        <item x="78"/>
        <item x="278"/>
        <item x="754"/>
        <item x="785"/>
        <item x="341"/>
        <item x="84"/>
        <item x="399"/>
        <item x="860"/>
        <item x="822"/>
        <item x="631"/>
        <item x="530"/>
        <item x="7"/>
        <item x="596"/>
        <item x="762"/>
        <item x="502"/>
        <item x="768"/>
        <item x="230"/>
        <item x="905"/>
        <item x="1"/>
        <item x="632"/>
        <item x="376"/>
        <item x="66"/>
        <item x="495"/>
        <item x="730"/>
        <item x="182"/>
        <item x="745"/>
        <item x="823"/>
        <item x="126"/>
        <item x="761"/>
        <item x="627"/>
        <item x="150"/>
        <item x="48"/>
        <item x="205"/>
        <item x="458"/>
        <item x="191"/>
        <item x="304"/>
        <item x="779"/>
        <item x="800"/>
        <item x="760"/>
        <item x="215"/>
        <item x="512"/>
        <item x="430"/>
        <item x="891"/>
        <item x="672"/>
        <item x="455"/>
        <item x="357"/>
        <item x="137"/>
        <item x="887"/>
        <item x="320"/>
        <item x="899"/>
        <item x="521"/>
        <item x="17"/>
        <item x="690"/>
        <item x="383"/>
        <item x="660"/>
        <item x="11"/>
        <item x="603"/>
        <item x="298"/>
        <item x="57"/>
        <item x="299"/>
        <item x="955"/>
        <item x="566"/>
        <item x="326"/>
        <item x="774"/>
        <item x="925"/>
        <item x="571"/>
        <item x="964"/>
        <item x="867"/>
        <item x="251"/>
        <item x="138"/>
        <item x="385"/>
        <item x="827"/>
        <item x="781"/>
        <item x="457"/>
        <item x="492"/>
        <item x="834"/>
        <item x="241"/>
        <item x="109"/>
        <item x="777"/>
        <item x="166"/>
        <item x="790"/>
        <item x="567"/>
        <item x="282"/>
        <item x="696"/>
        <item x="112"/>
        <item x="274"/>
        <item x="912"/>
        <item x="965"/>
        <item x="393"/>
        <item x="870"/>
        <item x="821"/>
        <item x="24"/>
        <item x="885"/>
        <item x="120"/>
        <item x="937"/>
        <item x="520"/>
        <item x="217"/>
        <item x="419"/>
        <item x="292"/>
        <item x="657"/>
        <item x="172"/>
        <item x="42"/>
        <item x="117"/>
        <item x="694"/>
        <item x="123"/>
        <item x="916"/>
        <item x="915"/>
        <item x="646"/>
        <item x="308"/>
        <item x="404"/>
        <item x="37"/>
        <item x="240"/>
        <item x="922"/>
        <item x="881"/>
        <item x="381"/>
        <item x="378"/>
        <item x="344"/>
        <item x="944"/>
        <item x="349"/>
        <item x="169"/>
        <item x="208"/>
        <item x="116"/>
        <item x="517"/>
        <item x="98"/>
        <item x="358"/>
        <item x="350"/>
        <item x="559"/>
        <item x="513"/>
        <item x="746"/>
        <item x="219"/>
        <item x="957"/>
        <item x="189"/>
        <item x="237"/>
        <item x="569"/>
        <item x="211"/>
        <item x="906"/>
        <item x="628"/>
        <item x="222"/>
        <item x="451"/>
        <item x="481"/>
        <item x="178"/>
        <item x="327"/>
        <item x="794"/>
        <item x="731"/>
        <item x="32"/>
        <item x="751"/>
        <item x="340"/>
        <item x="795"/>
        <item x="609"/>
        <item x="64"/>
        <item x="578"/>
        <item x="637"/>
        <item x="554"/>
        <item x="396"/>
        <item x="864"/>
        <item x="900"/>
        <item x="255"/>
        <item x="392"/>
        <item x="848"/>
        <item x="231"/>
        <item x="174"/>
        <item x="913"/>
        <item x="607"/>
        <item x="43"/>
        <item x="613"/>
        <item x="855"/>
        <item x="686"/>
        <item x="724"/>
        <item x="202"/>
        <item x="843"/>
        <item x="931"/>
        <item x="536"/>
        <item x="286"/>
        <item x="808"/>
        <item x="296"/>
        <item x="323"/>
        <item x="74"/>
        <item x="142"/>
        <item x="926"/>
        <item x="654"/>
        <item x="527"/>
        <item x="52"/>
        <item x="589"/>
        <item x="949"/>
        <item x="592"/>
        <item x="620"/>
        <item x="192"/>
        <item x="425"/>
        <item x="295"/>
        <item x="300"/>
        <item x="748"/>
        <item x="364"/>
        <item x="967"/>
        <item x="775"/>
        <item x="363"/>
        <item x="788"/>
        <item x="122"/>
        <item x="203"/>
        <item x="268"/>
        <item x="695"/>
        <item x="604"/>
        <item x="152"/>
        <item x="700"/>
        <item x="153"/>
        <item x="978"/>
        <item x="862"/>
        <item x="140"/>
        <item x="971"/>
        <item x="948"/>
        <item x="58"/>
        <item x="550"/>
        <item x="612"/>
        <item x="294"/>
        <item x="367"/>
        <item x="594"/>
        <item x="758"/>
        <item x="896"/>
        <item x="749"/>
        <item x="958"/>
        <item x="431"/>
        <item x="590"/>
        <item x="710"/>
        <item x="248"/>
        <item x="868"/>
        <item x="630"/>
        <item x="819"/>
        <item x="449"/>
        <item x="213"/>
        <item x="270"/>
        <item x="929"/>
        <item x="574"/>
        <item x="576"/>
        <item x="444"/>
        <item x="310"/>
        <item x="908"/>
        <item x="132"/>
        <item x="460"/>
        <item x="432"/>
        <item x="115"/>
        <item x="70"/>
        <item x="40"/>
        <item x="742"/>
        <item x="897"/>
        <item x="186"/>
        <item x="833"/>
        <item x="356"/>
        <item x="697"/>
        <item x="390"/>
        <item x="466"/>
        <item x="65"/>
        <item x="911"/>
        <item x="220"/>
        <item x="312"/>
        <item x="0"/>
        <item x="351"/>
        <item x="461"/>
        <item x="306"/>
        <item x="128"/>
        <item x="439"/>
        <item x="938"/>
        <item x="941"/>
        <item x="939"/>
        <item x="658"/>
        <item x="804"/>
        <item x="36"/>
        <item x="663"/>
        <item x="375"/>
        <item x="514"/>
        <item x="269"/>
        <item x="459"/>
        <item x="494"/>
        <item x="675"/>
        <item x="318"/>
        <item x="968"/>
        <item x="148"/>
        <item x="445"/>
        <item x="151"/>
        <item x="370"/>
        <item x="329"/>
        <item x="907"/>
        <item x="529"/>
        <item x="791"/>
        <item x="285"/>
        <item x="105"/>
        <item x="606"/>
        <item x="284"/>
        <item x="328"/>
        <item x="61"/>
        <item x="161"/>
        <item x="741"/>
        <item x="311"/>
        <item x="818"/>
        <item x="324"/>
        <item x="815"/>
        <item x="190"/>
        <item x="39"/>
        <item x="236"/>
        <item x="30"/>
        <item x="77"/>
        <item x="835"/>
        <item x="256"/>
        <item x="305"/>
        <item x="667"/>
        <item x="16"/>
        <item x="950"/>
        <item x="537"/>
        <item x="482"/>
        <item x="400"/>
        <item x="972"/>
        <item x="302"/>
        <item x="163"/>
        <item x="353"/>
        <item x="483"/>
        <item x="673"/>
        <item x="946"/>
        <item x="558"/>
        <item x="60"/>
        <item x="976"/>
        <item x="747"/>
        <item x="787"/>
        <item x="789"/>
        <item x="904"/>
        <item x="563"/>
        <item x="110"/>
        <item x="488"/>
        <item x="664"/>
        <item x="478"/>
        <item x="462"/>
        <item x="92"/>
        <item x="401"/>
        <item x="759"/>
        <item x="301"/>
        <item x="69"/>
        <item x="647"/>
        <item x="176"/>
        <item x="810"/>
        <item x="422"/>
        <item x="605"/>
        <item x="534"/>
        <item x="247"/>
        <item x="854"/>
        <item x="144"/>
        <item x="22"/>
        <item x="38"/>
        <item x="839"/>
        <item x="560"/>
        <item x="275"/>
        <item x="952"/>
        <item x="229"/>
        <item x="249"/>
        <item x="354"/>
        <item x="76"/>
        <item x="484"/>
        <item x="725"/>
        <item x="679"/>
        <item x="90"/>
        <item x="106"/>
        <item x="319"/>
        <item x="988"/>
        <item x="97"/>
        <item x="593"/>
        <item x="49"/>
        <item x="639"/>
        <item x="970"/>
        <item x="80"/>
        <item x="680"/>
        <item x="29"/>
        <item x="216"/>
        <item x="919"/>
        <item x="551"/>
        <item x="245"/>
        <item x="423"/>
        <item x="825"/>
        <item x="685"/>
        <item x="584"/>
        <item x="618"/>
        <item x="542"/>
        <item x="809"/>
        <item x="10"/>
        <item x="428"/>
        <item x="523"/>
        <item x="386"/>
        <item x="68"/>
        <item x="910"/>
        <item x="46"/>
        <item x="961"/>
        <item x="156"/>
        <item x="572"/>
        <item x="547"/>
        <item x="124"/>
        <item x="325"/>
        <item x="250"/>
        <item x="143"/>
        <item x="691"/>
        <item x="62"/>
        <item x="546"/>
        <item x="491"/>
        <item x="426"/>
        <item x="121"/>
        <item x="719"/>
        <item x="798"/>
        <item x="831"/>
        <item x="79"/>
        <item x="803"/>
        <item x="744"/>
        <item x="850"/>
        <item x="477"/>
        <item x="920"/>
        <item x="465"/>
        <item x="662"/>
        <item x="409"/>
        <item x="510"/>
        <item x="528"/>
        <item x="644"/>
        <item x="611"/>
        <item x="813"/>
        <item x="290"/>
        <item x="119"/>
        <item x="233"/>
        <item x="682"/>
        <item x="173"/>
        <item x="743"/>
        <item x="416"/>
        <item x="583"/>
        <item x="623"/>
        <item x="924"/>
        <item x="796"/>
        <item x="160"/>
        <item x="232"/>
        <item x="379"/>
        <item x="67"/>
        <item x="735"/>
        <item x="764"/>
        <item x="614"/>
        <item x="263"/>
        <item x="9"/>
        <item x="336"/>
        <item x="539"/>
        <item x="645"/>
        <item x="820"/>
        <item x="96"/>
        <item x="923"/>
        <item x="737"/>
        <item x="557"/>
        <item x="218"/>
        <item x="50"/>
        <item x="597"/>
        <item x="146"/>
        <item x="71"/>
        <item x="707"/>
        <item x="516"/>
        <item x="406"/>
        <item x="473"/>
        <item x="158"/>
        <item x="2"/>
        <item x="634"/>
        <item x="487"/>
        <item x="131"/>
        <item x="55"/>
        <item x="339"/>
        <item x="671"/>
        <item x="692"/>
        <item x="874"/>
        <item x="421"/>
        <item x="500"/>
        <item x="966"/>
        <item x="204"/>
        <item x="509"/>
        <item x="678"/>
        <item x="31"/>
        <item x="665"/>
        <item x="552"/>
        <item x="501"/>
        <item x="485"/>
        <item x="886"/>
        <item x="880"/>
        <item x="903"/>
        <item x="769"/>
        <item x="568"/>
        <item x="739"/>
        <item x="266"/>
        <item x="909"/>
        <item x="511"/>
        <item x="625"/>
        <item x="388"/>
        <item x="88"/>
        <item x="139"/>
        <item x="642"/>
        <item x="183"/>
        <item x="816"/>
        <item x="346"/>
        <item x="410"/>
        <item x="130"/>
        <item x="524"/>
        <item x="936"/>
        <item x="288"/>
        <item x="519"/>
        <item x="99"/>
        <item x="531"/>
        <item x="570"/>
        <item x="636"/>
        <item x="407"/>
        <item x="859"/>
        <item x="446"/>
        <item x="496"/>
        <item x="640"/>
        <item x="291"/>
        <item x="54"/>
        <item x="757"/>
        <item x="565"/>
        <item x="468"/>
        <item x="780"/>
        <item x="103"/>
        <item x="986"/>
        <item x="334"/>
        <item x="669"/>
        <item x="33"/>
        <item x="18"/>
        <item x="73"/>
        <item x="309"/>
        <item x="982"/>
        <item x="943"/>
        <item x="322"/>
        <item x="898"/>
        <item x="289"/>
        <item x="413"/>
        <item x="486"/>
        <item x="244"/>
        <item x="765"/>
        <item x="807"/>
        <item x="945"/>
        <item x="23"/>
        <item x="94"/>
        <item x="840"/>
        <item x="374"/>
        <item x="395"/>
        <item x="793"/>
        <item x="811"/>
        <item x="355"/>
        <item x="756"/>
        <item x="934"/>
        <item x="20"/>
        <item x="447"/>
        <item x="984"/>
        <item x="544"/>
        <item x="702"/>
        <item x="729"/>
        <item x="403"/>
        <item x="778"/>
        <item x="279"/>
        <item x="196"/>
        <item x="108"/>
        <item x="983"/>
        <item x="689"/>
        <item x="127"/>
        <item x="313"/>
        <item x="875"/>
        <item x="722"/>
        <item x="438"/>
        <item x="812"/>
        <item x="271"/>
        <item x="635"/>
        <item x="193"/>
        <item x="878"/>
        <item x="437"/>
        <item x="837"/>
        <item x="873"/>
        <item x="352"/>
        <item x="63"/>
        <item x="433"/>
        <item x="280"/>
        <item x="797"/>
        <item x="960"/>
        <item x="591"/>
        <item x="717"/>
        <item x="871"/>
        <item x="452"/>
        <item x="973"/>
        <item x="394"/>
        <item x="184"/>
        <item x="463"/>
        <item x="225"/>
        <item x="677"/>
        <item x="734"/>
        <item x="262"/>
        <item x="331"/>
        <item x="901"/>
        <item x="111"/>
        <item x="773"/>
        <item x="932"/>
        <item x="670"/>
        <item x="6"/>
        <item x="489"/>
        <item x="5"/>
        <item x="766"/>
        <item x="26"/>
        <item x="553"/>
        <item x="362"/>
        <item x="893"/>
        <item x="676"/>
        <item x="942"/>
        <item x="408"/>
        <item x="384"/>
        <item x="373"/>
        <item x="19"/>
        <item x="704"/>
        <item x="498"/>
        <item x="412"/>
        <item x="540"/>
        <item x="415"/>
        <item x="712"/>
        <item x="842"/>
        <item x="101"/>
        <item x="287"/>
        <item x="844"/>
        <item x="659"/>
        <item x="876"/>
        <item x="666"/>
        <item x="147"/>
        <item x="841"/>
        <item x="921"/>
        <item x="471"/>
        <item x="703"/>
        <item x="359"/>
        <item t="default"/>
      </items>
    </pivotField>
    <pivotField numFmtId="1" showAll="0"/>
    <pivotField showAll="0">
      <items count="5">
        <item x="3"/>
        <item x="2"/>
        <item x="1"/>
        <item x="0"/>
        <item t="default"/>
      </items>
    </pivotField>
    <pivotField showAll="0"/>
  </pivotFields>
  <rowFields count="1">
    <field x="2"/>
  </rowFields>
  <rowItems count="2">
    <i>
      <x/>
    </i>
    <i>
      <x v="1"/>
    </i>
  </rowItems>
  <colItems count="1">
    <i/>
  </colItems>
  <dataFields count="1">
    <dataField name="Sum of Purchase_Amount (Rp)" fld="6" baseField="0" baseItem="0" numFmtId="3"/>
  </dataFields>
  <formats count="10">
    <format dxfId="54">
      <pivotArea outline="0" collapsedLevelsAreSubtotals="1" fieldPosition="0"/>
    </format>
    <format dxfId="53">
      <pivotArea dataOnly="0" labelOnly="1" outline="0" axis="axisValues" fieldPosition="0"/>
    </format>
    <format dxfId="52">
      <pivotArea collapsedLevelsAreSubtotals="1" fieldPosition="0">
        <references count="1">
          <reference field="2" count="1">
            <x v="0"/>
          </reference>
        </references>
      </pivotArea>
    </format>
    <format dxfId="51">
      <pivotArea outline="0" collapsedLevelsAreSubtotals="1" fieldPosition="0"/>
    </format>
    <format dxfId="50">
      <pivotArea type="all" dataOnly="0" outline="0" fieldPosition="0"/>
    </format>
    <format dxfId="49">
      <pivotArea outline="0" collapsedLevelsAreSubtotals="1" fieldPosition="0"/>
    </format>
    <format dxfId="48">
      <pivotArea field="2" type="button" dataOnly="0" labelOnly="1" outline="0" axis="axisRow" fieldPosition="0"/>
    </format>
    <format dxfId="47">
      <pivotArea dataOnly="0" labelOnly="1" fieldPosition="0">
        <references count="1">
          <reference field="2" count="0"/>
        </references>
      </pivotArea>
    </format>
    <format dxfId="46">
      <pivotArea dataOnly="0" labelOnly="1" grandRow="1" outline="0" fieldPosition="0"/>
    </format>
    <format dxfId="45">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14" format="9" series="1">
      <pivotArea type="data" outline="0" fieldPosition="0">
        <references count="1">
          <reference field="4294967294" count="1" selected="0">
            <x v="0"/>
          </reference>
        </references>
      </pivotArea>
    </chartFormat>
    <chartFormat chart="14" format="10">
      <pivotArea type="data" outline="0" fieldPosition="0">
        <references count="2">
          <reference field="4294967294" count="1" selected="0">
            <x v="0"/>
          </reference>
          <reference field="2" count="1" selected="0">
            <x v="0"/>
          </reference>
        </references>
      </pivotArea>
    </chartFormat>
    <chartFormat chart="14" format="1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8DCA8F-A8D6-5644-9281-FFA296D781F1}"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rowHeaderCaption="Income Level">
  <location ref="H8:I10" firstHeaderRow="1" firstDataRow="1" firstDataCol="1"/>
  <pivotFields count="10">
    <pivotField showAll="0"/>
    <pivotField numFmtId="1" showAll="0"/>
    <pivotField showAll="0">
      <items count="3">
        <item x="0"/>
        <item x="1"/>
        <item t="default"/>
      </items>
    </pivotField>
    <pivotField axis="axisRow" showAll="0">
      <items count="3">
        <item x="1"/>
        <item x="0"/>
        <item t="default"/>
      </items>
    </pivotField>
    <pivotField showAll="0"/>
    <pivotField showAll="0"/>
    <pivotField dataField="1" numFmtId="42" showAll="0">
      <items count="990">
        <item x="242"/>
        <item x="585"/>
        <item x="380"/>
        <item x="47"/>
        <item x="610"/>
        <item x="947"/>
        <item x="858"/>
        <item x="35"/>
        <item x="824"/>
        <item x="720"/>
        <item x="212"/>
        <item x="338"/>
        <item x="265"/>
        <item x="41"/>
        <item x="179"/>
        <item x="853"/>
        <item x="656"/>
        <item x="718"/>
        <item x="21"/>
        <item x="227"/>
        <item x="786"/>
        <item x="181"/>
        <item x="882"/>
        <item x="479"/>
        <item x="543"/>
        <item x="125"/>
        <item x="14"/>
        <item x="792"/>
        <item x="721"/>
        <item x="755"/>
        <item x="12"/>
        <item x="429"/>
        <item x="621"/>
        <item x="369"/>
        <item x="538"/>
        <item x="317"/>
        <item x="506"/>
        <item x="391"/>
        <item x="209"/>
        <item x="902"/>
        <item x="418"/>
        <item x="368"/>
        <item x="480"/>
        <item x="235"/>
        <item x="272"/>
        <item x="434"/>
        <item x="332"/>
        <item x="985"/>
        <item x="709"/>
        <item x="738"/>
        <item x="177"/>
        <item x="954"/>
        <item x="377"/>
        <item x="194"/>
        <item x="450"/>
        <item x="467"/>
        <item x="277"/>
        <item x="257"/>
        <item x="865"/>
        <item x="420"/>
        <item x="861"/>
        <item x="515"/>
        <item x="45"/>
        <item x="348"/>
        <item x="134"/>
        <item x="155"/>
        <item x="953"/>
        <item x="784"/>
        <item x="411"/>
        <item x="698"/>
        <item x="81"/>
        <item x="171"/>
        <item x="655"/>
        <item x="587"/>
        <item x="13"/>
        <item x="210"/>
        <item x="918"/>
        <item x="693"/>
        <item x="651"/>
        <item x="27"/>
        <item x="706"/>
        <item x="951"/>
        <item x="847"/>
        <item x="852"/>
        <item x="622"/>
        <item x="726"/>
        <item x="650"/>
        <item x="753"/>
        <item x="615"/>
        <item x="736"/>
        <item x="440"/>
        <item x="135"/>
        <item x="453"/>
        <item x="872"/>
        <item x="85"/>
        <item x="499"/>
        <item x="402"/>
        <item x="617"/>
        <item x="525"/>
        <item x="799"/>
        <item x="405"/>
        <item x="162"/>
        <item x="981"/>
        <item x="869"/>
        <item x="389"/>
        <item x="580"/>
        <item x="253"/>
        <item x="782"/>
        <item x="427"/>
        <item x="417"/>
        <item x="890"/>
        <item x="956"/>
        <item x="600"/>
        <item x="214"/>
        <item x="199"/>
        <item x="133"/>
        <item x="648"/>
        <item x="187"/>
        <item x="3"/>
        <item x="175"/>
        <item x="157"/>
        <item x="633"/>
        <item x="608"/>
        <item x="185"/>
        <item x="234"/>
        <item x="802"/>
        <item x="330"/>
        <item x="930"/>
        <item x="884"/>
        <item x="555"/>
        <item x="817"/>
        <item x="987"/>
        <item x="619"/>
        <item x="838"/>
        <item x="371"/>
        <item x="649"/>
        <item x="441"/>
        <item x="91"/>
        <item x="15"/>
        <item x="727"/>
        <item x="549"/>
        <item x="44"/>
        <item x="51"/>
        <item x="252"/>
        <item x="75"/>
        <item x="86"/>
        <item x="223"/>
        <item x="168"/>
        <item x="335"/>
        <item x="711"/>
        <item x="267"/>
        <item x="82"/>
        <item x="548"/>
        <item x="541"/>
        <item x="624"/>
        <item x="261"/>
        <item x="545"/>
        <item x="959"/>
        <item x="857"/>
        <item x="683"/>
        <item x="180"/>
        <item x="629"/>
        <item x="83"/>
        <item x="361"/>
        <item x="382"/>
        <item x="699"/>
        <item x="770"/>
        <item x="448"/>
        <item x="259"/>
        <item x="533"/>
        <item x="154"/>
        <item x="732"/>
        <item x="652"/>
        <item x="315"/>
        <item x="507"/>
        <item x="716"/>
        <item x="149"/>
        <item x="424"/>
        <item x="493"/>
        <item x="167"/>
        <item x="877"/>
        <item x="221"/>
        <item x="879"/>
        <item x="688"/>
        <item x="588"/>
        <item x="464"/>
        <item x="243"/>
        <item x="661"/>
        <item x="638"/>
        <item x="763"/>
        <item x="435"/>
        <item x="814"/>
        <item x="28"/>
        <item x="776"/>
        <item x="87"/>
        <item x="25"/>
        <item x="928"/>
        <item x="783"/>
        <item x="164"/>
        <item x="345"/>
        <item x="641"/>
        <item x="34"/>
        <item x="207"/>
        <item x="264"/>
        <item x="159"/>
        <item x="828"/>
        <item x="504"/>
        <item x="963"/>
        <item x="224"/>
        <item x="564"/>
        <item x="505"/>
        <item x="188"/>
        <item x="713"/>
        <item x="581"/>
        <item x="201"/>
        <item x="643"/>
        <item x="293"/>
        <item x="141"/>
        <item x="372"/>
        <item x="705"/>
        <item x="979"/>
        <item x="283"/>
        <item x="767"/>
        <item x="198"/>
        <item x="829"/>
        <item x="532"/>
        <item x="602"/>
        <item x="701"/>
        <item x="535"/>
        <item x="752"/>
        <item x="668"/>
        <item x="892"/>
        <item x="254"/>
        <item x="365"/>
        <item x="297"/>
        <item x="714"/>
        <item x="387"/>
        <item x="575"/>
        <item x="366"/>
        <item x="977"/>
        <item x="586"/>
        <item x="845"/>
        <item x="801"/>
        <item x="100"/>
        <item x="206"/>
        <item x="888"/>
        <item x="281"/>
        <item x="687"/>
        <item x="894"/>
        <item x="476"/>
        <item x="579"/>
        <item x="114"/>
        <item x="598"/>
        <item x="113"/>
        <item x="562"/>
        <item x="556"/>
        <item x="107"/>
        <item x="104"/>
        <item x="321"/>
        <item x="136"/>
        <item x="616"/>
        <item x="226"/>
        <item x="59"/>
        <item x="684"/>
        <item x="526"/>
        <item x="573"/>
        <item x="889"/>
        <item x="53"/>
        <item x="863"/>
        <item x="258"/>
        <item x="518"/>
        <item x="316"/>
        <item x="472"/>
        <item x="830"/>
        <item x="56"/>
        <item x="195"/>
        <item x="442"/>
        <item x="933"/>
        <item x="832"/>
        <item x="497"/>
        <item x="469"/>
        <item x="708"/>
        <item x="102"/>
        <item x="93"/>
        <item x="733"/>
        <item x="347"/>
        <item x="414"/>
        <item x="723"/>
        <item x="975"/>
        <item x="826"/>
        <item x="917"/>
        <item x="728"/>
        <item x="470"/>
        <item x="307"/>
        <item x="228"/>
        <item x="360"/>
        <item x="342"/>
        <item x="337"/>
        <item x="129"/>
        <item x="856"/>
        <item x="276"/>
        <item x="490"/>
        <item x="851"/>
        <item x="626"/>
        <item x="772"/>
        <item x="238"/>
        <item x="883"/>
        <item x="927"/>
        <item x="454"/>
        <item x="601"/>
        <item x="200"/>
        <item x="750"/>
        <item x="145"/>
        <item x="806"/>
        <item x="397"/>
        <item x="89"/>
        <item x="508"/>
        <item x="771"/>
        <item x="836"/>
        <item x="674"/>
        <item x="165"/>
        <item x="436"/>
        <item x="72"/>
        <item x="940"/>
        <item x="653"/>
        <item x="846"/>
        <item x="398"/>
        <item x="343"/>
        <item x="577"/>
        <item x="273"/>
        <item x="475"/>
        <item x="866"/>
        <item x="260"/>
        <item x="522"/>
        <item x="8"/>
        <item x="935"/>
        <item x="239"/>
        <item x="914"/>
        <item x="303"/>
        <item x="895"/>
        <item x="805"/>
        <item x="170"/>
        <item x="118"/>
        <item x="980"/>
        <item x="849"/>
        <item x="740"/>
        <item x="333"/>
        <item x="962"/>
        <item x="314"/>
        <item x="503"/>
        <item x="561"/>
        <item x="974"/>
        <item x="582"/>
        <item x="599"/>
        <item x="197"/>
        <item x="681"/>
        <item x="474"/>
        <item x="595"/>
        <item x="95"/>
        <item x="969"/>
        <item x="4"/>
        <item x="246"/>
        <item x="456"/>
        <item x="443"/>
        <item x="715"/>
        <item x="78"/>
        <item x="278"/>
        <item x="754"/>
        <item x="785"/>
        <item x="341"/>
        <item x="84"/>
        <item x="399"/>
        <item x="860"/>
        <item x="822"/>
        <item x="631"/>
        <item x="530"/>
        <item x="7"/>
        <item x="596"/>
        <item x="762"/>
        <item x="502"/>
        <item x="768"/>
        <item x="230"/>
        <item x="905"/>
        <item x="1"/>
        <item x="632"/>
        <item x="376"/>
        <item x="66"/>
        <item x="495"/>
        <item x="730"/>
        <item x="182"/>
        <item x="745"/>
        <item x="823"/>
        <item x="126"/>
        <item x="761"/>
        <item x="627"/>
        <item x="150"/>
        <item x="48"/>
        <item x="205"/>
        <item x="458"/>
        <item x="191"/>
        <item x="304"/>
        <item x="779"/>
        <item x="800"/>
        <item x="760"/>
        <item x="215"/>
        <item x="512"/>
        <item x="430"/>
        <item x="891"/>
        <item x="672"/>
        <item x="455"/>
        <item x="357"/>
        <item x="137"/>
        <item x="887"/>
        <item x="320"/>
        <item x="899"/>
        <item x="521"/>
        <item x="17"/>
        <item x="690"/>
        <item x="383"/>
        <item x="660"/>
        <item x="11"/>
        <item x="603"/>
        <item x="298"/>
        <item x="57"/>
        <item x="299"/>
        <item x="955"/>
        <item x="566"/>
        <item x="326"/>
        <item x="774"/>
        <item x="925"/>
        <item x="571"/>
        <item x="964"/>
        <item x="867"/>
        <item x="251"/>
        <item x="138"/>
        <item x="385"/>
        <item x="827"/>
        <item x="781"/>
        <item x="457"/>
        <item x="492"/>
        <item x="834"/>
        <item x="241"/>
        <item x="109"/>
        <item x="777"/>
        <item x="166"/>
        <item x="790"/>
        <item x="567"/>
        <item x="282"/>
        <item x="696"/>
        <item x="112"/>
        <item x="274"/>
        <item x="912"/>
        <item x="965"/>
        <item x="393"/>
        <item x="870"/>
        <item x="821"/>
        <item x="24"/>
        <item x="885"/>
        <item x="120"/>
        <item x="937"/>
        <item x="520"/>
        <item x="217"/>
        <item x="419"/>
        <item x="292"/>
        <item x="657"/>
        <item x="172"/>
        <item x="42"/>
        <item x="117"/>
        <item x="694"/>
        <item x="123"/>
        <item x="916"/>
        <item x="915"/>
        <item x="646"/>
        <item x="308"/>
        <item x="404"/>
        <item x="37"/>
        <item x="240"/>
        <item x="922"/>
        <item x="881"/>
        <item x="381"/>
        <item x="378"/>
        <item x="344"/>
        <item x="944"/>
        <item x="349"/>
        <item x="169"/>
        <item x="208"/>
        <item x="116"/>
        <item x="517"/>
        <item x="98"/>
        <item x="358"/>
        <item x="350"/>
        <item x="559"/>
        <item x="513"/>
        <item x="746"/>
        <item x="219"/>
        <item x="957"/>
        <item x="189"/>
        <item x="237"/>
        <item x="569"/>
        <item x="211"/>
        <item x="906"/>
        <item x="628"/>
        <item x="222"/>
        <item x="451"/>
        <item x="481"/>
        <item x="178"/>
        <item x="327"/>
        <item x="794"/>
        <item x="731"/>
        <item x="32"/>
        <item x="751"/>
        <item x="340"/>
        <item x="795"/>
        <item x="609"/>
        <item x="64"/>
        <item x="578"/>
        <item x="637"/>
        <item x="554"/>
        <item x="396"/>
        <item x="864"/>
        <item x="900"/>
        <item x="255"/>
        <item x="392"/>
        <item x="848"/>
        <item x="231"/>
        <item x="174"/>
        <item x="913"/>
        <item x="607"/>
        <item x="43"/>
        <item x="613"/>
        <item x="855"/>
        <item x="686"/>
        <item x="724"/>
        <item x="202"/>
        <item x="843"/>
        <item x="931"/>
        <item x="536"/>
        <item x="286"/>
        <item x="808"/>
        <item x="296"/>
        <item x="323"/>
        <item x="74"/>
        <item x="142"/>
        <item x="926"/>
        <item x="654"/>
        <item x="527"/>
        <item x="52"/>
        <item x="589"/>
        <item x="949"/>
        <item x="592"/>
        <item x="620"/>
        <item x="192"/>
        <item x="425"/>
        <item x="295"/>
        <item x="300"/>
        <item x="748"/>
        <item x="364"/>
        <item x="967"/>
        <item x="775"/>
        <item x="363"/>
        <item x="788"/>
        <item x="122"/>
        <item x="203"/>
        <item x="268"/>
        <item x="695"/>
        <item x="604"/>
        <item x="152"/>
        <item x="700"/>
        <item x="153"/>
        <item x="978"/>
        <item x="862"/>
        <item x="140"/>
        <item x="971"/>
        <item x="948"/>
        <item x="58"/>
        <item x="550"/>
        <item x="612"/>
        <item x="294"/>
        <item x="367"/>
        <item x="594"/>
        <item x="758"/>
        <item x="896"/>
        <item x="749"/>
        <item x="958"/>
        <item x="431"/>
        <item x="590"/>
        <item x="710"/>
        <item x="248"/>
        <item x="868"/>
        <item x="630"/>
        <item x="819"/>
        <item x="449"/>
        <item x="213"/>
        <item x="270"/>
        <item x="929"/>
        <item x="574"/>
        <item x="576"/>
        <item x="444"/>
        <item x="310"/>
        <item x="908"/>
        <item x="132"/>
        <item x="460"/>
        <item x="432"/>
        <item x="115"/>
        <item x="70"/>
        <item x="40"/>
        <item x="742"/>
        <item x="897"/>
        <item x="186"/>
        <item x="833"/>
        <item x="356"/>
        <item x="697"/>
        <item x="390"/>
        <item x="466"/>
        <item x="65"/>
        <item x="911"/>
        <item x="220"/>
        <item x="312"/>
        <item x="0"/>
        <item x="351"/>
        <item x="461"/>
        <item x="306"/>
        <item x="128"/>
        <item x="439"/>
        <item x="938"/>
        <item x="941"/>
        <item x="939"/>
        <item x="658"/>
        <item x="804"/>
        <item x="36"/>
        <item x="663"/>
        <item x="375"/>
        <item x="514"/>
        <item x="269"/>
        <item x="459"/>
        <item x="494"/>
        <item x="675"/>
        <item x="318"/>
        <item x="968"/>
        <item x="148"/>
        <item x="445"/>
        <item x="151"/>
        <item x="370"/>
        <item x="329"/>
        <item x="907"/>
        <item x="529"/>
        <item x="791"/>
        <item x="285"/>
        <item x="105"/>
        <item x="606"/>
        <item x="284"/>
        <item x="328"/>
        <item x="61"/>
        <item x="161"/>
        <item x="741"/>
        <item x="311"/>
        <item x="818"/>
        <item x="324"/>
        <item x="815"/>
        <item x="190"/>
        <item x="39"/>
        <item x="236"/>
        <item x="30"/>
        <item x="77"/>
        <item x="835"/>
        <item x="256"/>
        <item x="305"/>
        <item x="667"/>
        <item x="16"/>
        <item x="950"/>
        <item x="537"/>
        <item x="482"/>
        <item x="400"/>
        <item x="972"/>
        <item x="302"/>
        <item x="163"/>
        <item x="353"/>
        <item x="483"/>
        <item x="673"/>
        <item x="946"/>
        <item x="558"/>
        <item x="60"/>
        <item x="976"/>
        <item x="747"/>
        <item x="787"/>
        <item x="789"/>
        <item x="904"/>
        <item x="563"/>
        <item x="110"/>
        <item x="488"/>
        <item x="664"/>
        <item x="478"/>
        <item x="462"/>
        <item x="92"/>
        <item x="401"/>
        <item x="759"/>
        <item x="301"/>
        <item x="69"/>
        <item x="647"/>
        <item x="176"/>
        <item x="810"/>
        <item x="422"/>
        <item x="605"/>
        <item x="534"/>
        <item x="247"/>
        <item x="854"/>
        <item x="144"/>
        <item x="22"/>
        <item x="38"/>
        <item x="839"/>
        <item x="560"/>
        <item x="275"/>
        <item x="952"/>
        <item x="229"/>
        <item x="249"/>
        <item x="354"/>
        <item x="76"/>
        <item x="484"/>
        <item x="725"/>
        <item x="679"/>
        <item x="90"/>
        <item x="106"/>
        <item x="319"/>
        <item x="988"/>
        <item x="97"/>
        <item x="593"/>
        <item x="49"/>
        <item x="639"/>
        <item x="970"/>
        <item x="80"/>
        <item x="680"/>
        <item x="29"/>
        <item x="216"/>
        <item x="919"/>
        <item x="551"/>
        <item x="245"/>
        <item x="423"/>
        <item x="825"/>
        <item x="685"/>
        <item x="584"/>
        <item x="618"/>
        <item x="542"/>
        <item x="809"/>
        <item x="10"/>
        <item x="428"/>
        <item x="523"/>
        <item x="386"/>
        <item x="68"/>
        <item x="910"/>
        <item x="46"/>
        <item x="961"/>
        <item x="156"/>
        <item x="572"/>
        <item x="547"/>
        <item x="124"/>
        <item x="325"/>
        <item x="250"/>
        <item x="143"/>
        <item x="691"/>
        <item x="62"/>
        <item x="546"/>
        <item x="491"/>
        <item x="426"/>
        <item x="121"/>
        <item x="719"/>
        <item x="798"/>
        <item x="831"/>
        <item x="79"/>
        <item x="803"/>
        <item x="744"/>
        <item x="850"/>
        <item x="477"/>
        <item x="920"/>
        <item x="465"/>
        <item x="662"/>
        <item x="409"/>
        <item x="510"/>
        <item x="528"/>
        <item x="644"/>
        <item x="611"/>
        <item x="813"/>
        <item x="290"/>
        <item x="119"/>
        <item x="233"/>
        <item x="682"/>
        <item x="173"/>
        <item x="743"/>
        <item x="416"/>
        <item x="583"/>
        <item x="623"/>
        <item x="924"/>
        <item x="796"/>
        <item x="160"/>
        <item x="232"/>
        <item x="379"/>
        <item x="67"/>
        <item x="735"/>
        <item x="764"/>
        <item x="614"/>
        <item x="263"/>
        <item x="9"/>
        <item x="336"/>
        <item x="539"/>
        <item x="645"/>
        <item x="820"/>
        <item x="96"/>
        <item x="923"/>
        <item x="737"/>
        <item x="557"/>
        <item x="218"/>
        <item x="50"/>
        <item x="597"/>
        <item x="146"/>
        <item x="71"/>
        <item x="707"/>
        <item x="516"/>
        <item x="406"/>
        <item x="473"/>
        <item x="158"/>
        <item x="2"/>
        <item x="634"/>
        <item x="487"/>
        <item x="131"/>
        <item x="55"/>
        <item x="339"/>
        <item x="671"/>
        <item x="692"/>
        <item x="874"/>
        <item x="421"/>
        <item x="500"/>
        <item x="966"/>
        <item x="204"/>
        <item x="509"/>
        <item x="678"/>
        <item x="31"/>
        <item x="665"/>
        <item x="552"/>
        <item x="501"/>
        <item x="485"/>
        <item x="886"/>
        <item x="880"/>
        <item x="903"/>
        <item x="769"/>
        <item x="568"/>
        <item x="739"/>
        <item x="266"/>
        <item x="909"/>
        <item x="511"/>
        <item x="625"/>
        <item x="388"/>
        <item x="88"/>
        <item x="139"/>
        <item x="642"/>
        <item x="183"/>
        <item x="816"/>
        <item x="346"/>
        <item x="410"/>
        <item x="130"/>
        <item x="524"/>
        <item x="936"/>
        <item x="288"/>
        <item x="519"/>
        <item x="99"/>
        <item x="531"/>
        <item x="570"/>
        <item x="636"/>
        <item x="407"/>
        <item x="859"/>
        <item x="446"/>
        <item x="496"/>
        <item x="640"/>
        <item x="291"/>
        <item x="54"/>
        <item x="757"/>
        <item x="565"/>
        <item x="468"/>
        <item x="780"/>
        <item x="103"/>
        <item x="986"/>
        <item x="334"/>
        <item x="669"/>
        <item x="33"/>
        <item x="18"/>
        <item x="73"/>
        <item x="309"/>
        <item x="982"/>
        <item x="943"/>
        <item x="322"/>
        <item x="898"/>
        <item x="289"/>
        <item x="413"/>
        <item x="486"/>
        <item x="244"/>
        <item x="765"/>
        <item x="807"/>
        <item x="945"/>
        <item x="23"/>
        <item x="94"/>
        <item x="840"/>
        <item x="374"/>
        <item x="395"/>
        <item x="793"/>
        <item x="811"/>
        <item x="355"/>
        <item x="756"/>
        <item x="934"/>
        <item x="20"/>
        <item x="447"/>
        <item x="984"/>
        <item x="544"/>
        <item x="702"/>
        <item x="729"/>
        <item x="403"/>
        <item x="778"/>
        <item x="279"/>
        <item x="196"/>
        <item x="108"/>
        <item x="983"/>
        <item x="689"/>
        <item x="127"/>
        <item x="313"/>
        <item x="875"/>
        <item x="722"/>
        <item x="438"/>
        <item x="812"/>
        <item x="271"/>
        <item x="635"/>
        <item x="193"/>
        <item x="878"/>
        <item x="437"/>
        <item x="837"/>
        <item x="873"/>
        <item x="352"/>
        <item x="63"/>
        <item x="433"/>
        <item x="280"/>
        <item x="797"/>
        <item x="960"/>
        <item x="591"/>
        <item x="717"/>
        <item x="871"/>
        <item x="452"/>
        <item x="973"/>
        <item x="394"/>
        <item x="184"/>
        <item x="463"/>
        <item x="225"/>
        <item x="677"/>
        <item x="734"/>
        <item x="262"/>
        <item x="331"/>
        <item x="901"/>
        <item x="111"/>
        <item x="773"/>
        <item x="932"/>
        <item x="670"/>
        <item x="6"/>
        <item x="489"/>
        <item x="5"/>
        <item x="766"/>
        <item x="26"/>
        <item x="553"/>
        <item x="362"/>
        <item x="893"/>
        <item x="676"/>
        <item x="942"/>
        <item x="408"/>
        <item x="384"/>
        <item x="373"/>
        <item x="19"/>
        <item x="704"/>
        <item x="498"/>
        <item x="412"/>
        <item x="540"/>
        <item x="415"/>
        <item x="712"/>
        <item x="842"/>
        <item x="101"/>
        <item x="287"/>
        <item x="844"/>
        <item x="659"/>
        <item x="876"/>
        <item x="666"/>
        <item x="147"/>
        <item x="841"/>
        <item x="921"/>
        <item x="471"/>
        <item x="703"/>
        <item x="359"/>
        <item t="default"/>
      </items>
    </pivotField>
    <pivotField numFmtId="1" showAll="0"/>
    <pivotField showAll="0">
      <items count="5">
        <item x="3"/>
        <item x="2"/>
        <item x="1"/>
        <item x="0"/>
        <item t="default"/>
      </items>
    </pivotField>
    <pivotField showAll="0"/>
  </pivotFields>
  <rowFields count="1">
    <field x="3"/>
  </rowFields>
  <rowItems count="2">
    <i>
      <x/>
    </i>
    <i>
      <x v="1"/>
    </i>
  </rowItems>
  <colItems count="1">
    <i/>
  </colItems>
  <dataFields count="1">
    <dataField name="Sum of Purchase_Amount (Rp)" fld="6" baseField="0" baseItem="0" numFmtId="3"/>
  </dataFields>
  <formats count="12">
    <format dxfId="66">
      <pivotArea outline="0" collapsedLevelsAreSubtotals="1" fieldPosition="0"/>
    </format>
    <format dxfId="65">
      <pivotArea dataOnly="0" labelOnly="1" outline="0" axis="axisValues" fieldPosition="0"/>
    </format>
    <format dxfId="64">
      <pivotArea field="3" type="button" dataOnly="0" labelOnly="1" outline="0" axis="axisRow" fieldPosition="0"/>
    </format>
    <format dxfId="63">
      <pivotArea dataOnly="0" labelOnly="1" fieldPosition="0">
        <references count="1">
          <reference field="3" count="0"/>
        </references>
      </pivotArea>
    </format>
    <format dxfId="62">
      <pivotArea dataOnly="0" labelOnly="1" grandRow="1" outline="0" fieldPosition="0"/>
    </format>
    <format dxfId="61">
      <pivotArea outline="0" collapsedLevelsAreSubtotals="1" fieldPosition="0"/>
    </format>
    <format dxfId="60">
      <pivotArea type="all" dataOnly="0" outline="0" fieldPosition="0"/>
    </format>
    <format dxfId="59">
      <pivotArea outline="0" collapsedLevelsAreSubtotals="1" fieldPosition="0"/>
    </format>
    <format dxfId="58">
      <pivotArea field="3" type="button" dataOnly="0" labelOnly="1" outline="0" axis="axisRow" fieldPosition="0"/>
    </format>
    <format dxfId="57">
      <pivotArea dataOnly="0" labelOnly="1" fieldPosition="0">
        <references count="1">
          <reference field="3" count="0"/>
        </references>
      </pivotArea>
    </format>
    <format dxfId="56">
      <pivotArea dataOnly="0" labelOnly="1" grandRow="1" outline="0" fieldPosition="0"/>
    </format>
    <format dxfId="55">
      <pivotArea dataOnly="0" labelOnly="1" outline="0" axis="axisValues" fieldPosition="0"/>
    </format>
  </formats>
  <chartFormats count="3">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3" count="1" selected="0">
            <x v="1"/>
          </reference>
        </references>
      </pivotArea>
    </chartFormat>
    <chartFormat chart="4" format="4">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7BB97EC-D8F6-6A4F-A751-0F42D90DA433}" sourceName="Gender">
  <pivotTables>
    <pivotTable tabId="3" name="PivotTable2"/>
    <pivotTable tabId="3" name="PivotTable1"/>
    <pivotTable tabId="3" name="PivotTable3"/>
    <pivotTable tabId="3" name="PivotTable4"/>
    <pivotTable tabId="3" name="PivotTable5"/>
    <pivotTable tabId="3" name="PivotTable6"/>
  </pivotTables>
  <data>
    <tabular pivotCacheId="162088333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Level" xr10:uid="{B84851ED-3564-D244-9D3B-0EE0C23B7B7C}" sourceName="Income_Level">
  <pivotTables>
    <pivotTable tabId="3" name="PivotTable4"/>
    <pivotTable tabId="3" name="PivotTable1"/>
    <pivotTable tabId="3" name="PivotTable2"/>
    <pivotTable tabId="3" name="PivotTable3"/>
    <pivotTable tabId="3" name="PivotTable5"/>
    <pivotTable tabId="3" name="PivotTable6"/>
  </pivotTables>
  <data>
    <tabular pivotCacheId="1620883338">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cial_Media_Influence" xr10:uid="{79961A19-4B98-A743-A687-F98BF30D9747}" sourceName="Social_Media_Influence">
  <pivotTables>
    <pivotTable tabId="3" name="PivotTable3"/>
    <pivotTable tabId="3" name="PivotTable1"/>
    <pivotTable tabId="3" name="PivotTable2"/>
    <pivotTable tabId="3" name="PivotTable4"/>
    <pivotTable tabId="3" name="PivotTable5"/>
    <pivotTable tabId="3" name="PivotTable6"/>
  </pivotTables>
  <data>
    <tabular pivotCacheId="1620883338">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640E8BE-03BB-1B41-B7BB-D67E752A4720}" cache="Slicer_Gender" caption="Gender" style="SlicerStyleLight4" rowHeight="209550"/>
  <slicer name="Income_Level" xr10:uid="{54517932-D20C-1145-AB2E-C4565A7D6B06}" cache="Slicer_Income_Level" caption="Income_Level" style="SlicerStyleLight4" rowHeight="209550"/>
  <slicer name="Social_Media_Influence" xr10:uid="{9B296F89-DD8D-EB40-9FA1-1AC69986517E}" cache="Slicer_Social_Media_Influence" caption="Social_Media_Influence" style="SlicerStyleLight4"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7CA66-8178-3F4A-A0ED-898CBBDEF569}">
  <dimension ref="A1:J1005"/>
  <sheetViews>
    <sheetView workbookViewId="0">
      <selection activeCell="D44" sqref="D44"/>
    </sheetView>
  </sheetViews>
  <sheetFormatPr baseColWidth="10" defaultRowHeight="13"/>
  <cols>
    <col min="1" max="1" width="11.6640625" bestFit="1" customWidth="1"/>
    <col min="2" max="2" width="8.33203125" customWidth="1"/>
    <col min="3" max="3" width="7.1640625" bestFit="1" customWidth="1"/>
    <col min="4" max="4" width="12.6640625" bestFit="1" customWidth="1"/>
    <col min="6" max="6" width="18.5" bestFit="1" customWidth="1"/>
    <col min="7" max="7" width="20" bestFit="1" customWidth="1"/>
    <col min="8" max="8" width="21.5" bestFit="1" customWidth="1"/>
    <col min="9" max="9" width="20.83203125" bestFit="1" customWidth="1"/>
    <col min="10" max="10" width="13.5" bestFit="1" customWidth="1"/>
  </cols>
  <sheetData>
    <row r="1" spans="1:10">
      <c r="A1" s="23" t="s">
        <v>19</v>
      </c>
      <c r="B1" s="23" t="s">
        <v>20</v>
      </c>
      <c r="C1" s="23" t="s">
        <v>21</v>
      </c>
      <c r="D1" s="23" t="s">
        <v>22</v>
      </c>
      <c r="E1" s="24" t="s">
        <v>23</v>
      </c>
      <c r="F1" s="23" t="s">
        <v>24</v>
      </c>
      <c r="G1" s="25" t="s">
        <v>25</v>
      </c>
      <c r="H1" s="23" t="s">
        <v>26</v>
      </c>
      <c r="I1" s="23" t="s">
        <v>27</v>
      </c>
      <c r="J1" s="23" t="s">
        <v>28</v>
      </c>
    </row>
    <row r="2" spans="1:10">
      <c r="A2" s="26" t="s">
        <v>52</v>
      </c>
      <c r="B2" s="26">
        <v>22</v>
      </c>
      <c r="C2" s="26" t="s">
        <v>53</v>
      </c>
      <c r="D2" s="26" t="s">
        <v>54</v>
      </c>
      <c r="E2" s="27" t="s">
        <v>55</v>
      </c>
      <c r="F2" s="26" t="s">
        <v>56</v>
      </c>
      <c r="G2" s="28">
        <v>5173900</v>
      </c>
      <c r="H2" s="26">
        <v>4</v>
      </c>
      <c r="I2" s="26" t="s">
        <v>57</v>
      </c>
      <c r="J2" s="26" t="b">
        <v>1</v>
      </c>
    </row>
    <row r="3" spans="1:10">
      <c r="A3" s="26" t="s">
        <v>58</v>
      </c>
      <c r="B3" s="26">
        <v>49</v>
      </c>
      <c r="C3" s="26" t="s">
        <v>59</v>
      </c>
      <c r="D3" s="26" t="s">
        <v>60</v>
      </c>
      <c r="E3" s="27" t="s">
        <v>61</v>
      </c>
      <c r="F3" s="26" t="s">
        <v>62</v>
      </c>
      <c r="G3" s="28">
        <v>3444410</v>
      </c>
      <c r="H3" s="26">
        <v>11</v>
      </c>
      <c r="I3" s="26" t="s">
        <v>63</v>
      </c>
      <c r="J3" s="26" t="b">
        <v>1</v>
      </c>
    </row>
    <row r="4" spans="1:10">
      <c r="A4" s="26" t="s">
        <v>64</v>
      </c>
      <c r="B4" s="26">
        <v>24</v>
      </c>
      <c r="C4" s="26" t="s">
        <v>53</v>
      </c>
      <c r="D4" s="26" t="s">
        <v>54</v>
      </c>
      <c r="E4" s="27" t="s">
        <v>65</v>
      </c>
      <c r="F4" s="26" t="s">
        <v>66</v>
      </c>
      <c r="G4" s="28">
        <v>6606410</v>
      </c>
      <c r="H4" s="26">
        <v>2</v>
      </c>
      <c r="I4" s="26" t="s">
        <v>67</v>
      </c>
      <c r="J4" s="26" t="b">
        <v>1</v>
      </c>
    </row>
    <row r="5" spans="1:10">
      <c r="A5" s="26" t="s">
        <v>68</v>
      </c>
      <c r="B5" s="26">
        <v>29</v>
      </c>
      <c r="C5" s="26" t="s">
        <v>53</v>
      </c>
      <c r="D5" s="26" t="s">
        <v>54</v>
      </c>
      <c r="E5" s="27" t="s">
        <v>55</v>
      </c>
      <c r="F5" s="26" t="s">
        <v>69</v>
      </c>
      <c r="G5" s="28">
        <v>1570305</v>
      </c>
      <c r="H5" s="26">
        <v>6</v>
      </c>
      <c r="I5" s="26" t="s">
        <v>60</v>
      </c>
      <c r="J5" s="26" t="b">
        <v>1</v>
      </c>
    </row>
    <row r="6" spans="1:10">
      <c r="A6" s="26" t="s">
        <v>70</v>
      </c>
      <c r="B6" s="26">
        <v>33</v>
      </c>
      <c r="C6" s="26" t="s">
        <v>53</v>
      </c>
      <c r="D6" s="26" t="s">
        <v>54</v>
      </c>
      <c r="E6" s="27" t="s">
        <v>61</v>
      </c>
      <c r="F6" s="26" t="s">
        <v>71</v>
      </c>
      <c r="G6" s="28">
        <v>3281350</v>
      </c>
      <c r="H6" s="26">
        <v>6</v>
      </c>
      <c r="I6" s="26" t="s">
        <v>63</v>
      </c>
      <c r="J6" s="26" t="b">
        <v>0</v>
      </c>
    </row>
    <row r="7" spans="1:10">
      <c r="A7" s="26" t="s">
        <v>72</v>
      </c>
      <c r="B7" s="26">
        <v>45</v>
      </c>
      <c r="C7" s="26" t="s">
        <v>59</v>
      </c>
      <c r="D7" s="26" t="s">
        <v>54</v>
      </c>
      <c r="E7" s="27" t="s">
        <v>73</v>
      </c>
      <c r="F7" s="26" t="s">
        <v>66</v>
      </c>
      <c r="G7" s="28">
        <v>7563225</v>
      </c>
      <c r="H7" s="26">
        <v>8</v>
      </c>
      <c r="I7" s="26" t="s">
        <v>60</v>
      </c>
      <c r="J7" s="26" t="b">
        <v>0</v>
      </c>
    </row>
    <row r="8" spans="1:10">
      <c r="A8" s="26" t="s">
        <v>74</v>
      </c>
      <c r="B8" s="26">
        <v>21</v>
      </c>
      <c r="C8" s="26" t="s">
        <v>53</v>
      </c>
      <c r="D8" s="26" t="s">
        <v>54</v>
      </c>
      <c r="E8" s="27" t="s">
        <v>65</v>
      </c>
      <c r="F8" s="26" t="s">
        <v>71</v>
      </c>
      <c r="G8" s="28">
        <v>7539200</v>
      </c>
      <c r="H8" s="26"/>
      <c r="I8" s="26" t="s">
        <v>60</v>
      </c>
      <c r="J8" s="26" t="b">
        <v>1</v>
      </c>
    </row>
    <row r="9" spans="1:10">
      <c r="A9" s="26" t="s">
        <v>75</v>
      </c>
      <c r="B9" s="26">
        <v>39</v>
      </c>
      <c r="C9" s="26" t="s">
        <v>59</v>
      </c>
      <c r="D9" s="26" t="s">
        <v>54</v>
      </c>
      <c r="E9" s="27" t="s">
        <v>65</v>
      </c>
      <c r="F9" s="26" t="s">
        <v>76</v>
      </c>
      <c r="G9" s="28">
        <v>3379930</v>
      </c>
      <c r="H9" s="26">
        <v>6</v>
      </c>
      <c r="I9" s="26" t="s">
        <v>67</v>
      </c>
      <c r="J9" s="26" t="b">
        <v>0</v>
      </c>
    </row>
    <row r="10" spans="1:10">
      <c r="A10" s="26" t="s">
        <v>77</v>
      </c>
      <c r="B10" s="26">
        <v>24</v>
      </c>
      <c r="C10" s="26" t="s">
        <v>53</v>
      </c>
      <c r="D10" s="26" t="s">
        <v>60</v>
      </c>
      <c r="E10" s="27" t="s">
        <v>78</v>
      </c>
      <c r="F10" s="26" t="s">
        <v>66</v>
      </c>
      <c r="G10" s="28">
        <v>3130380</v>
      </c>
      <c r="H10" s="26">
        <v>8</v>
      </c>
      <c r="I10" s="26" t="s">
        <v>67</v>
      </c>
      <c r="J10" s="26" t="b">
        <v>0</v>
      </c>
    </row>
    <row r="11" spans="1:10">
      <c r="A11" s="26" t="s">
        <v>79</v>
      </c>
      <c r="B11" s="26">
        <v>25</v>
      </c>
      <c r="C11" s="26" t="s">
        <v>53</v>
      </c>
      <c r="D11" s="26" t="s">
        <v>60</v>
      </c>
      <c r="E11" s="27" t="s">
        <v>73</v>
      </c>
      <c r="F11" s="26" t="s">
        <v>80</v>
      </c>
      <c r="G11" s="28">
        <v>6491865</v>
      </c>
      <c r="H11" s="26">
        <v>7</v>
      </c>
      <c r="I11" s="26" t="s">
        <v>57</v>
      </c>
      <c r="J11" s="26" t="b">
        <v>1</v>
      </c>
    </row>
    <row r="12" spans="1:10">
      <c r="A12" s="26" t="s">
        <v>81</v>
      </c>
      <c r="B12" s="26">
        <v>33</v>
      </c>
      <c r="C12" s="26" t="s">
        <v>59</v>
      </c>
      <c r="D12" s="26" t="s">
        <v>54</v>
      </c>
      <c r="E12" s="27" t="s">
        <v>78</v>
      </c>
      <c r="F12" s="26" t="s">
        <v>82</v>
      </c>
      <c r="G12" s="28">
        <v>6040350</v>
      </c>
      <c r="H12" s="26">
        <v>12</v>
      </c>
      <c r="I12" s="26" t="s">
        <v>67</v>
      </c>
      <c r="J12" s="26" t="b">
        <v>1</v>
      </c>
    </row>
    <row r="13" spans="1:10">
      <c r="A13" s="26" t="s">
        <v>83</v>
      </c>
      <c r="B13" s="26">
        <v>38</v>
      </c>
      <c r="C13" s="26" t="s">
        <v>53</v>
      </c>
      <c r="D13" s="26" t="s">
        <v>60</v>
      </c>
      <c r="E13" s="27" t="s">
        <v>73</v>
      </c>
      <c r="F13" s="26" t="s">
        <v>80</v>
      </c>
      <c r="G13" s="28">
        <v>3703415</v>
      </c>
      <c r="H13" s="26">
        <v>5</v>
      </c>
      <c r="I13" s="26" t="s">
        <v>63</v>
      </c>
      <c r="J13" s="26" t="b">
        <v>1</v>
      </c>
    </row>
    <row r="14" spans="1:10">
      <c r="A14" s="26" t="s">
        <v>84</v>
      </c>
      <c r="B14" s="26">
        <v>34</v>
      </c>
      <c r="C14" s="26" t="s">
        <v>59</v>
      </c>
      <c r="D14" s="26" t="s">
        <v>54</v>
      </c>
      <c r="E14" s="27" t="s">
        <v>85</v>
      </c>
      <c r="F14" s="26" t="s">
        <v>86</v>
      </c>
      <c r="G14" s="28">
        <v>948910</v>
      </c>
      <c r="H14" s="26">
        <v>7</v>
      </c>
      <c r="I14" s="26" t="s">
        <v>67</v>
      </c>
      <c r="J14" s="26" t="b">
        <v>1</v>
      </c>
    </row>
    <row r="15" spans="1:10">
      <c r="A15" s="26" t="s">
        <v>84</v>
      </c>
      <c r="B15" s="26">
        <v>34</v>
      </c>
      <c r="C15" s="26" t="s">
        <v>59</v>
      </c>
      <c r="D15" s="26" t="s">
        <v>54</v>
      </c>
      <c r="E15" s="27" t="s">
        <v>85</v>
      </c>
      <c r="F15" s="26" t="s">
        <v>86</v>
      </c>
      <c r="G15" s="28">
        <v>948910</v>
      </c>
      <c r="H15" s="26">
        <v>7</v>
      </c>
      <c r="I15" s="26" t="s">
        <v>67</v>
      </c>
      <c r="J15" s="26" t="b">
        <v>1</v>
      </c>
    </row>
    <row r="16" spans="1:10">
      <c r="A16" s="26" t="s">
        <v>87</v>
      </c>
      <c r="B16" s="26">
        <v>32</v>
      </c>
      <c r="C16" s="26" t="s">
        <v>59</v>
      </c>
      <c r="D16" s="26" t="s">
        <v>60</v>
      </c>
      <c r="E16" s="27" t="s">
        <v>61</v>
      </c>
      <c r="F16" s="26" t="s">
        <v>88</v>
      </c>
      <c r="G16" s="28">
        <v>1237055</v>
      </c>
      <c r="H16" s="26">
        <v>4</v>
      </c>
      <c r="I16" s="26" t="s">
        <v>60</v>
      </c>
      <c r="J16" s="26" t="b">
        <v>0</v>
      </c>
    </row>
    <row r="17" spans="1:10">
      <c r="A17" s="26" t="s">
        <v>89</v>
      </c>
      <c r="B17" s="26">
        <v>30</v>
      </c>
      <c r="C17" s="26" t="s">
        <v>53</v>
      </c>
      <c r="D17" s="26" t="s">
        <v>60</v>
      </c>
      <c r="E17" s="27" t="s">
        <v>61</v>
      </c>
      <c r="F17" s="26" t="s">
        <v>90</v>
      </c>
      <c r="G17" s="28">
        <v>906905</v>
      </c>
      <c r="H17" s="26">
        <v>2</v>
      </c>
      <c r="I17" s="26" t="s">
        <v>57</v>
      </c>
      <c r="J17" s="26" t="b">
        <v>1</v>
      </c>
    </row>
    <row r="18" spans="1:10">
      <c r="A18" s="26" t="s">
        <v>91</v>
      </c>
      <c r="B18" s="26">
        <v>40</v>
      </c>
      <c r="C18" s="26" t="s">
        <v>59</v>
      </c>
      <c r="D18" s="26" t="s">
        <v>60</v>
      </c>
      <c r="E18" s="27" t="s">
        <v>78</v>
      </c>
      <c r="F18" s="26" t="s">
        <v>92</v>
      </c>
      <c r="G18" s="28">
        <v>1693995</v>
      </c>
      <c r="H18" s="26">
        <v>3</v>
      </c>
      <c r="I18" s="26" t="s">
        <v>63</v>
      </c>
      <c r="J18" s="26" t="b">
        <v>0</v>
      </c>
    </row>
    <row r="19" spans="1:10">
      <c r="A19" s="26" t="s">
        <v>93</v>
      </c>
      <c r="B19" s="26">
        <v>37</v>
      </c>
      <c r="C19" s="26" t="s">
        <v>59</v>
      </c>
      <c r="D19" s="26" t="s">
        <v>60</v>
      </c>
      <c r="E19" s="27" t="s">
        <v>65</v>
      </c>
      <c r="F19" s="26" t="s">
        <v>71</v>
      </c>
      <c r="G19" s="28">
        <v>5524975</v>
      </c>
      <c r="H19" s="26">
        <v>6</v>
      </c>
      <c r="I19" s="26" t="s">
        <v>67</v>
      </c>
      <c r="J19" s="26" t="b">
        <v>0</v>
      </c>
    </row>
    <row r="20" spans="1:10">
      <c r="A20" s="26" t="s">
        <v>94</v>
      </c>
      <c r="B20" s="26">
        <v>38</v>
      </c>
      <c r="C20" s="26" t="s">
        <v>53</v>
      </c>
      <c r="D20" s="26" t="s">
        <v>54</v>
      </c>
      <c r="E20" s="27" t="s">
        <v>73</v>
      </c>
      <c r="F20" s="26" t="s">
        <v>82</v>
      </c>
      <c r="G20" s="28">
        <v>3673345</v>
      </c>
      <c r="H20" s="26">
        <v>10</v>
      </c>
      <c r="I20" s="26" t="s">
        <v>60</v>
      </c>
      <c r="J20" s="26" t="b">
        <v>1</v>
      </c>
    </row>
    <row r="21" spans="1:10">
      <c r="A21" s="26" t="s">
        <v>95</v>
      </c>
      <c r="B21" s="26">
        <v>36</v>
      </c>
      <c r="C21" s="26" t="s">
        <v>59</v>
      </c>
      <c r="D21" s="26" t="s">
        <v>54</v>
      </c>
      <c r="E21" s="27" t="s">
        <v>65</v>
      </c>
      <c r="F21" s="26" t="s">
        <v>96</v>
      </c>
      <c r="G21" s="28">
        <v>7043045</v>
      </c>
      <c r="H21" s="26">
        <v>10</v>
      </c>
      <c r="I21" s="26" t="s">
        <v>63</v>
      </c>
      <c r="J21" s="26" t="b">
        <v>0</v>
      </c>
    </row>
    <row r="22" spans="1:10">
      <c r="A22" s="26" t="s">
        <v>97</v>
      </c>
      <c r="B22" s="26">
        <v>29</v>
      </c>
      <c r="C22" s="26" t="s">
        <v>53</v>
      </c>
      <c r="D22" s="26" t="s">
        <v>60</v>
      </c>
      <c r="E22" s="27" t="s">
        <v>55</v>
      </c>
      <c r="F22" s="26" t="s">
        <v>98</v>
      </c>
      <c r="G22" s="28">
        <v>7606625</v>
      </c>
      <c r="H22" s="26">
        <v>10</v>
      </c>
      <c r="I22" s="26" t="s">
        <v>57</v>
      </c>
      <c r="J22" s="26" t="b">
        <v>0</v>
      </c>
    </row>
    <row r="23" spans="1:10">
      <c r="A23" s="26" t="s">
        <v>99</v>
      </c>
      <c r="B23" s="26">
        <v>21</v>
      </c>
      <c r="C23" s="26" t="s">
        <v>53</v>
      </c>
      <c r="D23" s="26" t="s">
        <v>54</v>
      </c>
      <c r="E23" s="27" t="s">
        <v>73</v>
      </c>
      <c r="F23" s="26" t="s">
        <v>100</v>
      </c>
      <c r="G23" s="28">
        <v>7177585</v>
      </c>
      <c r="H23" s="26">
        <v>7</v>
      </c>
      <c r="I23" s="26" t="s">
        <v>57</v>
      </c>
      <c r="J23" s="26" t="b">
        <v>1</v>
      </c>
    </row>
    <row r="24" spans="1:10">
      <c r="A24" s="26" t="s">
        <v>101</v>
      </c>
      <c r="B24" s="26">
        <v>36</v>
      </c>
      <c r="C24" s="26" t="s">
        <v>53</v>
      </c>
      <c r="D24" s="26" t="s">
        <v>60</v>
      </c>
      <c r="E24" s="27" t="s">
        <v>65</v>
      </c>
      <c r="F24" s="26" t="s">
        <v>102</v>
      </c>
      <c r="G24" s="28">
        <v>879470</v>
      </c>
      <c r="H24" s="26">
        <v>5</v>
      </c>
      <c r="I24" s="26" t="s">
        <v>63</v>
      </c>
      <c r="J24" s="26" t="b">
        <v>1</v>
      </c>
    </row>
    <row r="25" spans="1:10">
      <c r="A25" s="26" t="s">
        <v>103</v>
      </c>
      <c r="B25" s="26">
        <v>38</v>
      </c>
      <c r="C25" s="26" t="s">
        <v>59</v>
      </c>
      <c r="D25" s="26" t="s">
        <v>60</v>
      </c>
      <c r="E25" s="27" t="s">
        <v>55</v>
      </c>
      <c r="F25" s="26" t="s">
        <v>104</v>
      </c>
      <c r="G25" s="28">
        <v>5755460</v>
      </c>
      <c r="H25" s="26">
        <v>7</v>
      </c>
      <c r="I25" s="26" t="s">
        <v>63</v>
      </c>
      <c r="J25" s="26" t="b">
        <v>1</v>
      </c>
    </row>
    <row r="26" spans="1:10">
      <c r="A26" s="26" t="s">
        <v>105</v>
      </c>
      <c r="B26" s="26">
        <v>37</v>
      </c>
      <c r="C26" s="26" t="s">
        <v>53</v>
      </c>
      <c r="D26" s="26" t="s">
        <v>54</v>
      </c>
      <c r="E26" s="27" t="s">
        <v>85</v>
      </c>
      <c r="F26" s="26" t="s">
        <v>100</v>
      </c>
      <c r="G26" s="28">
        <v>7145500</v>
      </c>
      <c r="H26" s="26">
        <v>7</v>
      </c>
      <c r="I26" s="26" t="s">
        <v>60</v>
      </c>
      <c r="J26" s="26" t="b">
        <v>0</v>
      </c>
    </row>
    <row r="27" spans="1:10">
      <c r="A27" s="26" t="s">
        <v>106</v>
      </c>
      <c r="B27" s="26">
        <v>33</v>
      </c>
      <c r="C27" s="26" t="s">
        <v>53</v>
      </c>
      <c r="D27" s="26" t="s">
        <v>60</v>
      </c>
      <c r="E27" s="27" t="s">
        <v>73</v>
      </c>
      <c r="F27" s="26" t="s">
        <v>62</v>
      </c>
      <c r="G27" s="28">
        <v>3927235</v>
      </c>
      <c r="H27" s="26">
        <v>6</v>
      </c>
      <c r="I27" s="26" t="s">
        <v>57</v>
      </c>
      <c r="J27" s="26" t="b">
        <v>1</v>
      </c>
    </row>
    <row r="28" spans="1:10">
      <c r="A28" s="26" t="s">
        <v>107</v>
      </c>
      <c r="B28" s="26">
        <v>37</v>
      </c>
      <c r="C28" s="26" t="s">
        <v>59</v>
      </c>
      <c r="D28" s="26" t="s">
        <v>60</v>
      </c>
      <c r="E28" s="27" t="s">
        <v>65</v>
      </c>
      <c r="F28" s="26" t="s">
        <v>96</v>
      </c>
      <c r="G28" s="28">
        <v>2116215</v>
      </c>
      <c r="H28" s="26">
        <v>3</v>
      </c>
      <c r="I28" s="26" t="s">
        <v>60</v>
      </c>
      <c r="J28" s="26" t="b">
        <v>1</v>
      </c>
    </row>
    <row r="29" spans="1:10">
      <c r="A29" s="26" t="s">
        <v>108</v>
      </c>
      <c r="B29" s="26">
        <v>31</v>
      </c>
      <c r="C29" s="26" t="s">
        <v>53</v>
      </c>
      <c r="D29" s="26" t="s">
        <v>54</v>
      </c>
      <c r="E29" s="27" t="s">
        <v>61</v>
      </c>
      <c r="F29" s="26" t="s">
        <v>109</v>
      </c>
      <c r="G29" s="28">
        <v>7580275</v>
      </c>
      <c r="H29" s="26">
        <v>10</v>
      </c>
      <c r="I29" s="26" t="s">
        <v>60</v>
      </c>
      <c r="J29" s="26" t="b">
        <v>1</v>
      </c>
    </row>
    <row r="30" spans="1:10">
      <c r="A30" s="26" t="s">
        <v>110</v>
      </c>
      <c r="B30" s="26">
        <v>50</v>
      </c>
      <c r="C30" s="26" t="s">
        <v>59</v>
      </c>
      <c r="D30" s="26" t="s">
        <v>60</v>
      </c>
      <c r="E30" s="27" t="s">
        <v>85</v>
      </c>
      <c r="F30" s="26" t="s">
        <v>98</v>
      </c>
      <c r="G30" s="28">
        <v>1269605</v>
      </c>
      <c r="H30" s="26">
        <v>10</v>
      </c>
      <c r="I30" s="26" t="s">
        <v>63</v>
      </c>
      <c r="J30" s="26" t="b">
        <v>0</v>
      </c>
    </row>
    <row r="31" spans="1:10">
      <c r="A31" s="26" t="s">
        <v>111</v>
      </c>
      <c r="B31" s="26">
        <v>50</v>
      </c>
      <c r="C31" s="26" t="s">
        <v>59</v>
      </c>
      <c r="D31" s="26" t="s">
        <v>54</v>
      </c>
      <c r="E31" s="27" t="s">
        <v>65</v>
      </c>
      <c r="F31" s="26" t="s">
        <v>109</v>
      </c>
      <c r="G31" s="28">
        <v>2104900</v>
      </c>
      <c r="H31" s="26">
        <v>2</v>
      </c>
      <c r="I31" s="26" t="s">
        <v>67</v>
      </c>
      <c r="J31" s="26" t="b">
        <v>0</v>
      </c>
    </row>
    <row r="32" spans="1:10">
      <c r="A32" s="26" t="s">
        <v>112</v>
      </c>
      <c r="B32" s="26">
        <v>45</v>
      </c>
      <c r="C32" s="26" t="s">
        <v>53</v>
      </c>
      <c r="D32" s="26" t="s">
        <v>54</v>
      </c>
      <c r="E32" s="27" t="s">
        <v>73</v>
      </c>
      <c r="F32" s="26" t="s">
        <v>113</v>
      </c>
      <c r="G32" s="28">
        <v>5924720</v>
      </c>
      <c r="H32" s="26">
        <v>12</v>
      </c>
      <c r="I32" s="26" t="s">
        <v>60</v>
      </c>
      <c r="J32" s="26" t="b">
        <v>1</v>
      </c>
    </row>
    <row r="33" spans="1:10">
      <c r="A33" s="26" t="s">
        <v>114</v>
      </c>
      <c r="B33" s="26">
        <v>33</v>
      </c>
      <c r="C33" s="26" t="s">
        <v>53</v>
      </c>
      <c r="D33" s="26" t="s">
        <v>60</v>
      </c>
      <c r="E33" s="27" t="s">
        <v>73</v>
      </c>
      <c r="F33" s="26" t="s">
        <v>56</v>
      </c>
      <c r="G33" s="28">
        <v>5497850</v>
      </c>
      <c r="H33" s="26">
        <v>5</v>
      </c>
      <c r="I33" s="26" t="s">
        <v>57</v>
      </c>
      <c r="J33" s="26" t="b">
        <v>1</v>
      </c>
    </row>
    <row r="34" spans="1:10">
      <c r="A34" s="26" t="s">
        <v>115</v>
      </c>
      <c r="B34" s="26">
        <v>24</v>
      </c>
      <c r="C34" s="26" t="s">
        <v>59</v>
      </c>
      <c r="D34" s="26" t="s">
        <v>60</v>
      </c>
      <c r="E34" s="27" t="s">
        <v>85</v>
      </c>
      <c r="F34" s="26" t="s">
        <v>82</v>
      </c>
      <c r="G34" s="28">
        <v>6724210</v>
      </c>
      <c r="H34" s="26">
        <v>6</v>
      </c>
      <c r="I34" s="26" t="s">
        <v>63</v>
      </c>
      <c r="J34" s="26" t="b">
        <v>0</v>
      </c>
    </row>
    <row r="35" spans="1:10">
      <c r="A35" s="26" t="s">
        <v>116</v>
      </c>
      <c r="B35" s="26">
        <v>39</v>
      </c>
      <c r="C35" s="26" t="s">
        <v>53</v>
      </c>
      <c r="D35" s="26" t="s">
        <v>60</v>
      </c>
      <c r="E35" s="27" t="s">
        <v>61</v>
      </c>
      <c r="F35" s="26" t="s">
        <v>82</v>
      </c>
      <c r="G35" s="28">
        <v>4373015</v>
      </c>
      <c r="H35" s="26">
        <v>5</v>
      </c>
      <c r="I35" s="26" t="s">
        <v>57</v>
      </c>
      <c r="J35" s="26" t="b">
        <v>1</v>
      </c>
    </row>
    <row r="36" spans="1:10">
      <c r="A36" s="26" t="s">
        <v>117</v>
      </c>
      <c r="B36" s="26">
        <v>48</v>
      </c>
      <c r="C36" s="26" t="s">
        <v>59</v>
      </c>
      <c r="D36" s="26" t="s">
        <v>60</v>
      </c>
      <c r="E36" s="27" t="s">
        <v>78</v>
      </c>
      <c r="F36" s="26" t="s">
        <v>82</v>
      </c>
      <c r="G36" s="28">
        <v>7042890</v>
      </c>
      <c r="H36" s="26">
        <v>10</v>
      </c>
      <c r="I36" s="26" t="s">
        <v>57</v>
      </c>
      <c r="J36" s="26" t="b">
        <v>1</v>
      </c>
    </row>
    <row r="37" spans="1:10">
      <c r="A37" s="26" t="s">
        <v>118</v>
      </c>
      <c r="B37" s="26">
        <v>25</v>
      </c>
      <c r="C37" s="26" t="s">
        <v>59</v>
      </c>
      <c r="D37" s="26" t="s">
        <v>54</v>
      </c>
      <c r="E37" s="27" t="s">
        <v>61</v>
      </c>
      <c r="F37" s="26" t="s">
        <v>82</v>
      </c>
      <c r="G37" s="28">
        <v>2152640</v>
      </c>
      <c r="H37" s="26">
        <v>7</v>
      </c>
      <c r="I37" s="26" t="s">
        <v>57</v>
      </c>
      <c r="J37" s="26" t="b">
        <v>1</v>
      </c>
    </row>
    <row r="38" spans="1:10">
      <c r="A38" s="26" t="s">
        <v>119</v>
      </c>
      <c r="B38" s="26">
        <v>30</v>
      </c>
      <c r="C38" s="26" t="s">
        <v>53</v>
      </c>
      <c r="D38" s="26" t="s">
        <v>60</v>
      </c>
      <c r="E38" s="27" t="s">
        <v>55</v>
      </c>
      <c r="F38" s="26" t="s">
        <v>76</v>
      </c>
      <c r="G38" s="28">
        <v>811270</v>
      </c>
      <c r="H38" s="26">
        <v>6</v>
      </c>
      <c r="I38" s="26" t="s">
        <v>67</v>
      </c>
      <c r="J38" s="26" t="b">
        <v>1</v>
      </c>
    </row>
    <row r="39" spans="1:10">
      <c r="A39" s="26" t="s">
        <v>120</v>
      </c>
      <c r="B39" s="26">
        <v>34</v>
      </c>
      <c r="C39" s="26" t="s">
        <v>59</v>
      </c>
      <c r="D39" s="26" t="s">
        <v>54</v>
      </c>
      <c r="E39" s="27" t="s">
        <v>65</v>
      </c>
      <c r="F39" s="26" t="s">
        <v>121</v>
      </c>
      <c r="G39" s="28">
        <v>5242100</v>
      </c>
      <c r="H39" s="26">
        <v>7</v>
      </c>
      <c r="I39" s="26" t="s">
        <v>57</v>
      </c>
      <c r="J39" s="26" t="b">
        <v>1</v>
      </c>
    </row>
    <row r="40" spans="1:10">
      <c r="A40" s="26" t="s">
        <v>122</v>
      </c>
      <c r="B40" s="26">
        <v>21</v>
      </c>
      <c r="C40" s="26" t="s">
        <v>53</v>
      </c>
      <c r="D40" s="26" t="s">
        <v>54</v>
      </c>
      <c r="E40" s="27" t="s">
        <v>78</v>
      </c>
      <c r="F40" s="26" t="s">
        <v>104</v>
      </c>
      <c r="G40" s="28">
        <v>4078825</v>
      </c>
      <c r="H40" s="26">
        <v>3</v>
      </c>
      <c r="I40" s="26" t="s">
        <v>60</v>
      </c>
      <c r="J40" s="26" t="b">
        <v>1</v>
      </c>
    </row>
    <row r="41" spans="1:10">
      <c r="A41" s="26" t="s">
        <v>123</v>
      </c>
      <c r="B41" s="26">
        <v>36</v>
      </c>
      <c r="C41" s="26" t="s">
        <v>53</v>
      </c>
      <c r="D41" s="26" t="s">
        <v>54</v>
      </c>
      <c r="E41" s="27" t="s">
        <v>78</v>
      </c>
      <c r="F41" s="26" t="s">
        <v>100</v>
      </c>
      <c r="G41" s="28">
        <v>5759490</v>
      </c>
      <c r="H41" s="26"/>
      <c r="I41" s="26" t="s">
        <v>60</v>
      </c>
      <c r="J41" s="26" t="b">
        <v>1</v>
      </c>
    </row>
    <row r="42" spans="1:10">
      <c r="A42" s="26" t="s">
        <v>124</v>
      </c>
      <c r="B42" s="26">
        <v>30</v>
      </c>
      <c r="C42" s="26" t="s">
        <v>59</v>
      </c>
      <c r="D42" s="26" t="s">
        <v>54</v>
      </c>
      <c r="E42" s="27" t="s">
        <v>73</v>
      </c>
      <c r="F42" s="26" t="s">
        <v>90</v>
      </c>
      <c r="G42" s="28">
        <v>5477700</v>
      </c>
      <c r="H42" s="26">
        <v>2</v>
      </c>
      <c r="I42" s="26" t="s">
        <v>63</v>
      </c>
      <c r="J42" s="26" t="b">
        <v>0</v>
      </c>
    </row>
    <row r="43" spans="1:10">
      <c r="A43" s="26" t="s">
        <v>125</v>
      </c>
      <c r="B43" s="26">
        <v>46</v>
      </c>
      <c r="C43" s="26" t="s">
        <v>53</v>
      </c>
      <c r="D43" s="26" t="s">
        <v>54</v>
      </c>
      <c r="E43" s="27" t="s">
        <v>78</v>
      </c>
      <c r="F43" s="26" t="s">
        <v>100</v>
      </c>
      <c r="G43" s="28">
        <v>5105855</v>
      </c>
      <c r="H43" s="26">
        <v>5</v>
      </c>
      <c r="I43" s="26" t="s">
        <v>63</v>
      </c>
      <c r="J43" s="26" t="b">
        <v>1</v>
      </c>
    </row>
    <row r="44" spans="1:10">
      <c r="A44" s="26" t="s">
        <v>126</v>
      </c>
      <c r="B44" s="26">
        <v>46</v>
      </c>
      <c r="C44" s="26" t="s">
        <v>53</v>
      </c>
      <c r="D44" s="26" t="s">
        <v>54</v>
      </c>
      <c r="E44" s="27" t="s">
        <v>65</v>
      </c>
      <c r="F44" s="26" t="s">
        <v>62</v>
      </c>
      <c r="G44" s="28">
        <v>844130</v>
      </c>
      <c r="H44" s="26">
        <v>5</v>
      </c>
      <c r="I44" s="26" t="s">
        <v>60</v>
      </c>
      <c r="J44" s="26" t="b">
        <v>0</v>
      </c>
    </row>
    <row r="45" spans="1:10">
      <c r="A45" s="26" t="s">
        <v>127</v>
      </c>
      <c r="B45" s="26">
        <v>43</v>
      </c>
      <c r="C45" s="26" t="s">
        <v>59</v>
      </c>
      <c r="D45" s="26" t="s">
        <v>60</v>
      </c>
      <c r="E45" s="27" t="s">
        <v>61</v>
      </c>
      <c r="F45" s="26" t="s">
        <v>76</v>
      </c>
      <c r="G45" s="28">
        <v>3985360</v>
      </c>
      <c r="H45" s="26">
        <v>8</v>
      </c>
      <c r="I45" s="26" t="s">
        <v>60</v>
      </c>
      <c r="J45" s="26" t="b">
        <v>1</v>
      </c>
    </row>
    <row r="46" spans="1:10">
      <c r="A46" s="26" t="s">
        <v>128</v>
      </c>
      <c r="B46" s="26">
        <v>43</v>
      </c>
      <c r="C46" s="26" t="s">
        <v>59</v>
      </c>
      <c r="D46" s="26" t="s">
        <v>60</v>
      </c>
      <c r="E46" s="27" t="s">
        <v>73</v>
      </c>
      <c r="F46" s="26" t="s">
        <v>109</v>
      </c>
      <c r="G46" s="28">
        <v>4542120</v>
      </c>
      <c r="H46" s="26">
        <v>11</v>
      </c>
      <c r="I46" s="26" t="s">
        <v>57</v>
      </c>
      <c r="J46" s="26" t="b">
        <v>1</v>
      </c>
    </row>
    <row r="47" spans="1:10">
      <c r="A47" s="26" t="s">
        <v>129</v>
      </c>
      <c r="B47" s="26">
        <v>34</v>
      </c>
      <c r="C47" s="26" t="s">
        <v>59</v>
      </c>
      <c r="D47" s="26" t="s">
        <v>60</v>
      </c>
      <c r="E47" s="27" t="s">
        <v>73</v>
      </c>
      <c r="F47" s="26" t="s">
        <v>76</v>
      </c>
      <c r="G47" s="28">
        <v>1711200</v>
      </c>
      <c r="H47" s="26">
        <v>12</v>
      </c>
      <c r="I47" s="26" t="s">
        <v>57</v>
      </c>
      <c r="J47" s="26" t="b">
        <v>0</v>
      </c>
    </row>
    <row r="48" spans="1:10">
      <c r="A48" s="26" t="s">
        <v>130</v>
      </c>
      <c r="B48" s="26">
        <v>42</v>
      </c>
      <c r="C48" s="26" t="s">
        <v>53</v>
      </c>
      <c r="D48" s="26" t="s">
        <v>54</v>
      </c>
      <c r="E48" s="27" t="s">
        <v>65</v>
      </c>
      <c r="F48" s="26" t="s">
        <v>82</v>
      </c>
      <c r="G48" s="28">
        <v>1182185</v>
      </c>
      <c r="H48" s="26">
        <v>4</v>
      </c>
      <c r="I48" s="26" t="s">
        <v>57</v>
      </c>
      <c r="J48" s="26" t="b">
        <v>1</v>
      </c>
    </row>
    <row r="49" spans="1:10">
      <c r="A49" s="26" t="s">
        <v>131</v>
      </c>
      <c r="B49" s="26">
        <v>40</v>
      </c>
      <c r="C49" s="26" t="s">
        <v>53</v>
      </c>
      <c r="D49" s="26" t="s">
        <v>60</v>
      </c>
      <c r="E49" s="27" t="s">
        <v>78</v>
      </c>
      <c r="F49" s="26" t="s">
        <v>104</v>
      </c>
      <c r="G49" s="28">
        <v>6077240</v>
      </c>
      <c r="H49" s="26">
        <v>6</v>
      </c>
      <c r="I49" s="26" t="s">
        <v>57</v>
      </c>
      <c r="J49" s="26" t="b">
        <v>1</v>
      </c>
    </row>
    <row r="50" spans="1:10">
      <c r="A50" s="26" t="s">
        <v>132</v>
      </c>
      <c r="B50" s="26">
        <v>25</v>
      </c>
      <c r="C50" s="26" t="s">
        <v>53</v>
      </c>
      <c r="D50" s="26" t="s">
        <v>60</v>
      </c>
      <c r="E50" s="27" t="s">
        <v>85</v>
      </c>
      <c r="F50" s="26" t="s">
        <v>104</v>
      </c>
      <c r="G50" s="28">
        <v>793910</v>
      </c>
      <c r="H50" s="26">
        <v>6</v>
      </c>
      <c r="I50" s="26" t="s">
        <v>57</v>
      </c>
      <c r="J50" s="26" t="b">
        <v>1</v>
      </c>
    </row>
    <row r="51" spans="1:10">
      <c r="A51" s="26" t="s">
        <v>133</v>
      </c>
      <c r="B51" s="26">
        <v>38</v>
      </c>
      <c r="C51" s="26" t="s">
        <v>59</v>
      </c>
      <c r="D51" s="26" t="s">
        <v>54</v>
      </c>
      <c r="E51" s="27" t="s">
        <v>85</v>
      </c>
      <c r="F51" s="26" t="s">
        <v>134</v>
      </c>
      <c r="G51" s="28">
        <v>3527335</v>
      </c>
      <c r="H51" s="26">
        <v>2</v>
      </c>
      <c r="I51" s="26" t="s">
        <v>60</v>
      </c>
      <c r="J51" s="26" t="b">
        <v>0</v>
      </c>
    </row>
    <row r="52" spans="1:10">
      <c r="A52" s="26" t="s">
        <v>135</v>
      </c>
      <c r="B52" s="26">
        <v>46</v>
      </c>
      <c r="C52" s="26" t="s">
        <v>53</v>
      </c>
      <c r="D52" s="26" t="s">
        <v>54</v>
      </c>
      <c r="E52" s="27" t="s">
        <v>61</v>
      </c>
      <c r="F52" s="26" t="s">
        <v>121</v>
      </c>
      <c r="G52" s="28">
        <v>5872485</v>
      </c>
      <c r="H52" s="26">
        <v>7</v>
      </c>
      <c r="I52" s="26" t="s">
        <v>57</v>
      </c>
      <c r="J52" s="26" t="b">
        <v>1</v>
      </c>
    </row>
    <row r="53" spans="1:10">
      <c r="A53" s="26" t="s">
        <v>136</v>
      </c>
      <c r="B53" s="26">
        <v>24</v>
      </c>
      <c r="C53" s="26" t="s">
        <v>53</v>
      </c>
      <c r="D53" s="26" t="s">
        <v>54</v>
      </c>
      <c r="E53" s="27" t="s">
        <v>61</v>
      </c>
      <c r="F53" s="26" t="s">
        <v>137</v>
      </c>
      <c r="G53" s="28">
        <v>6570760</v>
      </c>
      <c r="H53" s="26">
        <v>8</v>
      </c>
      <c r="I53" s="26" t="s">
        <v>67</v>
      </c>
      <c r="J53" s="26" t="b">
        <v>0</v>
      </c>
    </row>
    <row r="54" spans="1:10">
      <c r="A54" s="26" t="s">
        <v>138</v>
      </c>
      <c r="B54" s="26">
        <v>43</v>
      </c>
      <c r="C54" s="26" t="s">
        <v>53</v>
      </c>
      <c r="D54" s="26" t="s">
        <v>60</v>
      </c>
      <c r="E54" s="27" t="s">
        <v>61</v>
      </c>
      <c r="F54" s="26" t="s">
        <v>109</v>
      </c>
      <c r="G54" s="28">
        <v>1724220</v>
      </c>
      <c r="H54" s="26">
        <v>9</v>
      </c>
      <c r="I54" s="26" t="s">
        <v>63</v>
      </c>
      <c r="J54" s="26" t="b">
        <v>1</v>
      </c>
    </row>
    <row r="55" spans="1:10">
      <c r="A55" s="26" t="s">
        <v>139</v>
      </c>
      <c r="B55" s="26">
        <v>37</v>
      </c>
      <c r="C55" s="26" t="s">
        <v>53</v>
      </c>
      <c r="D55" s="26" t="s">
        <v>54</v>
      </c>
      <c r="E55" s="27" t="s">
        <v>55</v>
      </c>
      <c r="F55" s="26" t="s">
        <v>140</v>
      </c>
      <c r="G55" s="28">
        <v>4639305</v>
      </c>
      <c r="H55" s="26">
        <v>7</v>
      </c>
      <c r="I55" s="26" t="s">
        <v>63</v>
      </c>
      <c r="J55" s="26" t="b">
        <v>1</v>
      </c>
    </row>
    <row r="56" spans="1:10">
      <c r="A56" s="26" t="s">
        <v>141</v>
      </c>
      <c r="B56" s="26">
        <v>42</v>
      </c>
      <c r="C56" s="26" t="s">
        <v>59</v>
      </c>
      <c r="D56" s="26" t="s">
        <v>54</v>
      </c>
      <c r="E56" s="27" t="s">
        <v>55</v>
      </c>
      <c r="F56" s="26" t="s">
        <v>88</v>
      </c>
      <c r="G56" s="28">
        <v>2623840</v>
      </c>
      <c r="H56" s="26">
        <v>7</v>
      </c>
      <c r="I56" s="26" t="s">
        <v>57</v>
      </c>
      <c r="J56" s="26" t="b">
        <v>1</v>
      </c>
    </row>
    <row r="57" spans="1:10">
      <c r="A57" s="26" t="s">
        <v>142</v>
      </c>
      <c r="B57" s="26">
        <v>29</v>
      </c>
      <c r="C57" s="26" t="s">
        <v>59</v>
      </c>
      <c r="D57" s="26" t="s">
        <v>54</v>
      </c>
      <c r="E57" s="27" t="s">
        <v>78</v>
      </c>
      <c r="F57" s="26" t="s">
        <v>66</v>
      </c>
      <c r="G57" s="28">
        <v>6961515</v>
      </c>
      <c r="H57" s="26">
        <v>9</v>
      </c>
      <c r="I57" s="26" t="s">
        <v>63</v>
      </c>
      <c r="J57" s="26" t="b">
        <v>0</v>
      </c>
    </row>
    <row r="58" spans="1:10">
      <c r="A58" s="26" t="s">
        <v>143</v>
      </c>
      <c r="B58" s="26">
        <v>35</v>
      </c>
      <c r="C58" s="26" t="s">
        <v>53</v>
      </c>
      <c r="D58" s="26" t="s">
        <v>60</v>
      </c>
      <c r="E58" s="27" t="s">
        <v>85</v>
      </c>
      <c r="F58" s="26" t="s">
        <v>88</v>
      </c>
      <c r="G58" s="28">
        <v>6625940</v>
      </c>
      <c r="H58" s="26">
        <v>6</v>
      </c>
      <c r="I58" s="26" t="s">
        <v>63</v>
      </c>
      <c r="J58" s="26" t="b">
        <v>1</v>
      </c>
    </row>
    <row r="59" spans="1:10">
      <c r="A59" s="26" t="s">
        <v>144</v>
      </c>
      <c r="B59" s="26">
        <v>27</v>
      </c>
      <c r="C59" s="26" t="s">
        <v>53</v>
      </c>
      <c r="D59" s="26" t="s">
        <v>54</v>
      </c>
      <c r="E59" s="27" t="s">
        <v>73</v>
      </c>
      <c r="F59" s="26" t="s">
        <v>80</v>
      </c>
      <c r="G59" s="28">
        <v>2659955</v>
      </c>
      <c r="H59" s="26">
        <v>3</v>
      </c>
      <c r="I59" s="26" t="s">
        <v>67</v>
      </c>
      <c r="J59" s="26" t="b">
        <v>1</v>
      </c>
    </row>
    <row r="60" spans="1:10">
      <c r="A60" s="26" t="s">
        <v>145</v>
      </c>
      <c r="B60" s="26">
        <v>40</v>
      </c>
      <c r="C60" s="26" t="s">
        <v>53</v>
      </c>
      <c r="D60" s="26" t="s">
        <v>60</v>
      </c>
      <c r="E60" s="27" t="s">
        <v>55</v>
      </c>
      <c r="F60" s="26" t="s">
        <v>76</v>
      </c>
      <c r="G60" s="28">
        <v>3724340</v>
      </c>
      <c r="H60" s="26">
        <v>3</v>
      </c>
      <c r="I60" s="26" t="s">
        <v>60</v>
      </c>
      <c r="J60" s="26" t="b">
        <v>1</v>
      </c>
    </row>
    <row r="61" spans="1:10">
      <c r="A61" s="26" t="s">
        <v>146</v>
      </c>
      <c r="B61" s="26">
        <v>34</v>
      </c>
      <c r="C61" s="26" t="s">
        <v>53</v>
      </c>
      <c r="D61" s="26" t="s">
        <v>60</v>
      </c>
      <c r="E61" s="27" t="s">
        <v>78</v>
      </c>
      <c r="F61" s="26" t="s">
        <v>71</v>
      </c>
      <c r="G61" s="28">
        <v>4807635</v>
      </c>
      <c r="H61" s="26">
        <v>6</v>
      </c>
      <c r="I61" s="26" t="s">
        <v>63</v>
      </c>
      <c r="J61" s="26" t="b">
        <v>0</v>
      </c>
    </row>
    <row r="62" spans="1:10">
      <c r="A62" s="26" t="s">
        <v>147</v>
      </c>
      <c r="B62" s="26">
        <v>25</v>
      </c>
      <c r="C62" s="26" t="s">
        <v>53</v>
      </c>
      <c r="D62" s="26" t="s">
        <v>54</v>
      </c>
      <c r="E62" s="27" t="s">
        <v>78</v>
      </c>
      <c r="F62" s="26" t="s">
        <v>92</v>
      </c>
      <c r="G62" s="28">
        <v>2573000</v>
      </c>
      <c r="H62" s="26">
        <v>10</v>
      </c>
      <c r="I62" s="26" t="s">
        <v>60</v>
      </c>
      <c r="J62" s="26" t="b">
        <v>0</v>
      </c>
    </row>
    <row r="63" spans="1:10">
      <c r="A63" s="26" t="s">
        <v>148</v>
      </c>
      <c r="B63" s="26">
        <v>38</v>
      </c>
      <c r="C63" s="26" t="s">
        <v>59</v>
      </c>
      <c r="D63" s="26" t="s">
        <v>60</v>
      </c>
      <c r="E63" s="27" t="s">
        <v>73</v>
      </c>
      <c r="F63" s="26" t="s">
        <v>102</v>
      </c>
      <c r="G63" s="28">
        <v>5611155</v>
      </c>
      <c r="H63" s="26">
        <v>2</v>
      </c>
      <c r="I63" s="26" t="s">
        <v>57</v>
      </c>
      <c r="J63" s="26" t="b">
        <v>0</v>
      </c>
    </row>
    <row r="64" spans="1:10">
      <c r="A64" s="26" t="s">
        <v>149</v>
      </c>
      <c r="B64" s="26">
        <v>33</v>
      </c>
      <c r="C64" s="26" t="s">
        <v>59</v>
      </c>
      <c r="D64" s="26" t="s">
        <v>60</v>
      </c>
      <c r="E64" s="27" t="s">
        <v>78</v>
      </c>
      <c r="F64" s="26" t="s">
        <v>140</v>
      </c>
      <c r="G64" s="28">
        <v>5401750</v>
      </c>
      <c r="H64" s="26"/>
      <c r="I64" s="26" t="s">
        <v>57</v>
      </c>
      <c r="J64" s="26" t="b">
        <v>0</v>
      </c>
    </row>
    <row r="65" spans="1:10">
      <c r="A65" s="26" t="s">
        <v>150</v>
      </c>
      <c r="B65" s="26">
        <v>32</v>
      </c>
      <c r="C65" s="26" t="s">
        <v>53</v>
      </c>
      <c r="D65" s="26" t="s">
        <v>54</v>
      </c>
      <c r="E65" s="27" t="s">
        <v>73</v>
      </c>
      <c r="F65" s="26" t="s">
        <v>88</v>
      </c>
      <c r="G65" s="28">
        <v>6137535</v>
      </c>
      <c r="H65" s="26">
        <v>9</v>
      </c>
      <c r="I65" s="26" t="s">
        <v>63</v>
      </c>
      <c r="J65" s="26" t="b">
        <v>1</v>
      </c>
    </row>
    <row r="66" spans="1:10">
      <c r="A66" s="26" t="s">
        <v>151</v>
      </c>
      <c r="B66" s="26">
        <v>50</v>
      </c>
      <c r="C66" s="26" t="s">
        <v>53</v>
      </c>
      <c r="D66" s="26" t="s">
        <v>54</v>
      </c>
      <c r="E66" s="27" t="s">
        <v>85</v>
      </c>
      <c r="F66" s="26" t="s">
        <v>80</v>
      </c>
      <c r="G66" s="28">
        <v>7362345</v>
      </c>
      <c r="H66" s="26">
        <v>9</v>
      </c>
      <c r="I66" s="26" t="s">
        <v>57</v>
      </c>
      <c r="J66" s="26" t="b">
        <v>1</v>
      </c>
    </row>
    <row r="67" spans="1:10">
      <c r="A67" s="26" t="s">
        <v>152</v>
      </c>
      <c r="B67" s="26">
        <v>35</v>
      </c>
      <c r="C67" s="26" t="s">
        <v>53</v>
      </c>
      <c r="D67" s="26" t="s">
        <v>54</v>
      </c>
      <c r="E67" s="27" t="s">
        <v>61</v>
      </c>
      <c r="F67" s="26" t="s">
        <v>86</v>
      </c>
      <c r="G67" s="28">
        <v>4439665</v>
      </c>
      <c r="H67" s="26">
        <v>4</v>
      </c>
      <c r="I67" s="26" t="s">
        <v>60</v>
      </c>
      <c r="J67" s="26" t="b">
        <v>1</v>
      </c>
    </row>
    <row r="68" spans="1:10">
      <c r="A68" s="26" t="s">
        <v>153</v>
      </c>
      <c r="B68" s="26">
        <v>19</v>
      </c>
      <c r="C68" s="26" t="s">
        <v>53</v>
      </c>
      <c r="D68" s="26" t="s">
        <v>60</v>
      </c>
      <c r="E68" s="27" t="s">
        <v>61</v>
      </c>
      <c r="F68" s="26" t="s">
        <v>90</v>
      </c>
      <c r="G68" s="28">
        <v>5166460</v>
      </c>
      <c r="H68" s="26">
        <v>8</v>
      </c>
      <c r="I68" s="26" t="s">
        <v>67</v>
      </c>
      <c r="J68" s="26" t="b">
        <v>1</v>
      </c>
    </row>
    <row r="69" spans="1:10">
      <c r="A69" s="26" t="s">
        <v>154</v>
      </c>
      <c r="B69" s="26">
        <v>46</v>
      </c>
      <c r="C69" s="26" t="s">
        <v>53</v>
      </c>
      <c r="D69" s="26" t="s">
        <v>60</v>
      </c>
      <c r="E69" s="27" t="s">
        <v>78</v>
      </c>
      <c r="F69" s="26" t="s">
        <v>98</v>
      </c>
      <c r="G69" s="28">
        <v>3463785</v>
      </c>
      <c r="H69" s="26">
        <v>9</v>
      </c>
      <c r="I69" s="26" t="s">
        <v>60</v>
      </c>
      <c r="J69" s="26" t="b">
        <v>1</v>
      </c>
    </row>
    <row r="70" spans="1:10">
      <c r="A70" s="26" t="s">
        <v>155</v>
      </c>
      <c r="B70" s="26">
        <v>23</v>
      </c>
      <c r="C70" s="26" t="s">
        <v>59</v>
      </c>
      <c r="D70" s="26" t="s">
        <v>54</v>
      </c>
      <c r="E70" s="27" t="s">
        <v>65</v>
      </c>
      <c r="F70" s="26" t="s">
        <v>80</v>
      </c>
      <c r="G70" s="28">
        <v>6429865</v>
      </c>
      <c r="H70" s="26">
        <v>2</v>
      </c>
      <c r="I70" s="26" t="s">
        <v>60</v>
      </c>
      <c r="J70" s="26" t="b">
        <v>0</v>
      </c>
    </row>
    <row r="71" spans="1:10">
      <c r="A71" s="26" t="s">
        <v>156</v>
      </c>
      <c r="B71" s="26">
        <v>34</v>
      </c>
      <c r="C71" s="26" t="s">
        <v>53</v>
      </c>
      <c r="D71" s="26" t="s">
        <v>60</v>
      </c>
      <c r="E71" s="27" t="s">
        <v>55</v>
      </c>
      <c r="F71" s="26" t="s">
        <v>76</v>
      </c>
      <c r="G71" s="28">
        <v>6066390</v>
      </c>
      <c r="H71" s="26">
        <v>5</v>
      </c>
      <c r="I71" s="26" t="s">
        <v>67</v>
      </c>
      <c r="J71" s="26" t="b">
        <v>0</v>
      </c>
    </row>
    <row r="72" spans="1:10">
      <c r="A72" s="26" t="s">
        <v>157</v>
      </c>
      <c r="B72" s="26">
        <v>48</v>
      </c>
      <c r="C72" s="26" t="s">
        <v>59</v>
      </c>
      <c r="D72" s="26" t="s">
        <v>54</v>
      </c>
      <c r="E72" s="27" t="s">
        <v>65</v>
      </c>
      <c r="F72" s="26" t="s">
        <v>71</v>
      </c>
      <c r="G72" s="28">
        <v>5710200</v>
      </c>
      <c r="H72" s="26">
        <v>11</v>
      </c>
      <c r="I72" s="26" t="s">
        <v>60</v>
      </c>
      <c r="J72" s="26" t="b">
        <v>0</v>
      </c>
    </row>
    <row r="73" spans="1:10">
      <c r="A73" s="26" t="s">
        <v>158</v>
      </c>
      <c r="B73" s="26">
        <v>27</v>
      </c>
      <c r="C73" s="26" t="s">
        <v>53</v>
      </c>
      <c r="D73" s="26" t="s">
        <v>54</v>
      </c>
      <c r="E73" s="27" t="s">
        <v>78</v>
      </c>
      <c r="F73" s="26" t="s">
        <v>71</v>
      </c>
      <c r="G73" s="28">
        <v>5089580</v>
      </c>
      <c r="H73" s="26">
        <v>11</v>
      </c>
      <c r="I73" s="26" t="s">
        <v>60</v>
      </c>
      <c r="J73" s="26" t="b">
        <v>0</v>
      </c>
    </row>
    <row r="74" spans="1:10">
      <c r="A74" s="26" t="s">
        <v>159</v>
      </c>
      <c r="B74" s="26">
        <v>37</v>
      </c>
      <c r="C74" s="26" t="s">
        <v>53</v>
      </c>
      <c r="D74" s="26" t="s">
        <v>54</v>
      </c>
      <c r="E74" s="27" t="s">
        <v>85</v>
      </c>
      <c r="F74" s="26" t="s">
        <v>69</v>
      </c>
      <c r="G74" s="28">
        <v>6578045</v>
      </c>
      <c r="H74" s="26">
        <v>9</v>
      </c>
      <c r="I74" s="26" t="s">
        <v>60</v>
      </c>
      <c r="J74" s="26" t="b">
        <v>1</v>
      </c>
    </row>
    <row r="75" spans="1:10">
      <c r="A75" s="26" t="s">
        <v>160</v>
      </c>
      <c r="B75" s="26">
        <v>47</v>
      </c>
      <c r="C75" s="26" t="s">
        <v>59</v>
      </c>
      <c r="D75" s="26" t="s">
        <v>60</v>
      </c>
      <c r="E75" s="27" t="s">
        <v>73</v>
      </c>
      <c r="F75" s="26" t="s">
        <v>113</v>
      </c>
      <c r="G75" s="28">
        <v>3055360</v>
      </c>
      <c r="H75" s="26">
        <v>10</v>
      </c>
      <c r="I75" s="26" t="s">
        <v>67</v>
      </c>
      <c r="J75" s="26" t="b">
        <v>1</v>
      </c>
    </row>
    <row r="76" spans="1:10">
      <c r="A76" s="26" t="s">
        <v>161</v>
      </c>
      <c r="B76" s="26">
        <v>45</v>
      </c>
      <c r="C76" s="26" t="s">
        <v>59</v>
      </c>
      <c r="D76" s="26" t="s">
        <v>60</v>
      </c>
      <c r="E76" s="27" t="s">
        <v>78</v>
      </c>
      <c r="F76" s="26" t="s">
        <v>76</v>
      </c>
      <c r="G76" s="28">
        <v>7045835</v>
      </c>
      <c r="H76" s="26">
        <v>9</v>
      </c>
      <c r="I76" s="26" t="s">
        <v>67</v>
      </c>
      <c r="J76" s="26" t="b">
        <v>1</v>
      </c>
    </row>
    <row r="77" spans="1:10">
      <c r="A77" s="26" t="s">
        <v>162</v>
      </c>
      <c r="B77" s="26">
        <v>37</v>
      </c>
      <c r="C77" s="26" t="s">
        <v>59</v>
      </c>
      <c r="D77" s="26" t="s">
        <v>54</v>
      </c>
      <c r="E77" s="27" t="s">
        <v>61</v>
      </c>
      <c r="F77" s="26" t="s">
        <v>98</v>
      </c>
      <c r="G77" s="28">
        <v>4624890</v>
      </c>
      <c r="H77" s="26">
        <v>4</v>
      </c>
      <c r="I77" s="26" t="s">
        <v>60</v>
      </c>
      <c r="J77" s="26" t="b">
        <v>0</v>
      </c>
    </row>
    <row r="78" spans="1:10">
      <c r="A78" s="26" t="s">
        <v>163</v>
      </c>
      <c r="B78" s="26">
        <v>36</v>
      </c>
      <c r="C78" s="26" t="s">
        <v>59</v>
      </c>
      <c r="D78" s="26" t="s">
        <v>60</v>
      </c>
      <c r="E78" s="27" t="s">
        <v>85</v>
      </c>
      <c r="F78" s="26" t="s">
        <v>164</v>
      </c>
      <c r="G78" s="28">
        <v>1731350</v>
      </c>
      <c r="H78" s="26">
        <v>6</v>
      </c>
      <c r="I78" s="26" t="s">
        <v>63</v>
      </c>
      <c r="J78" s="26" t="b">
        <v>0</v>
      </c>
    </row>
    <row r="79" spans="1:10">
      <c r="A79" s="26" t="s">
        <v>165</v>
      </c>
      <c r="B79" s="26">
        <v>34</v>
      </c>
      <c r="C79" s="26" t="s">
        <v>59</v>
      </c>
      <c r="D79" s="26" t="s">
        <v>54</v>
      </c>
      <c r="E79" s="27" t="s">
        <v>61</v>
      </c>
      <c r="F79" s="26" t="s">
        <v>134</v>
      </c>
      <c r="G79" s="28">
        <v>5792195</v>
      </c>
      <c r="H79" s="26">
        <v>10</v>
      </c>
      <c r="I79" s="26" t="s">
        <v>63</v>
      </c>
      <c r="J79" s="26" t="b">
        <v>0</v>
      </c>
    </row>
    <row r="80" spans="1:10">
      <c r="A80" s="26" t="s">
        <v>166</v>
      </c>
      <c r="B80" s="26">
        <v>37</v>
      </c>
      <c r="C80" s="26" t="s">
        <v>59</v>
      </c>
      <c r="D80" s="26" t="s">
        <v>60</v>
      </c>
      <c r="E80" s="27" t="s">
        <v>61</v>
      </c>
      <c r="F80" s="26" t="s">
        <v>167</v>
      </c>
      <c r="G80" s="28">
        <v>5500485</v>
      </c>
      <c r="H80" s="26">
        <v>5</v>
      </c>
      <c r="I80" s="26" t="s">
        <v>57</v>
      </c>
      <c r="J80" s="26" t="b">
        <v>0</v>
      </c>
    </row>
    <row r="81" spans="1:10">
      <c r="A81" s="26" t="s">
        <v>168</v>
      </c>
      <c r="B81" s="26">
        <v>18</v>
      </c>
      <c r="C81" s="26" t="s">
        <v>53</v>
      </c>
      <c r="D81" s="26" t="s">
        <v>54</v>
      </c>
      <c r="E81" s="27" t="s">
        <v>78</v>
      </c>
      <c r="F81" s="26" t="s">
        <v>82</v>
      </c>
      <c r="G81" s="28">
        <v>3324440</v>
      </c>
      <c r="H81" s="26">
        <v>2</v>
      </c>
      <c r="I81" s="26" t="s">
        <v>57</v>
      </c>
      <c r="J81" s="26" t="b">
        <v>1</v>
      </c>
    </row>
    <row r="82" spans="1:10">
      <c r="A82" s="26" t="s">
        <v>169</v>
      </c>
      <c r="B82" s="26">
        <v>20</v>
      </c>
      <c r="C82" s="26" t="s">
        <v>59</v>
      </c>
      <c r="D82" s="26" t="s">
        <v>60</v>
      </c>
      <c r="E82" s="27" t="s">
        <v>73</v>
      </c>
      <c r="F82" s="26" t="s">
        <v>100</v>
      </c>
      <c r="G82" s="28">
        <v>6193490</v>
      </c>
      <c r="H82" s="26">
        <v>6</v>
      </c>
      <c r="I82" s="26" t="s">
        <v>57</v>
      </c>
      <c r="J82" s="26" t="b">
        <v>1</v>
      </c>
    </row>
    <row r="83" spans="1:10">
      <c r="A83" s="26" t="s">
        <v>170</v>
      </c>
      <c r="B83" s="26">
        <v>27</v>
      </c>
      <c r="C83" s="26" t="s">
        <v>53</v>
      </c>
      <c r="D83" s="26" t="s">
        <v>60</v>
      </c>
      <c r="E83" s="27" t="s">
        <v>85</v>
      </c>
      <c r="F83" s="26" t="s">
        <v>86</v>
      </c>
      <c r="G83" s="28">
        <v>5905345</v>
      </c>
      <c r="H83" s="26">
        <v>7</v>
      </c>
      <c r="I83" s="26" t="s">
        <v>67</v>
      </c>
      <c r="J83" s="26" t="b">
        <v>1</v>
      </c>
    </row>
    <row r="84" spans="1:10">
      <c r="A84" s="26" t="s">
        <v>171</v>
      </c>
      <c r="B84" s="26">
        <v>36</v>
      </c>
      <c r="C84" s="26" t="s">
        <v>59</v>
      </c>
      <c r="D84" s="26" t="s">
        <v>54</v>
      </c>
      <c r="E84" s="27" t="s">
        <v>73</v>
      </c>
      <c r="F84" s="26" t="s">
        <v>62</v>
      </c>
      <c r="G84" s="28">
        <v>1224500</v>
      </c>
      <c r="H84" s="26">
        <v>10</v>
      </c>
      <c r="I84" s="26" t="s">
        <v>63</v>
      </c>
      <c r="J84" s="26" t="b">
        <v>0</v>
      </c>
    </row>
    <row r="85" spans="1:10">
      <c r="A85" s="26" t="s">
        <v>172</v>
      </c>
      <c r="B85" s="26">
        <v>46</v>
      </c>
      <c r="C85" s="26" t="s">
        <v>53</v>
      </c>
      <c r="D85" s="26" t="s">
        <v>54</v>
      </c>
      <c r="E85" s="27" t="s">
        <v>78</v>
      </c>
      <c r="F85" s="26" t="s">
        <v>121</v>
      </c>
      <c r="G85" s="28">
        <v>1765140</v>
      </c>
      <c r="H85" s="26">
        <v>2</v>
      </c>
      <c r="I85" s="26" t="s">
        <v>63</v>
      </c>
      <c r="J85" s="26" t="b">
        <v>0</v>
      </c>
    </row>
    <row r="86" spans="1:10">
      <c r="A86" s="26" t="s">
        <v>173</v>
      </c>
      <c r="B86" s="26">
        <v>26</v>
      </c>
      <c r="C86" s="26" t="s">
        <v>59</v>
      </c>
      <c r="D86" s="26" t="s">
        <v>54</v>
      </c>
      <c r="E86" s="27" t="s">
        <v>55</v>
      </c>
      <c r="F86" s="26" t="s">
        <v>140</v>
      </c>
      <c r="G86" s="28">
        <v>1884335</v>
      </c>
      <c r="H86" s="26">
        <v>4</v>
      </c>
      <c r="I86" s="26" t="s">
        <v>60</v>
      </c>
      <c r="J86" s="26" t="b">
        <v>0</v>
      </c>
    </row>
    <row r="87" spans="1:10">
      <c r="A87" s="26" t="s">
        <v>174</v>
      </c>
      <c r="B87" s="26">
        <v>21</v>
      </c>
      <c r="C87" s="26" t="s">
        <v>53</v>
      </c>
      <c r="D87" s="26" t="s">
        <v>60</v>
      </c>
      <c r="E87" s="27" t="s">
        <v>85</v>
      </c>
      <c r="F87" s="26" t="s">
        <v>113</v>
      </c>
      <c r="G87" s="28">
        <v>3340870</v>
      </c>
      <c r="H87" s="26">
        <v>11</v>
      </c>
      <c r="I87" s="26" t="s">
        <v>67</v>
      </c>
      <c r="J87" s="26" t="b">
        <v>1</v>
      </c>
    </row>
    <row r="88" spans="1:10">
      <c r="A88" s="26" t="s">
        <v>175</v>
      </c>
      <c r="B88" s="26">
        <v>43</v>
      </c>
      <c r="C88" s="26" t="s">
        <v>59</v>
      </c>
      <c r="D88" s="26" t="s">
        <v>60</v>
      </c>
      <c r="E88" s="27" t="s">
        <v>85</v>
      </c>
      <c r="F88" s="26" t="s">
        <v>71</v>
      </c>
      <c r="G88" s="28">
        <v>1348965</v>
      </c>
      <c r="H88" s="26">
        <v>10</v>
      </c>
      <c r="I88" s="26" t="s">
        <v>67</v>
      </c>
      <c r="J88" s="26" t="b">
        <v>0</v>
      </c>
    </row>
    <row r="89" spans="1:10">
      <c r="A89" s="26" t="s">
        <v>176</v>
      </c>
      <c r="B89" s="26">
        <v>19</v>
      </c>
      <c r="C89" s="26" t="s">
        <v>59</v>
      </c>
      <c r="D89" s="26" t="s">
        <v>60</v>
      </c>
      <c r="E89" s="27" t="s">
        <v>55</v>
      </c>
      <c r="F89" s="26" t="s">
        <v>140</v>
      </c>
      <c r="G89" s="28">
        <v>1732125</v>
      </c>
      <c r="H89" s="26">
        <v>4</v>
      </c>
      <c r="I89" s="26" t="s">
        <v>60</v>
      </c>
      <c r="J89" s="26" t="b">
        <v>0</v>
      </c>
    </row>
    <row r="90" spans="1:10">
      <c r="A90" s="26" t="s">
        <v>177</v>
      </c>
      <c r="B90" s="26">
        <v>41</v>
      </c>
      <c r="C90" s="26" t="s">
        <v>53</v>
      </c>
      <c r="D90" s="26" t="s">
        <v>60</v>
      </c>
      <c r="E90" s="27" t="s">
        <v>78</v>
      </c>
      <c r="F90" s="26" t="s">
        <v>66</v>
      </c>
      <c r="G90" s="28">
        <v>2111100</v>
      </c>
      <c r="H90" s="26">
        <v>2</v>
      </c>
      <c r="I90" s="26" t="s">
        <v>67</v>
      </c>
      <c r="J90" s="26" t="b">
        <v>1</v>
      </c>
    </row>
    <row r="91" spans="1:10">
      <c r="A91" s="26" t="s">
        <v>178</v>
      </c>
      <c r="B91" s="26">
        <v>48</v>
      </c>
      <c r="C91" s="26" t="s">
        <v>59</v>
      </c>
      <c r="D91" s="26" t="s">
        <v>54</v>
      </c>
      <c r="E91" s="27" t="s">
        <v>78</v>
      </c>
      <c r="F91" s="26" t="s">
        <v>62</v>
      </c>
      <c r="G91" s="28">
        <v>6809305</v>
      </c>
      <c r="H91" s="26"/>
      <c r="I91" s="26" t="s">
        <v>63</v>
      </c>
      <c r="J91" s="26" t="b">
        <v>0</v>
      </c>
    </row>
    <row r="92" spans="1:10">
      <c r="A92" s="26" t="s">
        <v>179</v>
      </c>
      <c r="B92" s="26">
        <v>19</v>
      </c>
      <c r="C92" s="26" t="s">
        <v>53</v>
      </c>
      <c r="D92" s="26" t="s">
        <v>54</v>
      </c>
      <c r="E92" s="27" t="s">
        <v>73</v>
      </c>
      <c r="F92" s="26" t="s">
        <v>90</v>
      </c>
      <c r="G92" s="28">
        <v>3021415</v>
      </c>
      <c r="H92" s="26">
        <v>9</v>
      </c>
      <c r="I92" s="26" t="s">
        <v>60</v>
      </c>
      <c r="J92" s="26" t="b">
        <v>1</v>
      </c>
    </row>
    <row r="93" spans="1:10">
      <c r="A93" s="26" t="s">
        <v>180</v>
      </c>
      <c r="B93" s="26">
        <v>29</v>
      </c>
      <c r="C93" s="26" t="s">
        <v>59</v>
      </c>
      <c r="D93" s="26" t="s">
        <v>54</v>
      </c>
      <c r="E93" s="27" t="s">
        <v>85</v>
      </c>
      <c r="F93" s="26" t="s">
        <v>62</v>
      </c>
      <c r="G93" s="28">
        <v>5853885</v>
      </c>
      <c r="H93" s="26">
        <v>8</v>
      </c>
      <c r="I93" s="26" t="s">
        <v>57</v>
      </c>
      <c r="J93" s="26" t="b">
        <v>1</v>
      </c>
    </row>
    <row r="94" spans="1:10">
      <c r="A94" s="26" t="s">
        <v>181</v>
      </c>
      <c r="B94" s="26">
        <v>26</v>
      </c>
      <c r="C94" s="26" t="s">
        <v>53</v>
      </c>
      <c r="D94" s="26" t="s">
        <v>60</v>
      </c>
      <c r="E94" s="27" t="s">
        <v>85</v>
      </c>
      <c r="F94" s="26" t="s">
        <v>137</v>
      </c>
      <c r="G94" s="28">
        <v>1683455</v>
      </c>
      <c r="H94" s="26">
        <v>10</v>
      </c>
      <c r="I94" s="26" t="s">
        <v>57</v>
      </c>
      <c r="J94" s="26" t="b">
        <v>1</v>
      </c>
    </row>
    <row r="95" spans="1:10">
      <c r="A95" s="26" t="s">
        <v>182</v>
      </c>
      <c r="B95" s="26">
        <v>20</v>
      </c>
      <c r="C95" s="26" t="s">
        <v>53</v>
      </c>
      <c r="D95" s="26" t="s">
        <v>54</v>
      </c>
      <c r="E95" s="27" t="s">
        <v>85</v>
      </c>
      <c r="F95" s="26" t="s">
        <v>183</v>
      </c>
      <c r="G95" s="28">
        <v>5684935</v>
      </c>
      <c r="H95" s="26">
        <v>7</v>
      </c>
      <c r="I95" s="26" t="s">
        <v>67</v>
      </c>
      <c r="J95" s="26" t="b">
        <v>0</v>
      </c>
    </row>
    <row r="96" spans="1:10">
      <c r="A96" s="26" t="s">
        <v>184</v>
      </c>
      <c r="B96" s="26">
        <v>31</v>
      </c>
      <c r="C96" s="26" t="s">
        <v>53</v>
      </c>
      <c r="D96" s="26" t="s">
        <v>60</v>
      </c>
      <c r="E96" s="27" t="s">
        <v>55</v>
      </c>
      <c r="F96" s="26" t="s">
        <v>167</v>
      </c>
      <c r="G96" s="28">
        <v>2759620</v>
      </c>
      <c r="H96" s="26">
        <v>5</v>
      </c>
      <c r="I96" s="26" t="s">
        <v>63</v>
      </c>
      <c r="J96" s="26" t="b">
        <v>0</v>
      </c>
    </row>
    <row r="97" spans="1:10">
      <c r="A97" s="26" t="s">
        <v>185</v>
      </c>
      <c r="B97" s="26">
        <v>23</v>
      </c>
      <c r="C97" s="26" t="s">
        <v>53</v>
      </c>
      <c r="D97" s="26" t="s">
        <v>60</v>
      </c>
      <c r="E97" s="27" t="s">
        <v>85</v>
      </c>
      <c r="F97" s="26" t="s">
        <v>104</v>
      </c>
      <c r="G97" s="28">
        <v>7146895</v>
      </c>
      <c r="H97" s="26">
        <v>8</v>
      </c>
      <c r="I97" s="26" t="s">
        <v>63</v>
      </c>
      <c r="J97" s="26" t="b">
        <v>1</v>
      </c>
    </row>
    <row r="98" spans="1:10">
      <c r="A98" s="26" t="s">
        <v>186</v>
      </c>
      <c r="B98" s="26">
        <v>19</v>
      </c>
      <c r="C98" s="26" t="s">
        <v>53</v>
      </c>
      <c r="D98" s="26" t="s">
        <v>60</v>
      </c>
      <c r="E98" s="27" t="s">
        <v>85</v>
      </c>
      <c r="F98" s="26" t="s">
        <v>92</v>
      </c>
      <c r="G98" s="28">
        <v>3272980</v>
      </c>
      <c r="H98" s="26">
        <v>5</v>
      </c>
      <c r="I98" s="26" t="s">
        <v>60</v>
      </c>
      <c r="J98" s="26" t="b">
        <v>0</v>
      </c>
    </row>
    <row r="99" spans="1:10">
      <c r="A99" s="26" t="s">
        <v>187</v>
      </c>
      <c r="B99" s="26">
        <v>23</v>
      </c>
      <c r="C99" s="26" t="s">
        <v>53</v>
      </c>
      <c r="D99" s="26" t="s">
        <v>54</v>
      </c>
      <c r="E99" s="27" t="s">
        <v>61</v>
      </c>
      <c r="F99" s="26" t="s">
        <v>88</v>
      </c>
      <c r="G99" s="28">
        <v>6540225</v>
      </c>
      <c r="H99" s="26">
        <v>8</v>
      </c>
      <c r="I99" s="26" t="s">
        <v>63</v>
      </c>
      <c r="J99" s="26" t="b">
        <v>0</v>
      </c>
    </row>
    <row r="100" spans="1:10">
      <c r="A100" s="26" t="s">
        <v>188</v>
      </c>
      <c r="B100" s="26">
        <v>49</v>
      </c>
      <c r="C100" s="26" t="s">
        <v>53</v>
      </c>
      <c r="D100" s="26" t="s">
        <v>54</v>
      </c>
      <c r="E100" s="27" t="s">
        <v>65</v>
      </c>
      <c r="F100" s="26" t="s">
        <v>71</v>
      </c>
      <c r="G100" s="28">
        <v>5868145</v>
      </c>
      <c r="H100" s="26">
        <v>5</v>
      </c>
      <c r="I100" s="26" t="s">
        <v>57</v>
      </c>
      <c r="J100" s="26" t="b">
        <v>0</v>
      </c>
    </row>
    <row r="101" spans="1:10">
      <c r="A101" s="26" t="s">
        <v>189</v>
      </c>
      <c r="B101" s="26">
        <v>23</v>
      </c>
      <c r="C101" s="26" t="s">
        <v>53</v>
      </c>
      <c r="D101" s="26" t="s">
        <v>60</v>
      </c>
      <c r="E101" s="27" t="s">
        <v>65</v>
      </c>
      <c r="F101" s="26" t="s">
        <v>66</v>
      </c>
      <c r="G101" s="28">
        <v>4168415</v>
      </c>
      <c r="H101" s="26">
        <v>2</v>
      </c>
      <c r="I101" s="26" t="s">
        <v>63</v>
      </c>
      <c r="J101" s="26" t="b">
        <v>0</v>
      </c>
    </row>
    <row r="102" spans="1:10">
      <c r="A102" s="26" t="s">
        <v>190</v>
      </c>
      <c r="B102" s="26">
        <v>42</v>
      </c>
      <c r="C102" s="26" t="s">
        <v>59</v>
      </c>
      <c r="D102" s="26" t="s">
        <v>54</v>
      </c>
      <c r="E102" s="27" t="s">
        <v>55</v>
      </c>
      <c r="F102" s="26" t="s">
        <v>90</v>
      </c>
      <c r="G102" s="28">
        <v>6895485</v>
      </c>
      <c r="H102" s="26">
        <v>11</v>
      </c>
      <c r="I102" s="26" t="s">
        <v>63</v>
      </c>
      <c r="J102" s="26" t="b">
        <v>0</v>
      </c>
    </row>
    <row r="103" spans="1:10">
      <c r="A103" s="26" t="s">
        <v>191</v>
      </c>
      <c r="B103" s="26">
        <v>18</v>
      </c>
      <c r="C103" s="26" t="s">
        <v>53</v>
      </c>
      <c r="D103" s="26" t="s">
        <v>60</v>
      </c>
      <c r="E103" s="27" t="s">
        <v>73</v>
      </c>
      <c r="F103" s="26" t="s">
        <v>137</v>
      </c>
      <c r="G103" s="28">
        <v>2492710</v>
      </c>
      <c r="H103" s="26">
        <v>7</v>
      </c>
      <c r="I103" s="26" t="s">
        <v>60</v>
      </c>
      <c r="J103" s="26" t="b">
        <v>1</v>
      </c>
    </row>
    <row r="104" spans="1:10">
      <c r="A104" s="26" t="s">
        <v>192</v>
      </c>
      <c r="B104" s="26">
        <v>35</v>
      </c>
      <c r="C104" s="26" t="s">
        <v>59</v>
      </c>
      <c r="D104" s="26" t="s">
        <v>60</v>
      </c>
      <c r="E104" s="27" t="s">
        <v>78</v>
      </c>
      <c r="F104" s="26" t="s">
        <v>92</v>
      </c>
      <c r="G104" s="28">
        <v>7659790</v>
      </c>
      <c r="H104" s="26">
        <v>6</v>
      </c>
      <c r="I104" s="26" t="s">
        <v>63</v>
      </c>
      <c r="J104" s="26" t="b">
        <v>0</v>
      </c>
    </row>
    <row r="105" spans="1:10">
      <c r="A105" s="26" t="s">
        <v>193</v>
      </c>
      <c r="B105" s="26">
        <v>22</v>
      </c>
      <c r="C105" s="26" t="s">
        <v>59</v>
      </c>
      <c r="D105" s="26" t="s">
        <v>54</v>
      </c>
      <c r="E105" s="27" t="s">
        <v>55</v>
      </c>
      <c r="F105" s="26" t="s">
        <v>69</v>
      </c>
      <c r="G105" s="28">
        <v>2744275</v>
      </c>
      <c r="H105" s="26">
        <v>5</v>
      </c>
      <c r="I105" s="26" t="s">
        <v>57</v>
      </c>
      <c r="J105" s="26" t="b">
        <v>1</v>
      </c>
    </row>
    <row r="106" spans="1:10">
      <c r="A106" s="26" t="s">
        <v>194</v>
      </c>
      <c r="B106" s="26">
        <v>28</v>
      </c>
      <c r="C106" s="26" t="s">
        <v>53</v>
      </c>
      <c r="D106" s="26" t="s">
        <v>54</v>
      </c>
      <c r="E106" s="27" t="s">
        <v>55</v>
      </c>
      <c r="F106" s="26" t="s">
        <v>62</v>
      </c>
      <c r="G106" s="28">
        <v>6985230</v>
      </c>
      <c r="H106" s="26">
        <v>7</v>
      </c>
      <c r="I106" s="26" t="s">
        <v>60</v>
      </c>
      <c r="J106" s="26" t="b">
        <v>0</v>
      </c>
    </row>
    <row r="107" spans="1:10">
      <c r="A107" s="26" t="s">
        <v>195</v>
      </c>
      <c r="B107" s="26">
        <v>42</v>
      </c>
      <c r="C107" s="26" t="s">
        <v>53</v>
      </c>
      <c r="D107" s="26" t="s">
        <v>60</v>
      </c>
      <c r="E107" s="27" t="s">
        <v>55</v>
      </c>
      <c r="F107" s="26" t="s">
        <v>109</v>
      </c>
      <c r="G107" s="28">
        <v>2546185</v>
      </c>
      <c r="H107" s="26">
        <v>6</v>
      </c>
      <c r="I107" s="26" t="s">
        <v>60</v>
      </c>
      <c r="J107" s="26" t="b">
        <v>1</v>
      </c>
    </row>
    <row r="108" spans="1:10">
      <c r="A108" s="26" t="s">
        <v>196</v>
      </c>
      <c r="B108" s="26">
        <v>37</v>
      </c>
      <c r="C108" s="26" t="s">
        <v>53</v>
      </c>
      <c r="D108" s="26" t="s">
        <v>54</v>
      </c>
      <c r="E108" s="27" t="s">
        <v>85</v>
      </c>
      <c r="F108" s="26" t="s">
        <v>62</v>
      </c>
      <c r="G108" s="28">
        <v>5368580</v>
      </c>
      <c r="H108" s="26">
        <v>12</v>
      </c>
      <c r="I108" s="26" t="s">
        <v>63</v>
      </c>
      <c r="J108" s="26" t="b">
        <v>0</v>
      </c>
    </row>
    <row r="109" spans="1:10">
      <c r="A109" s="26" t="s">
        <v>197</v>
      </c>
      <c r="B109" s="26">
        <v>33</v>
      </c>
      <c r="C109" s="26" t="s">
        <v>53</v>
      </c>
      <c r="D109" s="26" t="s">
        <v>54</v>
      </c>
      <c r="E109" s="27" t="s">
        <v>78</v>
      </c>
      <c r="F109" s="26" t="s">
        <v>88</v>
      </c>
      <c r="G109" s="28">
        <v>5855435</v>
      </c>
      <c r="H109" s="26">
        <v>9</v>
      </c>
      <c r="I109" s="26" t="s">
        <v>63</v>
      </c>
      <c r="J109" s="26" t="b">
        <v>1</v>
      </c>
    </row>
    <row r="110" spans="1:10">
      <c r="A110" s="26" t="s">
        <v>198</v>
      </c>
      <c r="B110" s="26">
        <v>46</v>
      </c>
      <c r="C110" s="26" t="s">
        <v>53</v>
      </c>
      <c r="D110" s="26" t="s">
        <v>54</v>
      </c>
      <c r="E110" s="27" t="s">
        <v>65</v>
      </c>
      <c r="F110" s="26" t="s">
        <v>140</v>
      </c>
      <c r="G110" s="28">
        <v>2532855</v>
      </c>
      <c r="H110" s="26">
        <v>2</v>
      </c>
      <c r="I110" s="26" t="s">
        <v>67</v>
      </c>
      <c r="J110" s="26" t="b">
        <v>1</v>
      </c>
    </row>
    <row r="111" spans="1:10">
      <c r="A111" s="26" t="s">
        <v>199</v>
      </c>
      <c r="B111" s="26">
        <v>30</v>
      </c>
      <c r="C111" s="26" t="s">
        <v>53</v>
      </c>
      <c r="D111" s="26" t="s">
        <v>54</v>
      </c>
      <c r="E111" s="27" t="s">
        <v>61</v>
      </c>
      <c r="F111" s="26" t="s">
        <v>92</v>
      </c>
      <c r="G111" s="28">
        <v>7247490</v>
      </c>
      <c r="H111" s="26">
        <v>10</v>
      </c>
      <c r="I111" s="26" t="s">
        <v>57</v>
      </c>
      <c r="J111" s="26" t="b">
        <v>1</v>
      </c>
    </row>
    <row r="112" spans="1:10">
      <c r="A112" s="26" t="s">
        <v>200</v>
      </c>
      <c r="B112" s="26">
        <v>39</v>
      </c>
      <c r="C112" s="26" t="s">
        <v>53</v>
      </c>
      <c r="D112" s="26" t="s">
        <v>54</v>
      </c>
      <c r="E112" s="27" t="s">
        <v>61</v>
      </c>
      <c r="F112" s="26" t="s">
        <v>76</v>
      </c>
      <c r="G112" s="28">
        <v>3836405</v>
      </c>
      <c r="H112" s="26">
        <v>10</v>
      </c>
      <c r="I112" s="26" t="s">
        <v>67</v>
      </c>
      <c r="J112" s="26" t="b">
        <v>1</v>
      </c>
    </row>
    <row r="113" spans="1:10">
      <c r="A113" s="26" t="s">
        <v>201</v>
      </c>
      <c r="B113" s="26">
        <v>25</v>
      </c>
      <c r="C113" s="26" t="s">
        <v>53</v>
      </c>
      <c r="D113" s="26" t="s">
        <v>54</v>
      </c>
      <c r="E113" s="27" t="s">
        <v>65</v>
      </c>
      <c r="F113" s="26" t="s">
        <v>66</v>
      </c>
      <c r="G113" s="28">
        <v>5659050</v>
      </c>
      <c r="H113" s="26">
        <v>3</v>
      </c>
      <c r="I113" s="26" t="s">
        <v>57</v>
      </c>
      <c r="J113" s="26" t="b">
        <v>0</v>
      </c>
    </row>
    <row r="114" spans="1:10">
      <c r="A114" s="26" t="s">
        <v>202</v>
      </c>
      <c r="B114" s="26">
        <v>38</v>
      </c>
      <c r="C114" s="26" t="s">
        <v>53</v>
      </c>
      <c r="D114" s="26" t="s">
        <v>60</v>
      </c>
      <c r="E114" s="27" t="s">
        <v>73</v>
      </c>
      <c r="F114" s="26" t="s">
        <v>90</v>
      </c>
      <c r="G114" s="28">
        <v>7524010</v>
      </c>
      <c r="H114" s="26">
        <v>5</v>
      </c>
      <c r="I114" s="26" t="s">
        <v>60</v>
      </c>
      <c r="J114" s="26" t="b">
        <v>1</v>
      </c>
    </row>
    <row r="115" spans="1:10">
      <c r="A115" s="26" t="s">
        <v>203</v>
      </c>
      <c r="B115" s="26">
        <v>41</v>
      </c>
      <c r="C115" s="26" t="s">
        <v>53</v>
      </c>
      <c r="D115" s="26" t="s">
        <v>54</v>
      </c>
      <c r="E115" s="27" t="s">
        <v>85</v>
      </c>
      <c r="F115" s="26" t="s">
        <v>90</v>
      </c>
      <c r="G115" s="28">
        <v>3883370</v>
      </c>
      <c r="H115" s="26">
        <v>4</v>
      </c>
      <c r="I115" s="26" t="s">
        <v>60</v>
      </c>
      <c r="J115" s="26" t="b">
        <v>0</v>
      </c>
    </row>
    <row r="116" spans="1:10">
      <c r="A116" s="26" t="s">
        <v>204</v>
      </c>
      <c r="B116" s="26">
        <v>49</v>
      </c>
      <c r="C116" s="26" t="s">
        <v>53</v>
      </c>
      <c r="D116" s="26" t="s">
        <v>54</v>
      </c>
      <c r="E116" s="27" t="s">
        <v>85</v>
      </c>
      <c r="F116" s="26" t="s">
        <v>167</v>
      </c>
      <c r="G116" s="28">
        <v>2528670</v>
      </c>
      <c r="H116" s="26"/>
      <c r="I116" s="26" t="s">
        <v>67</v>
      </c>
      <c r="J116" s="26" t="b">
        <v>1</v>
      </c>
    </row>
    <row r="117" spans="1:10">
      <c r="A117" s="26" t="s">
        <v>205</v>
      </c>
      <c r="B117" s="26">
        <v>21</v>
      </c>
      <c r="C117" s="26" t="s">
        <v>59</v>
      </c>
      <c r="D117" s="26" t="s">
        <v>60</v>
      </c>
      <c r="E117" s="27" t="s">
        <v>55</v>
      </c>
      <c r="F117" s="26" t="s">
        <v>56</v>
      </c>
      <c r="G117" s="28">
        <v>2515805</v>
      </c>
      <c r="H117" s="26">
        <v>8</v>
      </c>
      <c r="I117" s="26" t="s">
        <v>60</v>
      </c>
      <c r="J117" s="26" t="b">
        <v>0</v>
      </c>
    </row>
    <row r="118" spans="1:10">
      <c r="A118" s="26" t="s">
        <v>206</v>
      </c>
      <c r="B118" s="26">
        <v>37</v>
      </c>
      <c r="C118" s="26" t="s">
        <v>59</v>
      </c>
      <c r="D118" s="26" t="s">
        <v>54</v>
      </c>
      <c r="E118" s="27" t="s">
        <v>55</v>
      </c>
      <c r="F118" s="26" t="s">
        <v>66</v>
      </c>
      <c r="G118" s="28">
        <v>5087255</v>
      </c>
      <c r="H118" s="26">
        <v>7</v>
      </c>
      <c r="I118" s="26" t="s">
        <v>67</v>
      </c>
      <c r="J118" s="26" t="b">
        <v>0</v>
      </c>
    </row>
    <row r="119" spans="1:10">
      <c r="A119" s="26" t="s">
        <v>207</v>
      </c>
      <c r="B119" s="26">
        <v>30</v>
      </c>
      <c r="C119" s="26" t="s">
        <v>53</v>
      </c>
      <c r="D119" s="26" t="s">
        <v>60</v>
      </c>
      <c r="E119" s="27" t="s">
        <v>85</v>
      </c>
      <c r="F119" s="26" t="s">
        <v>80</v>
      </c>
      <c r="G119" s="28">
        <v>4163145</v>
      </c>
      <c r="H119" s="26">
        <v>4</v>
      </c>
      <c r="I119" s="26" t="s">
        <v>60</v>
      </c>
      <c r="J119" s="26" t="b">
        <v>1</v>
      </c>
    </row>
    <row r="120" spans="1:10">
      <c r="A120" s="26" t="s">
        <v>208</v>
      </c>
      <c r="B120" s="26">
        <v>18</v>
      </c>
      <c r="C120" s="26" t="s">
        <v>53</v>
      </c>
      <c r="D120" s="26" t="s">
        <v>60</v>
      </c>
      <c r="E120" s="27" t="s">
        <v>61</v>
      </c>
      <c r="F120" s="26" t="s">
        <v>98</v>
      </c>
      <c r="G120" s="28">
        <v>3989235</v>
      </c>
      <c r="H120" s="26">
        <v>7</v>
      </c>
      <c r="I120" s="26" t="s">
        <v>63</v>
      </c>
      <c r="J120" s="26" t="b">
        <v>1</v>
      </c>
    </row>
    <row r="121" spans="1:10">
      <c r="A121" s="26" t="s">
        <v>209</v>
      </c>
      <c r="B121" s="26">
        <v>41</v>
      </c>
      <c r="C121" s="26" t="s">
        <v>53</v>
      </c>
      <c r="D121" s="26" t="s">
        <v>54</v>
      </c>
      <c r="E121" s="27" t="s">
        <v>55</v>
      </c>
      <c r="F121" s="26" t="s">
        <v>66</v>
      </c>
      <c r="G121" s="28">
        <v>3185095</v>
      </c>
      <c r="H121" s="26">
        <v>4</v>
      </c>
      <c r="I121" s="26" t="s">
        <v>67</v>
      </c>
      <c r="J121" s="26" t="b">
        <v>1</v>
      </c>
    </row>
    <row r="122" spans="1:10">
      <c r="A122" s="26" t="s">
        <v>210</v>
      </c>
      <c r="B122" s="26">
        <v>40</v>
      </c>
      <c r="C122" s="26" t="s">
        <v>59</v>
      </c>
      <c r="D122" s="26" t="s">
        <v>60</v>
      </c>
      <c r="E122" s="27" t="s">
        <v>85</v>
      </c>
      <c r="F122" s="26" t="s">
        <v>82</v>
      </c>
      <c r="G122" s="28">
        <v>6322605</v>
      </c>
      <c r="H122" s="26">
        <v>7</v>
      </c>
      <c r="I122" s="26" t="s">
        <v>67</v>
      </c>
      <c r="J122" s="26" t="b">
        <v>1</v>
      </c>
    </row>
    <row r="123" spans="1:10">
      <c r="A123" s="26" t="s">
        <v>211</v>
      </c>
      <c r="B123" s="26">
        <v>33</v>
      </c>
      <c r="C123" s="26" t="s">
        <v>53</v>
      </c>
      <c r="D123" s="26" t="s">
        <v>60</v>
      </c>
      <c r="E123" s="27" t="s">
        <v>85</v>
      </c>
      <c r="F123" s="26" t="s">
        <v>62</v>
      </c>
      <c r="G123" s="28">
        <v>3948315</v>
      </c>
      <c r="H123" s="26">
        <v>6</v>
      </c>
      <c r="I123" s="26" t="s">
        <v>63</v>
      </c>
      <c r="J123" s="26" t="b">
        <v>1</v>
      </c>
    </row>
    <row r="124" spans="1:10">
      <c r="A124" s="26" t="s">
        <v>212</v>
      </c>
      <c r="B124" s="26">
        <v>30</v>
      </c>
      <c r="C124" s="26" t="s">
        <v>53</v>
      </c>
      <c r="D124" s="26" t="s">
        <v>54</v>
      </c>
      <c r="E124" s="27" t="s">
        <v>55</v>
      </c>
      <c r="F124" s="26" t="s">
        <v>134</v>
      </c>
      <c r="G124" s="28">
        <v>6165590</v>
      </c>
      <c r="H124" s="26">
        <v>12</v>
      </c>
      <c r="I124" s="26" t="s">
        <v>63</v>
      </c>
      <c r="J124" s="26" t="b">
        <v>0</v>
      </c>
    </row>
    <row r="125" spans="1:10">
      <c r="A125" s="26" t="s">
        <v>213</v>
      </c>
      <c r="B125" s="26">
        <v>33</v>
      </c>
      <c r="C125" s="26" t="s">
        <v>53</v>
      </c>
      <c r="D125" s="26" t="s">
        <v>60</v>
      </c>
      <c r="E125" s="27" t="s">
        <v>85</v>
      </c>
      <c r="F125" s="26" t="s">
        <v>98</v>
      </c>
      <c r="G125" s="28">
        <v>4731995</v>
      </c>
      <c r="H125" s="26">
        <v>3</v>
      </c>
      <c r="I125" s="26" t="s">
        <v>63</v>
      </c>
      <c r="J125" s="26" t="b">
        <v>1</v>
      </c>
    </row>
    <row r="126" spans="1:10">
      <c r="A126" s="26" t="s">
        <v>214</v>
      </c>
      <c r="B126" s="26">
        <v>45</v>
      </c>
      <c r="C126" s="26" t="s">
        <v>59</v>
      </c>
      <c r="D126" s="26" t="s">
        <v>54</v>
      </c>
      <c r="E126" s="27" t="s">
        <v>73</v>
      </c>
      <c r="F126" s="26" t="s">
        <v>62</v>
      </c>
      <c r="G126" s="28">
        <v>3996830</v>
      </c>
      <c r="H126" s="26">
        <v>6</v>
      </c>
      <c r="I126" s="26" t="s">
        <v>57</v>
      </c>
      <c r="J126" s="26" t="b">
        <v>1</v>
      </c>
    </row>
    <row r="127" spans="1:10">
      <c r="A127" s="26" t="s">
        <v>215</v>
      </c>
      <c r="B127" s="26">
        <v>42</v>
      </c>
      <c r="C127" s="26" t="s">
        <v>53</v>
      </c>
      <c r="D127" s="26" t="s">
        <v>60</v>
      </c>
      <c r="E127" s="27" t="s">
        <v>65</v>
      </c>
      <c r="F127" s="26" t="s">
        <v>167</v>
      </c>
      <c r="G127" s="28">
        <v>6098475</v>
      </c>
      <c r="H127" s="26">
        <v>12</v>
      </c>
      <c r="I127" s="26" t="s">
        <v>67</v>
      </c>
      <c r="J127" s="26" t="b">
        <v>0</v>
      </c>
    </row>
    <row r="128" spans="1:10">
      <c r="A128" s="26" t="s">
        <v>216</v>
      </c>
      <c r="B128" s="26">
        <v>30</v>
      </c>
      <c r="C128" s="26" t="s">
        <v>59</v>
      </c>
      <c r="D128" s="26" t="s">
        <v>60</v>
      </c>
      <c r="E128" s="27" t="s">
        <v>65</v>
      </c>
      <c r="F128" s="26" t="s">
        <v>113</v>
      </c>
      <c r="G128" s="28">
        <v>906595</v>
      </c>
      <c r="H128" s="26">
        <v>6</v>
      </c>
      <c r="I128" s="26" t="s">
        <v>63</v>
      </c>
      <c r="J128" s="26" t="b">
        <v>1</v>
      </c>
    </row>
    <row r="129" spans="1:10">
      <c r="A129" s="26" t="s">
        <v>217</v>
      </c>
      <c r="B129" s="26">
        <v>42</v>
      </c>
      <c r="C129" s="26" t="s">
        <v>59</v>
      </c>
      <c r="D129" s="26" t="s">
        <v>54</v>
      </c>
      <c r="E129" s="27" t="s">
        <v>73</v>
      </c>
      <c r="F129" s="26" t="s">
        <v>137</v>
      </c>
      <c r="G129" s="28">
        <v>3510440</v>
      </c>
      <c r="H129" s="26">
        <v>11</v>
      </c>
      <c r="I129" s="26" t="s">
        <v>57</v>
      </c>
      <c r="J129" s="26" t="b">
        <v>1</v>
      </c>
    </row>
    <row r="130" spans="1:10">
      <c r="A130" s="26" t="s">
        <v>218</v>
      </c>
      <c r="B130" s="26">
        <v>26</v>
      </c>
      <c r="C130" s="26" t="s">
        <v>53</v>
      </c>
      <c r="D130" s="26" t="s">
        <v>60</v>
      </c>
      <c r="E130" s="27" t="s">
        <v>85</v>
      </c>
      <c r="F130" s="26" t="s">
        <v>90</v>
      </c>
      <c r="G130" s="28">
        <v>7272910</v>
      </c>
      <c r="H130" s="26">
        <v>6</v>
      </c>
      <c r="I130" s="26" t="s">
        <v>60</v>
      </c>
      <c r="J130" s="26" t="b">
        <v>0</v>
      </c>
    </row>
    <row r="131" spans="1:10">
      <c r="A131" s="26" t="s">
        <v>219</v>
      </c>
      <c r="B131" s="26">
        <v>42</v>
      </c>
      <c r="C131" s="26" t="s">
        <v>53</v>
      </c>
      <c r="D131" s="26" t="s">
        <v>60</v>
      </c>
      <c r="E131" s="27" t="s">
        <v>85</v>
      </c>
      <c r="F131" s="26" t="s">
        <v>167</v>
      </c>
      <c r="G131" s="28">
        <v>5197460</v>
      </c>
      <c r="H131" s="26">
        <v>6</v>
      </c>
      <c r="I131" s="26" t="s">
        <v>57</v>
      </c>
      <c r="J131" s="26" t="b">
        <v>1</v>
      </c>
    </row>
    <row r="132" spans="1:10">
      <c r="A132" s="26" t="s">
        <v>220</v>
      </c>
      <c r="B132" s="26">
        <v>31</v>
      </c>
      <c r="C132" s="26" t="s">
        <v>59</v>
      </c>
      <c r="D132" s="26" t="s">
        <v>60</v>
      </c>
      <c r="E132" s="27" t="s">
        <v>73</v>
      </c>
      <c r="F132" s="26" t="s">
        <v>88</v>
      </c>
      <c r="G132" s="28">
        <v>2863470</v>
      </c>
      <c r="H132" s="26">
        <v>5</v>
      </c>
      <c r="I132" s="26" t="s">
        <v>63</v>
      </c>
      <c r="J132" s="26" t="b">
        <v>0</v>
      </c>
    </row>
    <row r="133" spans="1:10">
      <c r="A133" s="26" t="s">
        <v>221</v>
      </c>
      <c r="B133" s="26">
        <v>37</v>
      </c>
      <c r="C133" s="26" t="s">
        <v>59</v>
      </c>
      <c r="D133" s="26" t="s">
        <v>60</v>
      </c>
      <c r="E133" s="27" t="s">
        <v>65</v>
      </c>
      <c r="F133" s="26" t="s">
        <v>140</v>
      </c>
      <c r="G133" s="28">
        <v>6853790</v>
      </c>
      <c r="H133" s="26">
        <v>5</v>
      </c>
      <c r="I133" s="26" t="s">
        <v>57</v>
      </c>
      <c r="J133" s="26" t="b">
        <v>0</v>
      </c>
    </row>
    <row r="134" spans="1:10">
      <c r="A134" s="26" t="s">
        <v>222</v>
      </c>
      <c r="B134" s="26">
        <v>49</v>
      </c>
      <c r="C134" s="26" t="s">
        <v>59</v>
      </c>
      <c r="D134" s="26" t="s">
        <v>60</v>
      </c>
      <c r="E134" s="27" t="s">
        <v>55</v>
      </c>
      <c r="F134" s="26" t="s">
        <v>113</v>
      </c>
      <c r="G134" s="28">
        <v>6620050</v>
      </c>
      <c r="H134" s="26">
        <v>8</v>
      </c>
      <c r="I134" s="26" t="s">
        <v>60</v>
      </c>
      <c r="J134" s="26" t="b">
        <v>0</v>
      </c>
    </row>
    <row r="135" spans="1:10">
      <c r="A135" s="26" t="s">
        <v>223</v>
      </c>
      <c r="B135" s="26">
        <v>34</v>
      </c>
      <c r="C135" s="26" t="s">
        <v>59</v>
      </c>
      <c r="D135" s="26" t="s">
        <v>60</v>
      </c>
      <c r="E135" s="27" t="s">
        <v>85</v>
      </c>
      <c r="F135" s="26" t="s">
        <v>69</v>
      </c>
      <c r="G135" s="28">
        <v>5065710</v>
      </c>
      <c r="H135" s="26">
        <v>4</v>
      </c>
      <c r="I135" s="26" t="s">
        <v>60</v>
      </c>
      <c r="J135" s="26" t="b">
        <v>1</v>
      </c>
    </row>
    <row r="136" spans="1:10">
      <c r="A136" s="26" t="s">
        <v>224</v>
      </c>
      <c r="B136" s="26">
        <v>41</v>
      </c>
      <c r="C136" s="26" t="s">
        <v>59</v>
      </c>
      <c r="D136" s="26" t="s">
        <v>60</v>
      </c>
      <c r="E136" s="27" t="s">
        <v>78</v>
      </c>
      <c r="F136" s="26" t="s">
        <v>225</v>
      </c>
      <c r="G136" s="28">
        <v>1534035</v>
      </c>
      <c r="H136" s="26">
        <v>12</v>
      </c>
      <c r="I136" s="26" t="s">
        <v>57</v>
      </c>
      <c r="J136" s="26" t="b">
        <v>1</v>
      </c>
    </row>
    <row r="137" spans="1:10">
      <c r="A137" s="26" t="s">
        <v>226</v>
      </c>
      <c r="B137" s="26">
        <v>33</v>
      </c>
      <c r="C137" s="26" t="s">
        <v>59</v>
      </c>
      <c r="D137" s="26" t="s">
        <v>60</v>
      </c>
      <c r="E137" s="27" t="s">
        <v>73</v>
      </c>
      <c r="F137" s="26" t="s">
        <v>90</v>
      </c>
      <c r="G137" s="28">
        <v>1203575</v>
      </c>
      <c r="H137" s="26">
        <v>6</v>
      </c>
      <c r="I137" s="26" t="s">
        <v>63</v>
      </c>
      <c r="J137" s="26" t="b">
        <v>1</v>
      </c>
    </row>
    <row r="138" spans="1:10">
      <c r="A138" s="26" t="s">
        <v>227</v>
      </c>
      <c r="B138" s="26">
        <v>47</v>
      </c>
      <c r="C138" s="26" t="s">
        <v>53</v>
      </c>
      <c r="D138" s="26" t="s">
        <v>54</v>
      </c>
      <c r="E138" s="27" t="s">
        <v>85</v>
      </c>
      <c r="F138" s="26" t="s">
        <v>98</v>
      </c>
      <c r="G138" s="28">
        <v>1326955</v>
      </c>
      <c r="H138" s="26">
        <v>2</v>
      </c>
      <c r="I138" s="26" t="s">
        <v>60</v>
      </c>
      <c r="J138" s="26" t="b">
        <v>1</v>
      </c>
    </row>
    <row r="139" spans="1:10">
      <c r="A139" s="26" t="s">
        <v>228</v>
      </c>
      <c r="B139" s="26">
        <v>47</v>
      </c>
      <c r="C139" s="26" t="s">
        <v>59</v>
      </c>
      <c r="D139" s="26" t="s">
        <v>60</v>
      </c>
      <c r="E139" s="27" t="s">
        <v>61</v>
      </c>
      <c r="F139" s="26" t="s">
        <v>62</v>
      </c>
      <c r="G139" s="28">
        <v>2554245</v>
      </c>
      <c r="H139" s="26">
        <v>4</v>
      </c>
      <c r="I139" s="26" t="s">
        <v>57</v>
      </c>
      <c r="J139" s="26" t="b">
        <v>1</v>
      </c>
    </row>
    <row r="140" spans="1:10">
      <c r="A140" s="26" t="s">
        <v>229</v>
      </c>
      <c r="B140" s="26">
        <v>29</v>
      </c>
      <c r="C140" s="26" t="s">
        <v>53</v>
      </c>
      <c r="D140" s="26" t="s">
        <v>60</v>
      </c>
      <c r="E140" s="27" t="s">
        <v>78</v>
      </c>
      <c r="F140" s="26" t="s">
        <v>113</v>
      </c>
      <c r="G140" s="28">
        <v>3649630</v>
      </c>
      <c r="H140" s="26">
        <v>10</v>
      </c>
      <c r="I140" s="26" t="s">
        <v>57</v>
      </c>
      <c r="J140" s="26" t="b">
        <v>0</v>
      </c>
    </row>
    <row r="141" spans="1:10">
      <c r="A141" s="26" t="s">
        <v>230</v>
      </c>
      <c r="B141" s="26">
        <v>36</v>
      </c>
      <c r="C141" s="26" t="s">
        <v>53</v>
      </c>
      <c r="D141" s="26" t="s">
        <v>60</v>
      </c>
      <c r="E141" s="27" t="s">
        <v>55</v>
      </c>
      <c r="F141" s="26" t="s">
        <v>76</v>
      </c>
      <c r="G141" s="28">
        <v>3799670</v>
      </c>
      <c r="H141" s="26">
        <v>4</v>
      </c>
      <c r="I141" s="26" t="s">
        <v>60</v>
      </c>
      <c r="J141" s="26" t="b">
        <v>1</v>
      </c>
    </row>
    <row r="142" spans="1:10">
      <c r="A142" s="26" t="s">
        <v>231</v>
      </c>
      <c r="B142" s="26">
        <v>43</v>
      </c>
      <c r="C142" s="26" t="s">
        <v>59</v>
      </c>
      <c r="D142" s="26" t="s">
        <v>60</v>
      </c>
      <c r="E142" s="27" t="s">
        <v>55</v>
      </c>
      <c r="F142" s="26" t="s">
        <v>104</v>
      </c>
      <c r="G142" s="28">
        <v>6818605</v>
      </c>
      <c r="H142" s="26">
        <v>5</v>
      </c>
      <c r="I142" s="26" t="s">
        <v>67</v>
      </c>
      <c r="J142" s="26" t="b">
        <v>0</v>
      </c>
    </row>
    <row r="143" spans="1:10">
      <c r="A143" s="26" t="s">
        <v>232</v>
      </c>
      <c r="B143" s="26">
        <v>31</v>
      </c>
      <c r="C143" s="26" t="s">
        <v>59</v>
      </c>
      <c r="D143" s="26" t="s">
        <v>60</v>
      </c>
      <c r="E143" s="27" t="s">
        <v>65</v>
      </c>
      <c r="F143" s="26" t="s">
        <v>69</v>
      </c>
      <c r="G143" s="28">
        <v>4792910</v>
      </c>
      <c r="H143" s="26"/>
      <c r="I143" s="26" t="s">
        <v>67</v>
      </c>
      <c r="J143" s="26" t="b">
        <v>0</v>
      </c>
    </row>
    <row r="144" spans="1:10">
      <c r="A144" s="26" t="s">
        <v>233</v>
      </c>
      <c r="B144" s="26">
        <v>27</v>
      </c>
      <c r="C144" s="26" t="s">
        <v>59</v>
      </c>
      <c r="D144" s="26" t="s">
        <v>54</v>
      </c>
      <c r="E144" s="27" t="s">
        <v>65</v>
      </c>
      <c r="F144" s="26" t="s">
        <v>121</v>
      </c>
      <c r="G144" s="28">
        <v>2272145</v>
      </c>
      <c r="H144" s="26">
        <v>10</v>
      </c>
      <c r="I144" s="26" t="s">
        <v>67</v>
      </c>
      <c r="J144" s="26" t="b">
        <v>0</v>
      </c>
    </row>
    <row r="145" spans="1:10">
      <c r="A145" s="26" t="s">
        <v>234</v>
      </c>
      <c r="B145" s="26">
        <v>48</v>
      </c>
      <c r="C145" s="26" t="s">
        <v>59</v>
      </c>
      <c r="D145" s="26" t="s">
        <v>54</v>
      </c>
      <c r="E145" s="27" t="s">
        <v>61</v>
      </c>
      <c r="F145" s="26" t="s">
        <v>92</v>
      </c>
      <c r="G145" s="28">
        <v>4630315</v>
      </c>
      <c r="H145" s="26">
        <v>4</v>
      </c>
      <c r="I145" s="26" t="s">
        <v>60</v>
      </c>
      <c r="J145" s="26" t="b">
        <v>0</v>
      </c>
    </row>
    <row r="146" spans="1:10">
      <c r="A146" s="26" t="s">
        <v>235</v>
      </c>
      <c r="B146" s="26">
        <v>19</v>
      </c>
      <c r="C146" s="26" t="s">
        <v>59</v>
      </c>
      <c r="D146" s="26" t="s">
        <v>60</v>
      </c>
      <c r="E146" s="27" t="s">
        <v>73</v>
      </c>
      <c r="F146" s="26" t="s">
        <v>62</v>
      </c>
      <c r="G146" s="28">
        <v>6122655</v>
      </c>
      <c r="H146" s="26">
        <v>2</v>
      </c>
      <c r="I146" s="26" t="s">
        <v>63</v>
      </c>
      <c r="J146" s="26" t="b">
        <v>1</v>
      </c>
    </row>
    <row r="147" spans="1:10">
      <c r="A147" s="26" t="s">
        <v>236</v>
      </c>
      <c r="B147" s="26">
        <v>41</v>
      </c>
      <c r="C147" s="26" t="s">
        <v>59</v>
      </c>
      <c r="D147" s="26" t="s">
        <v>54</v>
      </c>
      <c r="E147" s="27" t="s">
        <v>85</v>
      </c>
      <c r="F147" s="26" t="s">
        <v>98</v>
      </c>
      <c r="G147" s="28">
        <v>5753445</v>
      </c>
      <c r="H147" s="26">
        <v>10</v>
      </c>
      <c r="I147" s="26" t="s">
        <v>60</v>
      </c>
      <c r="J147" s="26" t="b">
        <v>0</v>
      </c>
    </row>
    <row r="148" spans="1:10">
      <c r="A148" s="26" t="s">
        <v>237</v>
      </c>
      <c r="B148" s="26">
        <v>33</v>
      </c>
      <c r="C148" s="26" t="s">
        <v>53</v>
      </c>
      <c r="D148" s="26" t="s">
        <v>54</v>
      </c>
      <c r="E148" s="27" t="s">
        <v>61</v>
      </c>
      <c r="F148" s="26" t="s">
        <v>98</v>
      </c>
      <c r="G148" s="28">
        <v>3003280</v>
      </c>
      <c r="H148" s="26">
        <v>10</v>
      </c>
      <c r="I148" s="26" t="s">
        <v>63</v>
      </c>
      <c r="J148" s="26" t="b">
        <v>0</v>
      </c>
    </row>
    <row r="149" spans="1:10">
      <c r="A149" s="26" t="s">
        <v>238</v>
      </c>
      <c r="B149" s="26">
        <v>43</v>
      </c>
      <c r="C149" s="26" t="s">
        <v>59</v>
      </c>
      <c r="D149" s="26" t="s">
        <v>54</v>
      </c>
      <c r="E149" s="27" t="s">
        <v>65</v>
      </c>
      <c r="F149" s="26" t="s">
        <v>102</v>
      </c>
      <c r="G149" s="28">
        <v>6576185</v>
      </c>
      <c r="H149" s="26">
        <v>6</v>
      </c>
      <c r="I149" s="26" t="s">
        <v>57</v>
      </c>
      <c r="J149" s="26" t="b">
        <v>1</v>
      </c>
    </row>
    <row r="150" spans="1:10">
      <c r="A150" s="26" t="s">
        <v>239</v>
      </c>
      <c r="B150" s="26">
        <v>38</v>
      </c>
      <c r="C150" s="26" t="s">
        <v>59</v>
      </c>
      <c r="D150" s="26" t="s">
        <v>60</v>
      </c>
      <c r="E150" s="27" t="s">
        <v>65</v>
      </c>
      <c r="F150" s="26" t="s">
        <v>167</v>
      </c>
      <c r="G150" s="28">
        <v>7689705</v>
      </c>
      <c r="H150" s="26">
        <v>2</v>
      </c>
      <c r="I150" s="26" t="s">
        <v>60</v>
      </c>
      <c r="J150" s="26" t="b">
        <v>1</v>
      </c>
    </row>
    <row r="151" spans="1:10">
      <c r="A151" s="26" t="s">
        <v>240</v>
      </c>
      <c r="B151" s="26">
        <v>41</v>
      </c>
      <c r="C151" s="26" t="s">
        <v>59</v>
      </c>
      <c r="D151" s="26" t="s">
        <v>60</v>
      </c>
      <c r="E151" s="27" t="s">
        <v>85</v>
      </c>
      <c r="F151" s="26" t="s">
        <v>102</v>
      </c>
      <c r="G151" s="28">
        <v>5299605</v>
      </c>
      <c r="H151" s="26">
        <v>3</v>
      </c>
      <c r="I151" s="26" t="s">
        <v>67</v>
      </c>
      <c r="J151" s="26" t="b">
        <v>0</v>
      </c>
    </row>
    <row r="152" spans="1:10">
      <c r="A152" s="26" t="s">
        <v>241</v>
      </c>
      <c r="B152" s="26">
        <v>40</v>
      </c>
      <c r="C152" s="26" t="s">
        <v>59</v>
      </c>
      <c r="D152" s="26" t="s">
        <v>60</v>
      </c>
      <c r="E152" s="27" t="s">
        <v>65</v>
      </c>
      <c r="F152" s="26" t="s">
        <v>56</v>
      </c>
      <c r="G152" s="28">
        <v>1978730</v>
      </c>
      <c r="H152" s="26">
        <v>11</v>
      </c>
      <c r="I152" s="26" t="s">
        <v>67</v>
      </c>
      <c r="J152" s="26" t="b">
        <v>0</v>
      </c>
    </row>
    <row r="153" spans="1:10">
      <c r="A153" s="26" t="s">
        <v>242</v>
      </c>
      <c r="B153" s="26">
        <v>47</v>
      </c>
      <c r="C153" s="26" t="s">
        <v>53</v>
      </c>
      <c r="D153" s="26" t="s">
        <v>54</v>
      </c>
      <c r="E153" s="27" t="s">
        <v>85</v>
      </c>
      <c r="F153" s="26" t="s">
        <v>100</v>
      </c>
      <c r="G153" s="28">
        <v>3525785</v>
      </c>
      <c r="H153" s="26">
        <v>2</v>
      </c>
      <c r="I153" s="26" t="s">
        <v>67</v>
      </c>
      <c r="J153" s="26" t="b">
        <v>1</v>
      </c>
    </row>
    <row r="154" spans="1:10">
      <c r="A154" s="26" t="s">
        <v>243</v>
      </c>
      <c r="B154" s="26">
        <v>35</v>
      </c>
      <c r="C154" s="26" t="s">
        <v>59</v>
      </c>
      <c r="D154" s="26" t="s">
        <v>60</v>
      </c>
      <c r="E154" s="27" t="s">
        <v>65</v>
      </c>
      <c r="F154" s="26" t="s">
        <v>113</v>
      </c>
      <c r="G154" s="28">
        <v>5316345</v>
      </c>
      <c r="H154" s="26">
        <v>3</v>
      </c>
      <c r="I154" s="26" t="s">
        <v>67</v>
      </c>
      <c r="J154" s="26" t="b">
        <v>0</v>
      </c>
    </row>
    <row r="155" spans="1:10">
      <c r="A155" s="26" t="s">
        <v>244</v>
      </c>
      <c r="B155" s="26">
        <v>49</v>
      </c>
      <c r="C155" s="26" t="s">
        <v>53</v>
      </c>
      <c r="D155" s="26" t="s">
        <v>60</v>
      </c>
      <c r="E155" s="27" t="s">
        <v>61</v>
      </c>
      <c r="F155" s="26" t="s">
        <v>96</v>
      </c>
      <c r="G155" s="28">
        <v>4750440</v>
      </c>
      <c r="H155" s="26">
        <v>5</v>
      </c>
      <c r="I155" s="26" t="s">
        <v>63</v>
      </c>
      <c r="J155" s="26" t="b">
        <v>0</v>
      </c>
    </row>
    <row r="156" spans="1:10">
      <c r="A156" s="26" t="s">
        <v>245</v>
      </c>
      <c r="B156" s="26">
        <v>22</v>
      </c>
      <c r="C156" s="26" t="s">
        <v>59</v>
      </c>
      <c r="D156" s="26" t="s">
        <v>54</v>
      </c>
      <c r="E156" s="27" t="s">
        <v>55</v>
      </c>
      <c r="F156" s="26" t="s">
        <v>69</v>
      </c>
      <c r="G156" s="28">
        <v>4782370</v>
      </c>
      <c r="H156" s="26">
        <v>3</v>
      </c>
      <c r="I156" s="26" t="s">
        <v>60</v>
      </c>
      <c r="J156" s="26" t="b">
        <v>0</v>
      </c>
    </row>
    <row r="157" spans="1:10">
      <c r="A157" s="26" t="s">
        <v>246</v>
      </c>
      <c r="B157" s="26">
        <v>49</v>
      </c>
      <c r="C157" s="26" t="s">
        <v>59</v>
      </c>
      <c r="D157" s="26" t="s">
        <v>60</v>
      </c>
      <c r="E157" s="27" t="s">
        <v>78</v>
      </c>
      <c r="F157" s="26" t="s">
        <v>140</v>
      </c>
      <c r="G157" s="28">
        <v>1924635</v>
      </c>
      <c r="H157" s="26">
        <v>12</v>
      </c>
      <c r="I157" s="26" t="s">
        <v>60</v>
      </c>
      <c r="J157" s="26" t="b">
        <v>1</v>
      </c>
    </row>
    <row r="158" spans="1:10">
      <c r="A158" s="26" t="s">
        <v>247</v>
      </c>
      <c r="B158" s="26">
        <v>27</v>
      </c>
      <c r="C158" s="26" t="s">
        <v>53</v>
      </c>
      <c r="D158" s="26" t="s">
        <v>54</v>
      </c>
      <c r="E158" s="27" t="s">
        <v>61</v>
      </c>
      <c r="F158" s="26" t="s">
        <v>140</v>
      </c>
      <c r="G158" s="28">
        <v>1209000</v>
      </c>
      <c r="H158" s="26">
        <v>5</v>
      </c>
      <c r="I158" s="26" t="s">
        <v>57</v>
      </c>
      <c r="J158" s="26" t="b">
        <v>1</v>
      </c>
    </row>
    <row r="159" spans="1:10">
      <c r="A159" s="26" t="s">
        <v>248</v>
      </c>
      <c r="B159" s="26">
        <v>27</v>
      </c>
      <c r="C159" s="26" t="s">
        <v>53</v>
      </c>
      <c r="D159" s="26" t="s">
        <v>60</v>
      </c>
      <c r="E159" s="27" t="s">
        <v>85</v>
      </c>
      <c r="F159" s="26" t="s">
        <v>90</v>
      </c>
      <c r="G159" s="28">
        <v>6091965</v>
      </c>
      <c r="H159" s="26">
        <v>4</v>
      </c>
      <c r="I159" s="26" t="s">
        <v>60</v>
      </c>
      <c r="J159" s="26" t="b">
        <v>1</v>
      </c>
    </row>
    <row r="160" spans="1:10">
      <c r="A160" s="26" t="s">
        <v>249</v>
      </c>
      <c r="B160" s="26">
        <v>37</v>
      </c>
      <c r="C160" s="26" t="s">
        <v>53</v>
      </c>
      <c r="D160" s="26" t="s">
        <v>60</v>
      </c>
      <c r="E160" s="27" t="s">
        <v>85</v>
      </c>
      <c r="F160" s="26" t="s">
        <v>92</v>
      </c>
      <c r="G160" s="28">
        <v>1582395</v>
      </c>
      <c r="H160" s="26">
        <v>3</v>
      </c>
      <c r="I160" s="26" t="s">
        <v>57</v>
      </c>
      <c r="J160" s="26" t="b">
        <v>0</v>
      </c>
    </row>
    <row r="161" spans="1:10">
      <c r="A161" s="26" t="s">
        <v>250</v>
      </c>
      <c r="B161" s="26">
        <v>32</v>
      </c>
      <c r="C161" s="26" t="s">
        <v>59</v>
      </c>
      <c r="D161" s="26" t="s">
        <v>54</v>
      </c>
      <c r="E161" s="27" t="s">
        <v>55</v>
      </c>
      <c r="F161" s="26" t="s">
        <v>90</v>
      </c>
      <c r="G161" s="28">
        <v>6606255</v>
      </c>
      <c r="H161" s="26">
        <v>3</v>
      </c>
      <c r="I161" s="26" t="s">
        <v>60</v>
      </c>
      <c r="J161" s="26" t="b">
        <v>0</v>
      </c>
    </row>
    <row r="162" spans="1:10">
      <c r="A162" s="26" t="s">
        <v>251</v>
      </c>
      <c r="B162" s="26">
        <v>42</v>
      </c>
      <c r="C162" s="26" t="s">
        <v>59</v>
      </c>
      <c r="D162" s="26" t="s">
        <v>54</v>
      </c>
      <c r="E162" s="27" t="s">
        <v>61</v>
      </c>
      <c r="F162" s="26" t="s">
        <v>109</v>
      </c>
      <c r="G162" s="28">
        <v>2174805</v>
      </c>
      <c r="H162" s="26">
        <v>2</v>
      </c>
      <c r="I162" s="26" t="s">
        <v>67</v>
      </c>
      <c r="J162" s="26" t="b">
        <v>1</v>
      </c>
    </row>
    <row r="163" spans="1:10">
      <c r="A163" s="26" t="s">
        <v>252</v>
      </c>
      <c r="B163" s="26">
        <v>18</v>
      </c>
      <c r="C163" s="26" t="s">
        <v>53</v>
      </c>
      <c r="D163" s="26" t="s">
        <v>60</v>
      </c>
      <c r="E163" s="27" t="s">
        <v>55</v>
      </c>
      <c r="F163" s="26" t="s">
        <v>100</v>
      </c>
      <c r="G163" s="28">
        <v>6412350</v>
      </c>
      <c r="H163" s="26">
        <v>8</v>
      </c>
      <c r="I163" s="26" t="s">
        <v>67</v>
      </c>
      <c r="J163" s="26" t="b">
        <v>0</v>
      </c>
    </row>
    <row r="164" spans="1:10">
      <c r="A164" s="26" t="s">
        <v>253</v>
      </c>
      <c r="B164" s="26">
        <v>49</v>
      </c>
      <c r="C164" s="26" t="s">
        <v>59</v>
      </c>
      <c r="D164" s="26" t="s">
        <v>60</v>
      </c>
      <c r="E164" s="27" t="s">
        <v>78</v>
      </c>
      <c r="F164" s="26" t="s">
        <v>109</v>
      </c>
      <c r="G164" s="28">
        <v>5403765</v>
      </c>
      <c r="H164" s="26">
        <v>4</v>
      </c>
      <c r="I164" s="26" t="s">
        <v>60</v>
      </c>
      <c r="J164" s="26" t="b">
        <v>0</v>
      </c>
    </row>
    <row r="165" spans="1:10">
      <c r="A165" s="26" t="s">
        <v>254</v>
      </c>
      <c r="B165" s="26">
        <v>23</v>
      </c>
      <c r="C165" s="26" t="s">
        <v>53</v>
      </c>
      <c r="D165" s="26" t="s">
        <v>54</v>
      </c>
      <c r="E165" s="27" t="s">
        <v>73</v>
      </c>
      <c r="F165" s="26" t="s">
        <v>88</v>
      </c>
      <c r="G165" s="28">
        <v>1414685</v>
      </c>
      <c r="H165" s="26">
        <v>7</v>
      </c>
      <c r="I165" s="26" t="s">
        <v>60</v>
      </c>
      <c r="J165" s="26" t="b">
        <v>1</v>
      </c>
    </row>
    <row r="166" spans="1:10">
      <c r="A166" s="26" t="s">
        <v>255</v>
      </c>
      <c r="B166" s="26">
        <v>29</v>
      </c>
      <c r="C166" s="26" t="s">
        <v>53</v>
      </c>
      <c r="D166" s="26" t="s">
        <v>60</v>
      </c>
      <c r="E166" s="27" t="s">
        <v>85</v>
      </c>
      <c r="F166" s="26" t="s">
        <v>86</v>
      </c>
      <c r="G166" s="28">
        <v>5579070</v>
      </c>
      <c r="H166" s="26">
        <v>11</v>
      </c>
      <c r="I166" s="26" t="s">
        <v>57</v>
      </c>
      <c r="J166" s="26" t="b">
        <v>0</v>
      </c>
    </row>
    <row r="167" spans="1:10">
      <c r="A167" s="26" t="s">
        <v>256</v>
      </c>
      <c r="B167" s="26">
        <v>25</v>
      </c>
      <c r="C167" s="26" t="s">
        <v>59</v>
      </c>
      <c r="D167" s="26" t="s">
        <v>54</v>
      </c>
      <c r="E167" s="27" t="s">
        <v>78</v>
      </c>
      <c r="F167" s="26" t="s">
        <v>56</v>
      </c>
      <c r="G167" s="28">
        <v>2142100</v>
      </c>
      <c r="H167" s="26">
        <v>8</v>
      </c>
      <c r="I167" s="26" t="s">
        <v>60</v>
      </c>
      <c r="J167" s="26" t="b">
        <v>0</v>
      </c>
    </row>
    <row r="168" spans="1:10">
      <c r="A168" s="26" t="s">
        <v>257</v>
      </c>
      <c r="B168" s="26">
        <v>38</v>
      </c>
      <c r="C168" s="26" t="s">
        <v>53</v>
      </c>
      <c r="D168" s="26" t="s">
        <v>60</v>
      </c>
      <c r="E168" s="27" t="s">
        <v>61</v>
      </c>
      <c r="F168" s="26" t="s">
        <v>69</v>
      </c>
      <c r="G168" s="28">
        <v>3043115</v>
      </c>
      <c r="H168" s="26">
        <v>11</v>
      </c>
      <c r="I168" s="26" t="s">
        <v>63</v>
      </c>
      <c r="J168" s="26" t="b">
        <v>1</v>
      </c>
    </row>
    <row r="169" spans="1:10">
      <c r="A169" s="26" t="s">
        <v>258</v>
      </c>
      <c r="B169" s="26">
        <v>32</v>
      </c>
      <c r="C169" s="26" t="s">
        <v>53</v>
      </c>
      <c r="D169" s="26" t="s">
        <v>54</v>
      </c>
      <c r="E169" s="27" t="s">
        <v>55</v>
      </c>
      <c r="F169" s="26" t="s">
        <v>96</v>
      </c>
      <c r="G169" s="28">
        <v>3863220</v>
      </c>
      <c r="H169" s="26">
        <v>8</v>
      </c>
      <c r="I169" s="26" t="s">
        <v>63</v>
      </c>
      <c r="J169" s="26" t="b">
        <v>0</v>
      </c>
    </row>
    <row r="170" spans="1:10">
      <c r="A170" s="26" t="s">
        <v>259</v>
      </c>
      <c r="B170" s="26">
        <v>45</v>
      </c>
      <c r="C170" s="26" t="s">
        <v>59</v>
      </c>
      <c r="D170" s="26" t="s">
        <v>60</v>
      </c>
      <c r="E170" s="27" t="s">
        <v>73</v>
      </c>
      <c r="F170" s="26" t="s">
        <v>260</v>
      </c>
      <c r="G170" s="28">
        <v>2001050</v>
      </c>
      <c r="H170" s="26">
        <v>12</v>
      </c>
      <c r="I170" s="26" t="s">
        <v>67</v>
      </c>
      <c r="J170" s="26" t="b">
        <v>1</v>
      </c>
    </row>
    <row r="171" spans="1:10">
      <c r="A171" s="26" t="s">
        <v>261</v>
      </c>
      <c r="B171" s="26">
        <v>45</v>
      </c>
      <c r="C171" s="26" t="s">
        <v>53</v>
      </c>
      <c r="D171" s="26" t="s">
        <v>60</v>
      </c>
      <c r="E171" s="27" t="s">
        <v>73</v>
      </c>
      <c r="F171" s="26" t="s">
        <v>102</v>
      </c>
      <c r="G171" s="28">
        <v>1746695</v>
      </c>
      <c r="H171" s="26"/>
      <c r="I171" s="26" t="s">
        <v>60</v>
      </c>
      <c r="J171" s="26" t="b">
        <v>0</v>
      </c>
    </row>
    <row r="172" spans="1:10">
      <c r="A172" s="26" t="s">
        <v>262</v>
      </c>
      <c r="B172" s="26">
        <v>46</v>
      </c>
      <c r="C172" s="26" t="s">
        <v>59</v>
      </c>
      <c r="D172" s="26" t="s">
        <v>54</v>
      </c>
      <c r="E172" s="27" t="s">
        <v>85</v>
      </c>
      <c r="F172" s="26" t="s">
        <v>137</v>
      </c>
      <c r="G172" s="28">
        <v>4151675</v>
      </c>
      <c r="H172" s="26">
        <v>5</v>
      </c>
      <c r="I172" s="26" t="s">
        <v>63</v>
      </c>
      <c r="J172" s="26" t="b">
        <v>0</v>
      </c>
    </row>
    <row r="173" spans="1:10">
      <c r="A173" s="26" t="s">
        <v>263</v>
      </c>
      <c r="B173" s="26">
        <v>24</v>
      </c>
      <c r="C173" s="26" t="s">
        <v>59</v>
      </c>
      <c r="D173" s="26" t="s">
        <v>54</v>
      </c>
      <c r="E173" s="27" t="s">
        <v>61</v>
      </c>
      <c r="F173" s="26" t="s">
        <v>69</v>
      </c>
      <c r="G173" s="28">
        <v>3183080</v>
      </c>
      <c r="H173" s="26">
        <v>12</v>
      </c>
      <c r="I173" s="26" t="s">
        <v>60</v>
      </c>
      <c r="J173" s="26" t="b">
        <v>0</v>
      </c>
    </row>
    <row r="174" spans="1:10">
      <c r="A174" s="26" t="s">
        <v>264</v>
      </c>
      <c r="B174" s="26">
        <v>48</v>
      </c>
      <c r="C174" s="26" t="s">
        <v>59</v>
      </c>
      <c r="D174" s="26" t="s">
        <v>60</v>
      </c>
      <c r="E174" s="27" t="s">
        <v>55</v>
      </c>
      <c r="F174" s="26" t="s">
        <v>113</v>
      </c>
      <c r="G174" s="28">
        <v>1226050</v>
      </c>
      <c r="H174" s="26">
        <v>10</v>
      </c>
      <c r="I174" s="26" t="s">
        <v>57</v>
      </c>
      <c r="J174" s="26" t="b">
        <v>1</v>
      </c>
    </row>
    <row r="175" spans="1:10">
      <c r="A175" s="26" t="s">
        <v>265</v>
      </c>
      <c r="B175" s="26">
        <v>35</v>
      </c>
      <c r="C175" s="26" t="s">
        <v>59</v>
      </c>
      <c r="D175" s="26" t="s">
        <v>60</v>
      </c>
      <c r="E175" s="27" t="s">
        <v>73</v>
      </c>
      <c r="F175" s="26" t="s">
        <v>90</v>
      </c>
      <c r="G175" s="28">
        <v>3977765</v>
      </c>
      <c r="H175" s="26">
        <v>12</v>
      </c>
      <c r="I175" s="26" t="s">
        <v>60</v>
      </c>
      <c r="J175" s="26" t="b">
        <v>1</v>
      </c>
    </row>
    <row r="176" spans="1:10">
      <c r="A176" s="26" t="s">
        <v>266</v>
      </c>
      <c r="B176" s="26">
        <v>50</v>
      </c>
      <c r="C176" s="26" t="s">
        <v>53</v>
      </c>
      <c r="D176" s="26" t="s">
        <v>60</v>
      </c>
      <c r="E176" s="27" t="s">
        <v>65</v>
      </c>
      <c r="F176" s="26" t="s">
        <v>76</v>
      </c>
      <c r="G176" s="28">
        <v>6354690</v>
      </c>
      <c r="H176" s="26">
        <v>12</v>
      </c>
      <c r="I176" s="26" t="s">
        <v>57</v>
      </c>
      <c r="J176" s="26" t="b">
        <v>1</v>
      </c>
    </row>
    <row r="177" spans="1:10">
      <c r="A177" s="26" t="s">
        <v>267</v>
      </c>
      <c r="B177" s="26">
        <v>34</v>
      </c>
      <c r="C177" s="26" t="s">
        <v>59</v>
      </c>
      <c r="D177" s="26" t="s">
        <v>54</v>
      </c>
      <c r="E177" s="27" t="s">
        <v>73</v>
      </c>
      <c r="F177" s="26" t="s">
        <v>80</v>
      </c>
      <c r="G177" s="28">
        <v>4519800</v>
      </c>
      <c r="H177" s="26">
        <v>2</v>
      </c>
      <c r="I177" s="26" t="s">
        <v>60</v>
      </c>
      <c r="J177" s="26" t="b">
        <v>0</v>
      </c>
    </row>
    <row r="178" spans="1:10">
      <c r="A178" s="26" t="s">
        <v>268</v>
      </c>
      <c r="B178" s="26">
        <v>50</v>
      </c>
      <c r="C178" s="26" t="s">
        <v>53</v>
      </c>
      <c r="D178" s="26" t="s">
        <v>54</v>
      </c>
      <c r="E178" s="27" t="s">
        <v>73</v>
      </c>
      <c r="F178" s="26" t="s">
        <v>69</v>
      </c>
      <c r="G178" s="28">
        <v>1576350</v>
      </c>
      <c r="H178" s="26">
        <v>7</v>
      </c>
      <c r="I178" s="26" t="s">
        <v>63</v>
      </c>
      <c r="J178" s="26" t="b">
        <v>0</v>
      </c>
    </row>
    <row r="179" spans="1:10">
      <c r="A179" s="26" t="s">
        <v>269</v>
      </c>
      <c r="B179" s="26">
        <v>50</v>
      </c>
      <c r="C179" s="26" t="s">
        <v>53</v>
      </c>
      <c r="D179" s="26" t="s">
        <v>54</v>
      </c>
      <c r="E179" s="27" t="s">
        <v>85</v>
      </c>
      <c r="F179" s="26" t="s">
        <v>90</v>
      </c>
      <c r="G179" s="28">
        <v>5730815</v>
      </c>
      <c r="H179" s="26">
        <v>2</v>
      </c>
      <c r="I179" s="26" t="s">
        <v>57</v>
      </c>
      <c r="J179" s="26" t="b">
        <v>1</v>
      </c>
    </row>
    <row r="180" spans="1:10">
      <c r="A180" s="26" t="s">
        <v>270</v>
      </c>
      <c r="B180" s="26">
        <v>46</v>
      </c>
      <c r="C180" s="26" t="s">
        <v>59</v>
      </c>
      <c r="D180" s="26" t="s">
        <v>54</v>
      </c>
      <c r="E180" s="27" t="s">
        <v>73</v>
      </c>
      <c r="F180" s="26" t="s">
        <v>102</v>
      </c>
      <c r="G180" s="28">
        <v>1100500</v>
      </c>
      <c r="H180" s="26">
        <v>12</v>
      </c>
      <c r="I180" s="26" t="s">
        <v>60</v>
      </c>
      <c r="J180" s="26" t="b">
        <v>0</v>
      </c>
    </row>
    <row r="181" spans="1:10">
      <c r="A181" s="26" t="s">
        <v>271</v>
      </c>
      <c r="B181" s="26">
        <v>47</v>
      </c>
      <c r="C181" s="26" t="s">
        <v>59</v>
      </c>
      <c r="D181" s="26" t="s">
        <v>54</v>
      </c>
      <c r="E181" s="27" t="s">
        <v>61</v>
      </c>
      <c r="F181" s="26" t="s">
        <v>96</v>
      </c>
      <c r="G181" s="28">
        <v>4340775</v>
      </c>
      <c r="H181" s="26">
        <v>10</v>
      </c>
      <c r="I181" s="26" t="s">
        <v>63</v>
      </c>
      <c r="J181" s="26" t="b">
        <v>1</v>
      </c>
    </row>
    <row r="182" spans="1:10">
      <c r="A182" s="26" t="s">
        <v>272</v>
      </c>
      <c r="B182" s="26">
        <v>35</v>
      </c>
      <c r="C182" s="26" t="s">
        <v>59</v>
      </c>
      <c r="D182" s="26" t="s">
        <v>60</v>
      </c>
      <c r="E182" s="27" t="s">
        <v>78</v>
      </c>
      <c r="F182" s="26" t="s">
        <v>167</v>
      </c>
      <c r="G182" s="28">
        <v>848005</v>
      </c>
      <c r="H182" s="26">
        <v>4</v>
      </c>
      <c r="I182" s="26" t="s">
        <v>67</v>
      </c>
      <c r="J182" s="26" t="b">
        <v>1</v>
      </c>
    </row>
    <row r="183" spans="1:10">
      <c r="A183" s="26" t="s">
        <v>273</v>
      </c>
      <c r="B183" s="26">
        <v>27</v>
      </c>
      <c r="C183" s="26" t="s">
        <v>59</v>
      </c>
      <c r="D183" s="26" t="s">
        <v>60</v>
      </c>
      <c r="E183" s="27" t="s">
        <v>78</v>
      </c>
      <c r="F183" s="26" t="s">
        <v>96</v>
      </c>
      <c r="G183" s="28">
        <v>1852405</v>
      </c>
      <c r="H183" s="26">
        <v>11</v>
      </c>
      <c r="I183" s="26" t="s">
        <v>67</v>
      </c>
      <c r="J183" s="26" t="b">
        <v>0</v>
      </c>
    </row>
    <row r="184" spans="1:10">
      <c r="A184" s="26" t="s">
        <v>274</v>
      </c>
      <c r="B184" s="26">
        <v>37</v>
      </c>
      <c r="C184" s="26" t="s">
        <v>53</v>
      </c>
      <c r="D184" s="26" t="s">
        <v>60</v>
      </c>
      <c r="E184" s="27" t="s">
        <v>55</v>
      </c>
      <c r="F184" s="26" t="s">
        <v>109</v>
      </c>
      <c r="G184" s="28">
        <v>891250</v>
      </c>
      <c r="H184" s="26">
        <v>12</v>
      </c>
      <c r="I184" s="26" t="s">
        <v>57</v>
      </c>
      <c r="J184" s="26" t="b">
        <v>1</v>
      </c>
    </row>
    <row r="185" spans="1:10">
      <c r="A185" s="26" t="s">
        <v>275</v>
      </c>
      <c r="B185" s="26">
        <v>38</v>
      </c>
      <c r="C185" s="26" t="s">
        <v>53</v>
      </c>
      <c r="D185" s="26" t="s">
        <v>60</v>
      </c>
      <c r="E185" s="27" t="s">
        <v>78</v>
      </c>
      <c r="F185" s="26" t="s">
        <v>76</v>
      </c>
      <c r="G185" s="28">
        <v>3488275</v>
      </c>
      <c r="H185" s="26">
        <v>5</v>
      </c>
      <c r="I185" s="26" t="s">
        <v>60</v>
      </c>
      <c r="J185" s="26" t="b">
        <v>0</v>
      </c>
    </row>
    <row r="186" spans="1:10">
      <c r="A186" s="26" t="s">
        <v>276</v>
      </c>
      <c r="B186" s="26">
        <v>41</v>
      </c>
      <c r="C186" s="26" t="s">
        <v>53</v>
      </c>
      <c r="D186" s="26" t="s">
        <v>60</v>
      </c>
      <c r="E186" s="27" t="s">
        <v>61</v>
      </c>
      <c r="F186" s="26" t="s">
        <v>62</v>
      </c>
      <c r="G186" s="28">
        <v>6837825</v>
      </c>
      <c r="H186" s="26">
        <v>7</v>
      </c>
      <c r="I186" s="26" t="s">
        <v>67</v>
      </c>
      <c r="J186" s="26" t="b">
        <v>0</v>
      </c>
    </row>
    <row r="187" spans="1:10">
      <c r="A187" s="26" t="s">
        <v>277</v>
      </c>
      <c r="B187" s="26">
        <v>48</v>
      </c>
      <c r="C187" s="26" t="s">
        <v>59</v>
      </c>
      <c r="D187" s="26" t="s">
        <v>54</v>
      </c>
      <c r="E187" s="27" t="s">
        <v>55</v>
      </c>
      <c r="F187" s="26" t="s">
        <v>88</v>
      </c>
      <c r="G187" s="28">
        <v>7458755</v>
      </c>
      <c r="H187" s="26">
        <v>3</v>
      </c>
      <c r="I187" s="26" t="s">
        <v>60</v>
      </c>
      <c r="J187" s="26" t="b">
        <v>0</v>
      </c>
    </row>
    <row r="188" spans="1:10">
      <c r="A188" s="26" t="s">
        <v>278</v>
      </c>
      <c r="B188" s="26">
        <v>48</v>
      </c>
      <c r="C188" s="26" t="s">
        <v>53</v>
      </c>
      <c r="D188" s="26" t="s">
        <v>60</v>
      </c>
      <c r="E188" s="27" t="s">
        <v>65</v>
      </c>
      <c r="F188" s="26" t="s">
        <v>109</v>
      </c>
      <c r="G188" s="28">
        <v>1595880</v>
      </c>
      <c r="H188" s="26">
        <v>3</v>
      </c>
      <c r="I188" s="26" t="s">
        <v>67</v>
      </c>
      <c r="J188" s="26" t="b">
        <v>0</v>
      </c>
    </row>
    <row r="189" spans="1:10">
      <c r="A189" s="26" t="s">
        <v>279</v>
      </c>
      <c r="B189" s="26">
        <v>45</v>
      </c>
      <c r="C189" s="26" t="s">
        <v>53</v>
      </c>
      <c r="D189" s="26" t="s">
        <v>60</v>
      </c>
      <c r="E189" s="27" t="s">
        <v>61</v>
      </c>
      <c r="F189" s="26" t="s">
        <v>98</v>
      </c>
      <c r="G189" s="28">
        <v>5139335</v>
      </c>
      <c r="H189" s="26">
        <v>11</v>
      </c>
      <c r="I189" s="26" t="s">
        <v>67</v>
      </c>
      <c r="J189" s="26" t="b">
        <v>0</v>
      </c>
    </row>
    <row r="190" spans="1:10">
      <c r="A190" s="26" t="s">
        <v>280</v>
      </c>
      <c r="B190" s="26">
        <v>26</v>
      </c>
      <c r="C190" s="26" t="s">
        <v>53</v>
      </c>
      <c r="D190" s="26" t="s">
        <v>54</v>
      </c>
      <c r="E190" s="27" t="s">
        <v>55</v>
      </c>
      <c r="F190" s="26" t="s">
        <v>98</v>
      </c>
      <c r="G190" s="28">
        <v>1569995</v>
      </c>
      <c r="H190" s="26">
        <v>11</v>
      </c>
      <c r="I190" s="26" t="s">
        <v>63</v>
      </c>
      <c r="J190" s="26" t="b">
        <v>0</v>
      </c>
    </row>
    <row r="191" spans="1:10">
      <c r="A191" s="26" t="s">
        <v>281</v>
      </c>
      <c r="B191" s="26">
        <v>50</v>
      </c>
      <c r="C191" s="26" t="s">
        <v>53</v>
      </c>
      <c r="D191" s="26" t="s">
        <v>54</v>
      </c>
      <c r="E191" s="27" t="s">
        <v>73</v>
      </c>
      <c r="F191" s="26" t="s">
        <v>96</v>
      </c>
      <c r="G191" s="28">
        <v>2224560</v>
      </c>
      <c r="H191" s="26">
        <v>9</v>
      </c>
      <c r="I191" s="26" t="s">
        <v>63</v>
      </c>
      <c r="J191" s="26" t="b">
        <v>1</v>
      </c>
    </row>
    <row r="192" spans="1:10">
      <c r="A192" s="26" t="s">
        <v>282</v>
      </c>
      <c r="B192" s="26">
        <v>39</v>
      </c>
      <c r="C192" s="26" t="s">
        <v>59</v>
      </c>
      <c r="D192" s="26" t="s">
        <v>54</v>
      </c>
      <c r="E192" s="27" t="s">
        <v>85</v>
      </c>
      <c r="F192" s="26" t="s">
        <v>80</v>
      </c>
      <c r="G192" s="28">
        <v>4285440</v>
      </c>
      <c r="H192" s="26">
        <v>3</v>
      </c>
      <c r="I192" s="26" t="s">
        <v>57</v>
      </c>
      <c r="J192" s="26" t="b">
        <v>0</v>
      </c>
    </row>
    <row r="193" spans="1:10">
      <c r="A193" s="26" t="s">
        <v>283</v>
      </c>
      <c r="B193" s="26">
        <v>20</v>
      </c>
      <c r="C193" s="26" t="s">
        <v>59</v>
      </c>
      <c r="D193" s="26" t="s">
        <v>60</v>
      </c>
      <c r="E193" s="27" t="s">
        <v>65</v>
      </c>
      <c r="F193" s="26" t="s">
        <v>104</v>
      </c>
      <c r="G193" s="28">
        <v>5469485</v>
      </c>
      <c r="H193" s="26">
        <v>11</v>
      </c>
      <c r="I193" s="26" t="s">
        <v>60</v>
      </c>
      <c r="J193" s="26" t="b">
        <v>0</v>
      </c>
    </row>
    <row r="194" spans="1:10">
      <c r="A194" s="26" t="s">
        <v>284</v>
      </c>
      <c r="B194" s="26">
        <v>48</v>
      </c>
      <c r="C194" s="26" t="s">
        <v>59</v>
      </c>
      <c r="D194" s="26" t="s">
        <v>54</v>
      </c>
      <c r="E194" s="27" t="s">
        <v>65</v>
      </c>
      <c r="F194" s="26" t="s">
        <v>82</v>
      </c>
      <c r="G194" s="28">
        <v>3544540</v>
      </c>
      <c r="H194" s="26">
        <v>3</v>
      </c>
      <c r="I194" s="26" t="s">
        <v>67</v>
      </c>
      <c r="J194" s="26" t="b">
        <v>1</v>
      </c>
    </row>
    <row r="195" spans="1:10">
      <c r="A195" s="26" t="s">
        <v>285</v>
      </c>
      <c r="B195" s="26">
        <v>31</v>
      </c>
      <c r="C195" s="26" t="s">
        <v>53</v>
      </c>
      <c r="D195" s="26" t="s">
        <v>54</v>
      </c>
      <c r="E195" s="27" t="s">
        <v>55</v>
      </c>
      <c r="F195" s="26" t="s">
        <v>62</v>
      </c>
      <c r="G195" s="28">
        <v>4671545</v>
      </c>
      <c r="H195" s="26">
        <v>6</v>
      </c>
      <c r="I195" s="26" t="s">
        <v>57</v>
      </c>
      <c r="J195" s="26" t="b">
        <v>0</v>
      </c>
    </row>
    <row r="196" spans="1:10">
      <c r="A196" s="26" t="s">
        <v>286</v>
      </c>
      <c r="B196" s="26">
        <v>25</v>
      </c>
      <c r="C196" s="26" t="s">
        <v>53</v>
      </c>
      <c r="D196" s="26" t="s">
        <v>54</v>
      </c>
      <c r="E196" s="27" t="s">
        <v>55</v>
      </c>
      <c r="F196" s="26" t="s">
        <v>76</v>
      </c>
      <c r="G196" s="28">
        <v>7339250</v>
      </c>
      <c r="H196" s="26">
        <v>11</v>
      </c>
      <c r="I196" s="26" t="s">
        <v>67</v>
      </c>
      <c r="J196" s="26" t="b">
        <v>0</v>
      </c>
    </row>
    <row r="197" spans="1:10">
      <c r="A197" s="26" t="s">
        <v>287</v>
      </c>
      <c r="B197" s="26">
        <v>18</v>
      </c>
      <c r="C197" s="26" t="s">
        <v>53</v>
      </c>
      <c r="D197" s="26" t="s">
        <v>54</v>
      </c>
      <c r="E197" s="27" t="s">
        <v>55</v>
      </c>
      <c r="F197" s="26" t="s">
        <v>69</v>
      </c>
      <c r="G197" s="28">
        <v>1128400</v>
      </c>
      <c r="H197" s="26">
        <v>11</v>
      </c>
      <c r="I197" s="26" t="s">
        <v>60</v>
      </c>
      <c r="J197" s="26" t="b">
        <v>1</v>
      </c>
    </row>
    <row r="198" spans="1:10">
      <c r="A198" s="26" t="s">
        <v>288</v>
      </c>
      <c r="B198" s="26">
        <v>18</v>
      </c>
      <c r="C198" s="26" t="s">
        <v>59</v>
      </c>
      <c r="D198" s="26" t="s">
        <v>54</v>
      </c>
      <c r="E198" s="27" t="s">
        <v>55</v>
      </c>
      <c r="F198" s="26" t="s">
        <v>96</v>
      </c>
      <c r="G198" s="28">
        <v>2661660</v>
      </c>
      <c r="H198" s="26">
        <v>3</v>
      </c>
      <c r="I198" s="26" t="s">
        <v>67</v>
      </c>
      <c r="J198" s="26" t="b">
        <v>0</v>
      </c>
    </row>
    <row r="199" spans="1:10">
      <c r="A199" s="26" t="s">
        <v>289</v>
      </c>
      <c r="B199" s="26">
        <v>31</v>
      </c>
      <c r="C199" s="26" t="s">
        <v>59</v>
      </c>
      <c r="D199" s="26" t="s">
        <v>54</v>
      </c>
      <c r="E199" s="27" t="s">
        <v>73</v>
      </c>
      <c r="F199" s="26" t="s">
        <v>100</v>
      </c>
      <c r="G199" s="28">
        <v>7246250</v>
      </c>
      <c r="H199" s="26"/>
      <c r="I199" s="26" t="s">
        <v>57</v>
      </c>
      <c r="J199" s="26" t="b">
        <v>0</v>
      </c>
    </row>
    <row r="200" spans="1:10">
      <c r="A200" s="26" t="s">
        <v>290</v>
      </c>
      <c r="B200" s="26">
        <v>43</v>
      </c>
      <c r="C200" s="26" t="s">
        <v>59</v>
      </c>
      <c r="D200" s="26" t="s">
        <v>60</v>
      </c>
      <c r="E200" s="27" t="s">
        <v>65</v>
      </c>
      <c r="F200" s="26" t="s">
        <v>71</v>
      </c>
      <c r="G200" s="28">
        <v>3251745</v>
      </c>
      <c r="H200" s="26">
        <v>6</v>
      </c>
      <c r="I200" s="26" t="s">
        <v>60</v>
      </c>
      <c r="J200" s="26" t="b">
        <v>1</v>
      </c>
    </row>
    <row r="201" spans="1:10">
      <c r="A201" s="26" t="s">
        <v>291</v>
      </c>
      <c r="B201" s="26">
        <v>23</v>
      </c>
      <c r="C201" s="26" t="s">
        <v>59</v>
      </c>
      <c r="D201" s="26" t="s">
        <v>54</v>
      </c>
      <c r="E201" s="27" t="s">
        <v>73</v>
      </c>
      <c r="F201" s="26" t="s">
        <v>66</v>
      </c>
      <c r="G201" s="28">
        <v>2330115</v>
      </c>
      <c r="H201" s="26">
        <v>9</v>
      </c>
      <c r="I201" s="26" t="s">
        <v>57</v>
      </c>
      <c r="J201" s="26" t="b">
        <v>1</v>
      </c>
    </row>
    <row r="202" spans="1:10">
      <c r="A202" s="26" t="s">
        <v>292</v>
      </c>
      <c r="B202" s="26">
        <v>29</v>
      </c>
      <c r="C202" s="26" t="s">
        <v>59</v>
      </c>
      <c r="D202" s="26" t="s">
        <v>60</v>
      </c>
      <c r="E202" s="27" t="s">
        <v>65</v>
      </c>
      <c r="F202" s="26" t="s">
        <v>86</v>
      </c>
      <c r="G202" s="28">
        <v>1528765</v>
      </c>
      <c r="H202" s="26">
        <v>7</v>
      </c>
      <c r="I202" s="26" t="s">
        <v>60</v>
      </c>
      <c r="J202" s="26" t="b">
        <v>0</v>
      </c>
    </row>
    <row r="203" spans="1:10">
      <c r="A203" s="26" t="s">
        <v>293</v>
      </c>
      <c r="B203" s="26">
        <v>21</v>
      </c>
      <c r="C203" s="26" t="s">
        <v>53</v>
      </c>
      <c r="D203" s="26" t="s">
        <v>54</v>
      </c>
      <c r="E203" s="27" t="s">
        <v>78</v>
      </c>
      <c r="F203" s="26" t="s">
        <v>137</v>
      </c>
      <c r="G203" s="28">
        <v>2996150</v>
      </c>
      <c r="H203" s="26">
        <v>11</v>
      </c>
      <c r="I203" s="26" t="s">
        <v>57</v>
      </c>
      <c r="J203" s="26" t="b">
        <v>1</v>
      </c>
    </row>
    <row r="204" spans="1:10">
      <c r="A204" s="26" t="s">
        <v>294</v>
      </c>
      <c r="B204" s="26">
        <v>49</v>
      </c>
      <c r="C204" s="26" t="s">
        <v>53</v>
      </c>
      <c r="D204" s="26" t="s">
        <v>54</v>
      </c>
      <c r="E204" s="27" t="s">
        <v>55</v>
      </c>
      <c r="F204" s="26" t="s">
        <v>86</v>
      </c>
      <c r="G204" s="28">
        <v>2247810</v>
      </c>
      <c r="H204" s="26">
        <v>7</v>
      </c>
      <c r="I204" s="26" t="s">
        <v>60</v>
      </c>
      <c r="J204" s="26" t="b">
        <v>1</v>
      </c>
    </row>
    <row r="205" spans="1:10">
      <c r="A205" s="26" t="s">
        <v>295</v>
      </c>
      <c r="B205" s="26">
        <v>30</v>
      </c>
      <c r="C205" s="26" t="s">
        <v>53</v>
      </c>
      <c r="D205" s="26" t="s">
        <v>54</v>
      </c>
      <c r="E205" s="27" t="s">
        <v>65</v>
      </c>
      <c r="F205" s="26" t="s">
        <v>113</v>
      </c>
      <c r="G205" s="28">
        <v>4572345</v>
      </c>
      <c r="H205" s="26">
        <v>4</v>
      </c>
      <c r="I205" s="26" t="s">
        <v>67</v>
      </c>
      <c r="J205" s="26" t="b">
        <v>0</v>
      </c>
    </row>
    <row r="206" spans="1:10">
      <c r="A206" s="26" t="s">
        <v>296</v>
      </c>
      <c r="B206" s="26">
        <v>31</v>
      </c>
      <c r="C206" s="26" t="s">
        <v>59</v>
      </c>
      <c r="D206" s="26" t="s">
        <v>54</v>
      </c>
      <c r="E206" s="27" t="s">
        <v>65</v>
      </c>
      <c r="F206" s="26" t="s">
        <v>66</v>
      </c>
      <c r="G206" s="28">
        <v>4734475</v>
      </c>
      <c r="H206" s="26">
        <v>2</v>
      </c>
      <c r="I206" s="26" t="s">
        <v>57</v>
      </c>
      <c r="J206" s="26" t="b">
        <v>0</v>
      </c>
    </row>
    <row r="207" spans="1:10">
      <c r="A207" s="26" t="s">
        <v>297</v>
      </c>
      <c r="B207" s="26">
        <v>50</v>
      </c>
      <c r="C207" s="26" t="s">
        <v>53</v>
      </c>
      <c r="D207" s="26" t="s">
        <v>54</v>
      </c>
      <c r="E207" s="27" t="s">
        <v>55</v>
      </c>
      <c r="F207" s="26" t="s">
        <v>104</v>
      </c>
      <c r="G207" s="28">
        <v>6702510</v>
      </c>
      <c r="H207" s="26">
        <v>2</v>
      </c>
      <c r="I207" s="26" t="s">
        <v>63</v>
      </c>
      <c r="J207" s="26" t="b">
        <v>0</v>
      </c>
    </row>
    <row r="208" spans="1:10">
      <c r="A208" s="26" t="s">
        <v>298</v>
      </c>
      <c r="B208" s="26">
        <v>35</v>
      </c>
      <c r="C208" s="26" t="s">
        <v>53</v>
      </c>
      <c r="D208" s="26" t="s">
        <v>54</v>
      </c>
      <c r="E208" s="27" t="s">
        <v>61</v>
      </c>
      <c r="F208" s="26" t="s">
        <v>56</v>
      </c>
      <c r="G208" s="28">
        <v>3527490</v>
      </c>
      <c r="H208" s="26">
        <v>11</v>
      </c>
      <c r="I208" s="26" t="s">
        <v>57</v>
      </c>
      <c r="J208" s="26" t="b">
        <v>0</v>
      </c>
    </row>
    <row r="209" spans="1:10">
      <c r="A209" s="26" t="s">
        <v>299</v>
      </c>
      <c r="B209" s="26">
        <v>36</v>
      </c>
      <c r="C209" s="26" t="s">
        <v>59</v>
      </c>
      <c r="D209" s="26" t="s">
        <v>54</v>
      </c>
      <c r="E209" s="27" t="s">
        <v>73</v>
      </c>
      <c r="F209" s="26" t="s">
        <v>104</v>
      </c>
      <c r="G209" s="28">
        <v>2493795</v>
      </c>
      <c r="H209" s="26">
        <v>10</v>
      </c>
      <c r="I209" s="26" t="s">
        <v>57</v>
      </c>
      <c r="J209" s="26" t="b">
        <v>1</v>
      </c>
    </row>
    <row r="210" spans="1:10">
      <c r="A210" s="26" t="s">
        <v>300</v>
      </c>
      <c r="B210" s="26">
        <v>24</v>
      </c>
      <c r="C210" s="26" t="s">
        <v>53</v>
      </c>
      <c r="D210" s="26" t="s">
        <v>54</v>
      </c>
      <c r="E210" s="27" t="s">
        <v>78</v>
      </c>
      <c r="F210" s="26" t="s">
        <v>86</v>
      </c>
      <c r="G210" s="28">
        <v>2156050</v>
      </c>
      <c r="H210" s="26">
        <v>7</v>
      </c>
      <c r="I210" s="26" t="s">
        <v>67</v>
      </c>
      <c r="J210" s="26" t="b">
        <v>0</v>
      </c>
    </row>
    <row r="211" spans="1:10">
      <c r="A211" s="26" t="s">
        <v>301</v>
      </c>
      <c r="B211" s="26">
        <v>36</v>
      </c>
      <c r="C211" s="26" t="s">
        <v>53</v>
      </c>
      <c r="D211" s="26" t="s">
        <v>60</v>
      </c>
      <c r="E211" s="27" t="s">
        <v>55</v>
      </c>
      <c r="F211" s="26" t="s">
        <v>71</v>
      </c>
      <c r="G211" s="28">
        <v>4158340</v>
      </c>
      <c r="H211" s="26">
        <v>9</v>
      </c>
      <c r="I211" s="26" t="s">
        <v>60</v>
      </c>
      <c r="J211" s="26" t="b">
        <v>0</v>
      </c>
    </row>
    <row r="212" spans="1:10">
      <c r="A212" s="26" t="s">
        <v>302</v>
      </c>
      <c r="B212" s="26">
        <v>45</v>
      </c>
      <c r="C212" s="26" t="s">
        <v>53</v>
      </c>
      <c r="D212" s="26" t="s">
        <v>54</v>
      </c>
      <c r="E212" s="27" t="s">
        <v>78</v>
      </c>
      <c r="F212" s="26" t="s">
        <v>80</v>
      </c>
      <c r="G212" s="28">
        <v>999595</v>
      </c>
      <c r="H212" s="26">
        <v>6</v>
      </c>
      <c r="I212" s="26" t="s">
        <v>57</v>
      </c>
      <c r="J212" s="26" t="b">
        <v>0</v>
      </c>
    </row>
    <row r="213" spans="1:10">
      <c r="A213" s="26" t="s">
        <v>303</v>
      </c>
      <c r="B213" s="26">
        <v>44</v>
      </c>
      <c r="C213" s="26" t="s">
        <v>59</v>
      </c>
      <c r="D213" s="26" t="s">
        <v>54</v>
      </c>
      <c r="E213" s="27" t="s">
        <v>65</v>
      </c>
      <c r="F213" s="26" t="s">
        <v>109</v>
      </c>
      <c r="G213" s="28">
        <v>1242635</v>
      </c>
      <c r="H213" s="26">
        <v>10</v>
      </c>
      <c r="I213" s="26" t="s">
        <v>60</v>
      </c>
      <c r="J213" s="26" t="b">
        <v>1</v>
      </c>
    </row>
    <row r="214" spans="1:10">
      <c r="A214" s="26" t="s">
        <v>304</v>
      </c>
      <c r="B214" s="26">
        <v>28</v>
      </c>
      <c r="C214" s="26" t="s">
        <v>59</v>
      </c>
      <c r="D214" s="26" t="s">
        <v>60</v>
      </c>
      <c r="E214" s="27" t="s">
        <v>61</v>
      </c>
      <c r="F214" s="26" t="s">
        <v>121</v>
      </c>
      <c r="G214" s="28">
        <v>4301560</v>
      </c>
      <c r="H214" s="26">
        <v>11</v>
      </c>
      <c r="I214" s="26" t="s">
        <v>57</v>
      </c>
      <c r="J214" s="26" t="b">
        <v>1</v>
      </c>
    </row>
    <row r="215" spans="1:10">
      <c r="A215" s="26" t="s">
        <v>305</v>
      </c>
      <c r="B215" s="26">
        <v>40</v>
      </c>
      <c r="C215" s="26" t="s">
        <v>59</v>
      </c>
      <c r="D215" s="26" t="s">
        <v>60</v>
      </c>
      <c r="E215" s="27" t="s">
        <v>85</v>
      </c>
      <c r="F215" s="26" t="s">
        <v>113</v>
      </c>
      <c r="G215" s="28">
        <v>831885</v>
      </c>
      <c r="H215" s="26">
        <v>7</v>
      </c>
      <c r="I215" s="26" t="s">
        <v>60</v>
      </c>
      <c r="J215" s="26" t="b">
        <v>0</v>
      </c>
    </row>
    <row r="216" spans="1:10">
      <c r="A216" s="26" t="s">
        <v>306</v>
      </c>
      <c r="B216" s="26">
        <v>49</v>
      </c>
      <c r="C216" s="26" t="s">
        <v>53</v>
      </c>
      <c r="D216" s="26" t="s">
        <v>54</v>
      </c>
      <c r="E216" s="27" t="s">
        <v>78</v>
      </c>
      <c r="F216" s="26" t="s">
        <v>66</v>
      </c>
      <c r="G216" s="28">
        <v>5012545</v>
      </c>
      <c r="H216" s="26">
        <v>10</v>
      </c>
      <c r="I216" s="26" t="s">
        <v>57</v>
      </c>
      <c r="J216" s="26" t="b">
        <v>1</v>
      </c>
    </row>
    <row r="217" spans="1:10">
      <c r="A217" s="26" t="s">
        <v>307</v>
      </c>
      <c r="B217" s="26">
        <v>50</v>
      </c>
      <c r="C217" s="26" t="s">
        <v>53</v>
      </c>
      <c r="D217" s="26" t="s">
        <v>60</v>
      </c>
      <c r="E217" s="27" t="s">
        <v>61</v>
      </c>
      <c r="F217" s="26" t="s">
        <v>80</v>
      </c>
      <c r="G217" s="28">
        <v>1519310</v>
      </c>
      <c r="H217" s="26">
        <v>5</v>
      </c>
      <c r="I217" s="26" t="s">
        <v>67</v>
      </c>
      <c r="J217" s="26" t="b">
        <v>1</v>
      </c>
    </row>
    <row r="218" spans="1:10">
      <c r="A218" s="26" t="s">
        <v>308</v>
      </c>
      <c r="B218" s="26">
        <v>24</v>
      </c>
      <c r="C218" s="26" t="s">
        <v>59</v>
      </c>
      <c r="D218" s="26" t="s">
        <v>60</v>
      </c>
      <c r="E218" s="27" t="s">
        <v>73</v>
      </c>
      <c r="F218" s="26" t="s">
        <v>140</v>
      </c>
      <c r="G218" s="28">
        <v>3584530</v>
      </c>
      <c r="H218" s="26">
        <v>10</v>
      </c>
      <c r="I218" s="26" t="s">
        <v>67</v>
      </c>
      <c r="J218" s="26" t="b">
        <v>0</v>
      </c>
    </row>
    <row r="219" spans="1:10">
      <c r="A219" s="26" t="s">
        <v>309</v>
      </c>
      <c r="B219" s="26">
        <v>26</v>
      </c>
      <c r="C219" s="26" t="s">
        <v>59</v>
      </c>
      <c r="D219" s="26" t="s">
        <v>60</v>
      </c>
      <c r="E219" s="27" t="s">
        <v>78</v>
      </c>
      <c r="F219" s="26" t="s">
        <v>62</v>
      </c>
      <c r="G219" s="28">
        <v>5928595</v>
      </c>
      <c r="H219" s="26">
        <v>6</v>
      </c>
      <c r="I219" s="26" t="s">
        <v>57</v>
      </c>
      <c r="J219" s="26" t="b">
        <v>1</v>
      </c>
    </row>
    <row r="220" spans="1:10">
      <c r="A220" s="26" t="s">
        <v>310</v>
      </c>
      <c r="B220" s="26">
        <v>28</v>
      </c>
      <c r="C220" s="26" t="s">
        <v>59</v>
      </c>
      <c r="D220" s="26" t="s">
        <v>54</v>
      </c>
      <c r="E220" s="27" t="s">
        <v>65</v>
      </c>
      <c r="F220" s="26" t="s">
        <v>140</v>
      </c>
      <c r="G220" s="28">
        <v>3959010</v>
      </c>
      <c r="H220" s="26">
        <v>9</v>
      </c>
      <c r="I220" s="26" t="s">
        <v>57</v>
      </c>
      <c r="J220" s="26" t="b">
        <v>1</v>
      </c>
    </row>
    <row r="221" spans="1:10">
      <c r="A221" s="26" t="s">
        <v>311</v>
      </c>
      <c r="B221" s="26">
        <v>48</v>
      </c>
      <c r="C221" s="26" t="s">
        <v>53</v>
      </c>
      <c r="D221" s="26" t="s">
        <v>54</v>
      </c>
      <c r="E221" s="27" t="s">
        <v>55</v>
      </c>
      <c r="F221" s="26" t="s">
        <v>104</v>
      </c>
      <c r="G221" s="28">
        <v>6560065</v>
      </c>
      <c r="H221" s="26">
        <v>12</v>
      </c>
      <c r="I221" s="26" t="s">
        <v>60</v>
      </c>
      <c r="J221" s="26" t="b">
        <v>0</v>
      </c>
    </row>
    <row r="222" spans="1:10">
      <c r="A222" s="26" t="s">
        <v>312</v>
      </c>
      <c r="B222" s="26">
        <v>47</v>
      </c>
      <c r="C222" s="26" t="s">
        <v>59</v>
      </c>
      <c r="D222" s="26" t="s">
        <v>54</v>
      </c>
      <c r="E222" s="27" t="s">
        <v>78</v>
      </c>
      <c r="F222" s="26" t="s">
        <v>137</v>
      </c>
      <c r="G222" s="28">
        <v>4279240</v>
      </c>
      <c r="H222" s="26">
        <v>4</v>
      </c>
      <c r="I222" s="26" t="s">
        <v>60</v>
      </c>
      <c r="J222" s="26" t="b">
        <v>0</v>
      </c>
    </row>
    <row r="223" spans="1:10">
      <c r="A223" s="26" t="s">
        <v>313</v>
      </c>
      <c r="B223" s="26">
        <v>25</v>
      </c>
      <c r="C223" s="26" t="s">
        <v>59</v>
      </c>
      <c r="D223" s="26" t="s">
        <v>54</v>
      </c>
      <c r="E223" s="27" t="s">
        <v>65</v>
      </c>
      <c r="F223" s="26" t="s">
        <v>76</v>
      </c>
      <c r="G223" s="28">
        <v>5170180</v>
      </c>
      <c r="H223" s="26">
        <v>3</v>
      </c>
      <c r="I223" s="26" t="s">
        <v>67</v>
      </c>
      <c r="J223" s="26" t="b">
        <v>1</v>
      </c>
    </row>
    <row r="224" spans="1:10">
      <c r="A224" s="26" t="s">
        <v>314</v>
      </c>
      <c r="B224" s="26">
        <v>39</v>
      </c>
      <c r="C224" s="26" t="s">
        <v>59</v>
      </c>
      <c r="D224" s="26" t="s">
        <v>60</v>
      </c>
      <c r="E224" s="27" t="s">
        <v>61</v>
      </c>
      <c r="F224" s="26" t="s">
        <v>121</v>
      </c>
      <c r="G224" s="28">
        <v>2012210</v>
      </c>
      <c r="H224" s="26">
        <v>12</v>
      </c>
      <c r="I224" s="26" t="s">
        <v>60</v>
      </c>
      <c r="J224" s="26" t="b">
        <v>0</v>
      </c>
    </row>
    <row r="225" spans="1:10">
      <c r="A225" s="26" t="s">
        <v>315</v>
      </c>
      <c r="B225" s="26">
        <v>41</v>
      </c>
      <c r="C225" s="26" t="s">
        <v>53</v>
      </c>
      <c r="D225" s="26" t="s">
        <v>60</v>
      </c>
      <c r="E225" s="27" t="s">
        <v>73</v>
      </c>
      <c r="F225" s="26" t="s">
        <v>134</v>
      </c>
      <c r="G225" s="28">
        <v>4321090</v>
      </c>
      <c r="H225" s="26">
        <v>3</v>
      </c>
      <c r="I225" s="26" t="s">
        <v>63</v>
      </c>
      <c r="J225" s="26" t="b">
        <v>1</v>
      </c>
    </row>
    <row r="226" spans="1:10">
      <c r="A226" s="26" t="s">
        <v>316</v>
      </c>
      <c r="B226" s="26">
        <v>37</v>
      </c>
      <c r="C226" s="26" t="s">
        <v>59</v>
      </c>
      <c r="D226" s="26" t="s">
        <v>54</v>
      </c>
      <c r="E226" s="27" t="s">
        <v>61</v>
      </c>
      <c r="F226" s="26" t="s">
        <v>56</v>
      </c>
      <c r="G226" s="28">
        <v>1744525</v>
      </c>
      <c r="H226" s="26">
        <v>5</v>
      </c>
      <c r="I226" s="26" t="s">
        <v>57</v>
      </c>
      <c r="J226" s="26" t="b">
        <v>1</v>
      </c>
    </row>
    <row r="227" spans="1:10">
      <c r="A227" s="26" t="s">
        <v>317</v>
      </c>
      <c r="B227" s="26">
        <v>50</v>
      </c>
      <c r="C227" s="26" t="s">
        <v>53</v>
      </c>
      <c r="D227" s="26" t="s">
        <v>54</v>
      </c>
      <c r="E227" s="27" t="s">
        <v>85</v>
      </c>
      <c r="F227" s="26" t="s">
        <v>104</v>
      </c>
      <c r="G227" s="28">
        <v>2201310</v>
      </c>
      <c r="H227" s="26">
        <v>7</v>
      </c>
      <c r="I227" s="26" t="s">
        <v>67</v>
      </c>
      <c r="J227" s="26" t="b">
        <v>1</v>
      </c>
    </row>
    <row r="228" spans="1:10">
      <c r="A228" s="26" t="s">
        <v>318</v>
      </c>
      <c r="B228" s="26">
        <v>33</v>
      </c>
      <c r="C228" s="26" t="s">
        <v>53</v>
      </c>
      <c r="D228" s="26" t="s">
        <v>60</v>
      </c>
      <c r="E228" s="27" t="s">
        <v>61</v>
      </c>
      <c r="F228" s="26" t="s">
        <v>96</v>
      </c>
      <c r="G228" s="28">
        <v>7468520</v>
      </c>
      <c r="H228" s="26">
        <v>10</v>
      </c>
      <c r="I228" s="26" t="s">
        <v>60</v>
      </c>
      <c r="J228" s="26" t="b">
        <v>0</v>
      </c>
    </row>
    <row r="229" spans="1:10">
      <c r="A229" s="26" t="s">
        <v>319</v>
      </c>
      <c r="B229" s="26">
        <v>50</v>
      </c>
      <c r="C229" s="26" t="s">
        <v>53</v>
      </c>
      <c r="D229" s="26" t="s">
        <v>60</v>
      </c>
      <c r="E229" s="27" t="s">
        <v>55</v>
      </c>
      <c r="F229" s="26" t="s">
        <v>96</v>
      </c>
      <c r="G229" s="28">
        <v>2557655</v>
      </c>
      <c r="H229" s="26">
        <v>10</v>
      </c>
      <c r="I229" s="26" t="s">
        <v>63</v>
      </c>
      <c r="J229" s="26" t="b">
        <v>1</v>
      </c>
    </row>
    <row r="230" spans="1:10">
      <c r="A230" s="26" t="s">
        <v>320</v>
      </c>
      <c r="B230" s="26">
        <v>25</v>
      </c>
      <c r="C230" s="26" t="s">
        <v>59</v>
      </c>
      <c r="D230" s="26" t="s">
        <v>54</v>
      </c>
      <c r="E230" s="27" t="s">
        <v>78</v>
      </c>
      <c r="F230" s="26" t="s">
        <v>102</v>
      </c>
      <c r="G230" s="28">
        <v>881175</v>
      </c>
      <c r="H230" s="26">
        <v>5</v>
      </c>
      <c r="I230" s="26" t="s">
        <v>57</v>
      </c>
      <c r="J230" s="26" t="b">
        <v>1</v>
      </c>
    </row>
    <row r="231" spans="1:10">
      <c r="A231" s="26" t="s">
        <v>321</v>
      </c>
      <c r="B231" s="26">
        <v>34</v>
      </c>
      <c r="C231" s="26" t="s">
        <v>53</v>
      </c>
      <c r="D231" s="26" t="s">
        <v>60</v>
      </c>
      <c r="E231" s="27" t="s">
        <v>55</v>
      </c>
      <c r="F231" s="26" t="s">
        <v>92</v>
      </c>
      <c r="G231" s="28">
        <v>2834795</v>
      </c>
      <c r="H231" s="26">
        <v>2</v>
      </c>
      <c r="I231" s="26" t="s">
        <v>67</v>
      </c>
      <c r="J231" s="26" t="b">
        <v>0</v>
      </c>
    </row>
    <row r="232" spans="1:10">
      <c r="A232" s="26" t="s">
        <v>322</v>
      </c>
      <c r="B232" s="26">
        <v>39</v>
      </c>
      <c r="C232" s="26" t="s">
        <v>59</v>
      </c>
      <c r="D232" s="26" t="s">
        <v>60</v>
      </c>
      <c r="E232" s="27" t="s">
        <v>55</v>
      </c>
      <c r="F232" s="26" t="s">
        <v>76</v>
      </c>
      <c r="G232" s="28">
        <v>5781655</v>
      </c>
      <c r="H232" s="26">
        <v>5</v>
      </c>
      <c r="I232" s="26" t="s">
        <v>67</v>
      </c>
      <c r="J232" s="26" t="b">
        <v>0</v>
      </c>
    </row>
    <row r="233" spans="1:10">
      <c r="A233" s="26" t="s">
        <v>323</v>
      </c>
      <c r="B233" s="26">
        <v>41</v>
      </c>
      <c r="C233" s="26" t="s">
        <v>59</v>
      </c>
      <c r="D233" s="26" t="s">
        <v>54</v>
      </c>
      <c r="E233" s="27" t="s">
        <v>65</v>
      </c>
      <c r="F233" s="26" t="s">
        <v>69</v>
      </c>
      <c r="G233" s="28">
        <v>3421935</v>
      </c>
      <c r="H233" s="26">
        <v>7</v>
      </c>
      <c r="I233" s="26" t="s">
        <v>67</v>
      </c>
      <c r="J233" s="26" t="b">
        <v>1</v>
      </c>
    </row>
    <row r="234" spans="1:10">
      <c r="A234" s="26" t="s">
        <v>324</v>
      </c>
      <c r="B234" s="26">
        <v>27</v>
      </c>
      <c r="C234" s="26" t="s">
        <v>59</v>
      </c>
      <c r="D234" s="26" t="s">
        <v>54</v>
      </c>
      <c r="E234" s="27" t="s">
        <v>85</v>
      </c>
      <c r="F234" s="26" t="s">
        <v>92</v>
      </c>
      <c r="G234" s="28">
        <v>4511895</v>
      </c>
      <c r="H234" s="26">
        <v>11</v>
      </c>
      <c r="I234" s="26" t="s">
        <v>57</v>
      </c>
      <c r="J234" s="26" t="b">
        <v>1</v>
      </c>
    </row>
    <row r="235" spans="1:10">
      <c r="A235" s="26" t="s">
        <v>325</v>
      </c>
      <c r="B235" s="26">
        <v>23</v>
      </c>
      <c r="C235" s="26" t="s">
        <v>53</v>
      </c>
      <c r="D235" s="26" t="s">
        <v>60</v>
      </c>
      <c r="E235" s="27" t="s">
        <v>73</v>
      </c>
      <c r="F235" s="26" t="s">
        <v>100</v>
      </c>
      <c r="G235" s="28">
        <v>6417930</v>
      </c>
      <c r="H235" s="26">
        <v>9</v>
      </c>
      <c r="I235" s="26" t="s">
        <v>63</v>
      </c>
      <c r="J235" s="26" t="b">
        <v>1</v>
      </c>
    </row>
    <row r="236" spans="1:10">
      <c r="A236" s="26" t="s">
        <v>326</v>
      </c>
      <c r="B236" s="26">
        <v>37</v>
      </c>
      <c r="C236" s="26" t="s">
        <v>59</v>
      </c>
      <c r="D236" s="26" t="s">
        <v>54</v>
      </c>
      <c r="E236" s="27" t="s">
        <v>85</v>
      </c>
      <c r="F236" s="26" t="s">
        <v>88</v>
      </c>
      <c r="G236" s="28">
        <v>6331905</v>
      </c>
      <c r="H236" s="26">
        <v>9</v>
      </c>
      <c r="I236" s="26" t="s">
        <v>60</v>
      </c>
      <c r="J236" s="26" t="b">
        <v>1</v>
      </c>
    </row>
    <row r="237" spans="1:10">
      <c r="A237" s="26" t="s">
        <v>327</v>
      </c>
      <c r="B237" s="26">
        <v>21</v>
      </c>
      <c r="C237" s="26" t="s">
        <v>59</v>
      </c>
      <c r="D237" s="26" t="s">
        <v>54</v>
      </c>
      <c r="E237" s="27" t="s">
        <v>73</v>
      </c>
      <c r="F237" s="26" t="s">
        <v>71</v>
      </c>
      <c r="G237" s="28">
        <v>1602700</v>
      </c>
      <c r="H237" s="26">
        <v>9</v>
      </c>
      <c r="I237" s="26" t="s">
        <v>60</v>
      </c>
      <c r="J237" s="26" t="b">
        <v>1</v>
      </c>
    </row>
    <row r="238" spans="1:10">
      <c r="A238" s="26" t="s">
        <v>328</v>
      </c>
      <c r="B238" s="26">
        <v>47</v>
      </c>
      <c r="C238" s="26" t="s">
        <v>59</v>
      </c>
      <c r="D238" s="26" t="s">
        <v>54</v>
      </c>
      <c r="E238" s="27" t="s">
        <v>85</v>
      </c>
      <c r="F238" s="26" t="s">
        <v>71</v>
      </c>
      <c r="G238" s="28">
        <v>1052760</v>
      </c>
      <c r="H238" s="26"/>
      <c r="I238" s="26" t="s">
        <v>67</v>
      </c>
      <c r="J238" s="26" t="b">
        <v>0</v>
      </c>
    </row>
    <row r="239" spans="1:10">
      <c r="A239" s="26" t="s">
        <v>329</v>
      </c>
      <c r="B239" s="26">
        <v>42</v>
      </c>
      <c r="C239" s="26" t="s">
        <v>53</v>
      </c>
      <c r="D239" s="26" t="s">
        <v>54</v>
      </c>
      <c r="E239" s="27" t="s">
        <v>78</v>
      </c>
      <c r="F239" s="26" t="s">
        <v>113</v>
      </c>
      <c r="G239" s="28">
        <v>5489480</v>
      </c>
      <c r="H239" s="26">
        <v>8</v>
      </c>
      <c r="I239" s="26" t="s">
        <v>67</v>
      </c>
      <c r="J239" s="26" t="b">
        <v>1</v>
      </c>
    </row>
    <row r="240" spans="1:10">
      <c r="A240" s="26" t="s">
        <v>330</v>
      </c>
      <c r="B240" s="26">
        <v>30</v>
      </c>
      <c r="C240" s="26" t="s">
        <v>59</v>
      </c>
      <c r="D240" s="26" t="s">
        <v>54</v>
      </c>
      <c r="E240" s="27" t="s">
        <v>65</v>
      </c>
      <c r="F240" s="26" t="s">
        <v>76</v>
      </c>
      <c r="G240" s="28">
        <v>4289935</v>
      </c>
      <c r="H240" s="26">
        <v>2</v>
      </c>
      <c r="I240" s="26" t="s">
        <v>67</v>
      </c>
      <c r="J240" s="26" t="b">
        <v>1</v>
      </c>
    </row>
    <row r="241" spans="1:10">
      <c r="A241" s="26" t="s">
        <v>331</v>
      </c>
      <c r="B241" s="26">
        <v>49</v>
      </c>
      <c r="C241" s="26" t="s">
        <v>59</v>
      </c>
      <c r="D241" s="26" t="s">
        <v>54</v>
      </c>
      <c r="E241" s="27" t="s">
        <v>61</v>
      </c>
      <c r="F241" s="26" t="s">
        <v>90</v>
      </c>
      <c r="G241" s="28">
        <v>2948875</v>
      </c>
      <c r="H241" s="26">
        <v>6</v>
      </c>
      <c r="I241" s="26" t="s">
        <v>57</v>
      </c>
      <c r="J241" s="26" t="b">
        <v>0</v>
      </c>
    </row>
    <row r="242" spans="1:10">
      <c r="A242" s="26" t="s">
        <v>332</v>
      </c>
      <c r="B242" s="26">
        <v>28</v>
      </c>
      <c r="C242" s="26" t="s">
        <v>53</v>
      </c>
      <c r="D242" s="26" t="s">
        <v>54</v>
      </c>
      <c r="E242" s="27" t="s">
        <v>85</v>
      </c>
      <c r="F242" s="26" t="s">
        <v>88</v>
      </c>
      <c r="G242" s="28">
        <v>3154095</v>
      </c>
      <c r="H242" s="26">
        <v>7</v>
      </c>
      <c r="I242" s="26" t="s">
        <v>63</v>
      </c>
      <c r="J242" s="26" t="b">
        <v>0</v>
      </c>
    </row>
    <row r="243" spans="1:10">
      <c r="A243" s="26" t="s">
        <v>333</v>
      </c>
      <c r="B243" s="26">
        <v>24</v>
      </c>
      <c r="C243" s="26" t="s">
        <v>59</v>
      </c>
      <c r="D243" s="26" t="s">
        <v>54</v>
      </c>
      <c r="E243" s="27" t="s">
        <v>65</v>
      </c>
      <c r="F243" s="26" t="s">
        <v>113</v>
      </c>
      <c r="G243" s="28">
        <v>4084250</v>
      </c>
      <c r="H243" s="26">
        <v>6</v>
      </c>
      <c r="I243" s="26" t="s">
        <v>57</v>
      </c>
      <c r="J243" s="26" t="b">
        <v>0</v>
      </c>
    </row>
    <row r="244" spans="1:10">
      <c r="A244" s="26" t="s">
        <v>334</v>
      </c>
      <c r="B244" s="26">
        <v>40</v>
      </c>
      <c r="C244" s="26" t="s">
        <v>53</v>
      </c>
      <c r="D244" s="26" t="s">
        <v>60</v>
      </c>
      <c r="E244" s="27" t="s">
        <v>78</v>
      </c>
      <c r="F244" s="26" t="s">
        <v>109</v>
      </c>
      <c r="G244" s="28">
        <v>3833150</v>
      </c>
      <c r="H244" s="26">
        <v>2</v>
      </c>
      <c r="I244" s="26" t="s">
        <v>67</v>
      </c>
      <c r="J244" s="26" t="b">
        <v>1</v>
      </c>
    </row>
    <row r="245" spans="1:10">
      <c r="A245" s="26" t="s">
        <v>335</v>
      </c>
      <c r="B245" s="26">
        <v>18</v>
      </c>
      <c r="C245" s="26" t="s">
        <v>59</v>
      </c>
      <c r="D245" s="26" t="s">
        <v>60</v>
      </c>
      <c r="E245" s="27" t="s">
        <v>65</v>
      </c>
      <c r="F245" s="26" t="s">
        <v>104</v>
      </c>
      <c r="G245" s="28">
        <v>786005</v>
      </c>
      <c r="H245" s="26">
        <v>12</v>
      </c>
      <c r="I245" s="26" t="s">
        <v>57</v>
      </c>
      <c r="J245" s="26" t="b">
        <v>1</v>
      </c>
    </row>
    <row r="246" spans="1:10">
      <c r="A246" s="26" t="s">
        <v>336</v>
      </c>
      <c r="B246" s="26">
        <v>42</v>
      </c>
      <c r="C246" s="26" t="s">
        <v>59</v>
      </c>
      <c r="D246" s="26" t="s">
        <v>60</v>
      </c>
      <c r="E246" s="27" t="s">
        <v>61</v>
      </c>
      <c r="F246" s="26" t="s">
        <v>66</v>
      </c>
      <c r="G246" s="28">
        <v>2043675</v>
      </c>
      <c r="H246" s="26">
        <v>4</v>
      </c>
      <c r="I246" s="26" t="s">
        <v>67</v>
      </c>
      <c r="J246" s="26" t="b">
        <v>1</v>
      </c>
    </row>
    <row r="247" spans="1:10">
      <c r="A247" s="26" t="s">
        <v>337</v>
      </c>
      <c r="B247" s="26">
        <v>19</v>
      </c>
      <c r="C247" s="26" t="s">
        <v>59</v>
      </c>
      <c r="D247" s="26" t="s">
        <v>60</v>
      </c>
      <c r="E247" s="27" t="s">
        <v>85</v>
      </c>
      <c r="F247" s="26" t="s">
        <v>137</v>
      </c>
      <c r="G247" s="28">
        <v>7120545</v>
      </c>
      <c r="H247" s="26">
        <v>6</v>
      </c>
      <c r="I247" s="26" t="s">
        <v>67</v>
      </c>
      <c r="J247" s="26" t="b">
        <v>0</v>
      </c>
    </row>
    <row r="248" spans="1:10">
      <c r="A248" s="26" t="s">
        <v>338</v>
      </c>
      <c r="B248" s="26">
        <v>36</v>
      </c>
      <c r="C248" s="26" t="s">
        <v>53</v>
      </c>
      <c r="D248" s="26" t="s">
        <v>60</v>
      </c>
      <c r="E248" s="27" t="s">
        <v>85</v>
      </c>
      <c r="F248" s="26" t="s">
        <v>66</v>
      </c>
      <c r="G248" s="28">
        <v>5941615</v>
      </c>
      <c r="H248" s="26">
        <v>6</v>
      </c>
      <c r="I248" s="26" t="s">
        <v>63</v>
      </c>
      <c r="J248" s="26" t="b">
        <v>0</v>
      </c>
    </row>
    <row r="249" spans="1:10">
      <c r="A249" s="26" t="s">
        <v>339</v>
      </c>
      <c r="B249" s="26">
        <v>26</v>
      </c>
      <c r="C249" s="26" t="s">
        <v>53</v>
      </c>
      <c r="D249" s="26" t="s">
        <v>60</v>
      </c>
      <c r="E249" s="27" t="s">
        <v>78</v>
      </c>
      <c r="F249" s="26" t="s">
        <v>104</v>
      </c>
      <c r="G249" s="28">
        <v>3287240</v>
      </c>
      <c r="H249" s="26">
        <v>8</v>
      </c>
      <c r="I249" s="26" t="s">
        <v>67</v>
      </c>
      <c r="J249" s="26" t="b">
        <v>0</v>
      </c>
    </row>
    <row r="250" spans="1:10">
      <c r="A250" s="26" t="s">
        <v>340</v>
      </c>
      <c r="B250" s="26">
        <v>35</v>
      </c>
      <c r="C250" s="26" t="s">
        <v>53</v>
      </c>
      <c r="D250" s="26" t="s">
        <v>60</v>
      </c>
      <c r="E250" s="27" t="s">
        <v>78</v>
      </c>
      <c r="F250" s="26" t="s">
        <v>109</v>
      </c>
      <c r="G250" s="28">
        <v>5746315</v>
      </c>
      <c r="H250" s="26">
        <v>7</v>
      </c>
      <c r="I250" s="26" t="s">
        <v>60</v>
      </c>
      <c r="J250" s="26" t="b">
        <v>0</v>
      </c>
    </row>
    <row r="251" spans="1:10">
      <c r="A251" s="26" t="s">
        <v>341</v>
      </c>
      <c r="B251" s="26">
        <v>39</v>
      </c>
      <c r="C251" s="26" t="s">
        <v>59</v>
      </c>
      <c r="D251" s="26" t="s">
        <v>60</v>
      </c>
      <c r="E251" s="27" t="s">
        <v>61</v>
      </c>
      <c r="F251" s="26" t="s">
        <v>134</v>
      </c>
      <c r="G251" s="28">
        <v>4954730</v>
      </c>
      <c r="H251" s="26">
        <v>7</v>
      </c>
      <c r="I251" s="26" t="s">
        <v>60</v>
      </c>
      <c r="J251" s="26" t="b">
        <v>0</v>
      </c>
    </row>
    <row r="252" spans="1:10">
      <c r="A252" s="26" t="s">
        <v>342</v>
      </c>
      <c r="B252" s="26">
        <v>44</v>
      </c>
      <c r="C252" s="26" t="s">
        <v>53</v>
      </c>
      <c r="D252" s="26" t="s">
        <v>54</v>
      </c>
      <c r="E252" s="27" t="s">
        <v>65</v>
      </c>
      <c r="F252" s="26" t="s">
        <v>167</v>
      </c>
      <c r="G252" s="28">
        <v>5782275</v>
      </c>
      <c r="H252" s="26">
        <v>3</v>
      </c>
      <c r="I252" s="26" t="s">
        <v>67</v>
      </c>
      <c r="J252" s="26" t="b">
        <v>0</v>
      </c>
    </row>
    <row r="253" spans="1:10">
      <c r="A253" s="26" t="s">
        <v>343</v>
      </c>
      <c r="B253" s="26">
        <v>19</v>
      </c>
      <c r="C253" s="26" t="s">
        <v>53</v>
      </c>
      <c r="D253" s="26" t="s">
        <v>60</v>
      </c>
      <c r="E253" s="27" t="s">
        <v>85</v>
      </c>
      <c r="F253" s="26" t="s">
        <v>80</v>
      </c>
      <c r="G253" s="28">
        <v>6103590</v>
      </c>
      <c r="H253" s="26">
        <v>6</v>
      </c>
      <c r="I253" s="26" t="s">
        <v>63</v>
      </c>
      <c r="J253" s="26" t="b">
        <v>1</v>
      </c>
    </row>
    <row r="254" spans="1:10">
      <c r="A254" s="26" t="s">
        <v>344</v>
      </c>
      <c r="B254" s="26">
        <v>27</v>
      </c>
      <c r="C254" s="26" t="s">
        <v>53</v>
      </c>
      <c r="D254" s="26" t="s">
        <v>60</v>
      </c>
      <c r="E254" s="27" t="s">
        <v>78</v>
      </c>
      <c r="F254" s="26" t="s">
        <v>134</v>
      </c>
      <c r="G254" s="28">
        <v>3798120</v>
      </c>
      <c r="H254" s="26">
        <v>4</v>
      </c>
      <c r="I254" s="26" t="s">
        <v>60</v>
      </c>
      <c r="J254" s="26" t="b">
        <v>1</v>
      </c>
    </row>
    <row r="255" spans="1:10">
      <c r="A255" s="26" t="s">
        <v>345</v>
      </c>
      <c r="B255" s="26">
        <v>26</v>
      </c>
      <c r="C255" s="26" t="s">
        <v>53</v>
      </c>
      <c r="D255" s="26" t="s">
        <v>60</v>
      </c>
      <c r="E255" s="27" t="s">
        <v>85</v>
      </c>
      <c r="F255" s="26" t="s">
        <v>137</v>
      </c>
      <c r="G255" s="28">
        <v>1724685</v>
      </c>
      <c r="H255" s="26">
        <v>3</v>
      </c>
      <c r="I255" s="26" t="s">
        <v>60</v>
      </c>
      <c r="J255" s="26" t="b">
        <v>0</v>
      </c>
    </row>
    <row r="256" spans="1:10">
      <c r="A256" s="26" t="s">
        <v>346</v>
      </c>
      <c r="B256" s="26">
        <v>26</v>
      </c>
      <c r="C256" s="26" t="s">
        <v>53</v>
      </c>
      <c r="D256" s="26" t="s">
        <v>60</v>
      </c>
      <c r="E256" s="27" t="s">
        <v>61</v>
      </c>
      <c r="F256" s="26" t="s">
        <v>102</v>
      </c>
      <c r="G256" s="28">
        <v>1445995</v>
      </c>
      <c r="H256" s="26">
        <v>11</v>
      </c>
      <c r="I256" s="26" t="s">
        <v>60</v>
      </c>
      <c r="J256" s="26" t="b">
        <v>1</v>
      </c>
    </row>
    <row r="257" spans="1:10">
      <c r="A257" s="26" t="s">
        <v>347</v>
      </c>
      <c r="B257" s="26">
        <v>27</v>
      </c>
      <c r="C257" s="26" t="s">
        <v>53</v>
      </c>
      <c r="D257" s="26" t="s">
        <v>60</v>
      </c>
      <c r="E257" s="27" t="s">
        <v>65</v>
      </c>
      <c r="F257" s="26" t="s">
        <v>92</v>
      </c>
      <c r="G257" s="28">
        <v>2425750</v>
      </c>
      <c r="H257" s="26">
        <v>5</v>
      </c>
      <c r="I257" s="26" t="s">
        <v>60</v>
      </c>
      <c r="J257" s="26" t="b">
        <v>1</v>
      </c>
    </row>
    <row r="258" spans="1:10">
      <c r="A258" s="26" t="s">
        <v>348</v>
      </c>
      <c r="B258" s="26">
        <v>37</v>
      </c>
      <c r="C258" s="26" t="s">
        <v>59</v>
      </c>
      <c r="D258" s="26" t="s">
        <v>54</v>
      </c>
      <c r="E258" s="27" t="s">
        <v>55</v>
      </c>
      <c r="F258" s="26" t="s">
        <v>96</v>
      </c>
      <c r="G258" s="28">
        <v>4496705</v>
      </c>
      <c r="H258" s="26">
        <v>8</v>
      </c>
      <c r="I258" s="26" t="s">
        <v>63</v>
      </c>
      <c r="J258" s="26" t="b">
        <v>0</v>
      </c>
    </row>
    <row r="259" spans="1:10">
      <c r="A259" s="26" t="s">
        <v>349</v>
      </c>
      <c r="B259" s="26">
        <v>23</v>
      </c>
      <c r="C259" s="26" t="s">
        <v>53</v>
      </c>
      <c r="D259" s="26" t="s">
        <v>54</v>
      </c>
      <c r="E259" s="27" t="s">
        <v>85</v>
      </c>
      <c r="F259" s="26" t="s">
        <v>100</v>
      </c>
      <c r="G259" s="28">
        <v>5506840</v>
      </c>
      <c r="H259" s="26">
        <v>3</v>
      </c>
      <c r="I259" s="26" t="s">
        <v>67</v>
      </c>
      <c r="J259" s="26" t="b">
        <v>1</v>
      </c>
    </row>
    <row r="260" spans="1:10">
      <c r="A260" s="26" t="s">
        <v>350</v>
      </c>
      <c r="B260" s="26">
        <v>31</v>
      </c>
      <c r="C260" s="26" t="s">
        <v>53</v>
      </c>
      <c r="D260" s="26" t="s">
        <v>54</v>
      </c>
      <c r="E260" s="27" t="s">
        <v>65</v>
      </c>
      <c r="F260" s="26" t="s">
        <v>56</v>
      </c>
      <c r="G260" s="28">
        <v>1142970</v>
      </c>
      <c r="H260" s="26">
        <v>7</v>
      </c>
      <c r="I260" s="26" t="s">
        <v>60</v>
      </c>
      <c r="J260" s="26" t="b">
        <v>0</v>
      </c>
    </row>
    <row r="261" spans="1:10">
      <c r="A261" s="26" t="s">
        <v>351</v>
      </c>
      <c r="B261" s="26">
        <v>21</v>
      </c>
      <c r="C261" s="26" t="s">
        <v>53</v>
      </c>
      <c r="D261" s="26" t="s">
        <v>54</v>
      </c>
      <c r="E261" s="27" t="s">
        <v>78</v>
      </c>
      <c r="F261" s="26" t="s">
        <v>80</v>
      </c>
      <c r="G261" s="28">
        <v>2640425</v>
      </c>
      <c r="H261" s="26">
        <v>10</v>
      </c>
      <c r="I261" s="26" t="s">
        <v>63</v>
      </c>
      <c r="J261" s="26" t="b">
        <v>1</v>
      </c>
    </row>
    <row r="262" spans="1:10">
      <c r="A262" s="26" t="s">
        <v>352</v>
      </c>
      <c r="B262" s="26">
        <v>36</v>
      </c>
      <c r="C262" s="26" t="s">
        <v>53</v>
      </c>
      <c r="D262" s="26" t="s">
        <v>60</v>
      </c>
      <c r="E262" s="27" t="s">
        <v>85</v>
      </c>
      <c r="F262" s="26" t="s">
        <v>69</v>
      </c>
      <c r="G262" s="28">
        <v>1917350</v>
      </c>
      <c r="H262" s="26">
        <v>6</v>
      </c>
      <c r="I262" s="26" t="s">
        <v>60</v>
      </c>
      <c r="J262" s="26" t="b">
        <v>0</v>
      </c>
    </row>
    <row r="263" spans="1:10">
      <c r="A263" s="26" t="s">
        <v>353</v>
      </c>
      <c r="B263" s="26">
        <v>21</v>
      </c>
      <c r="C263" s="26" t="s">
        <v>53</v>
      </c>
      <c r="D263" s="26" t="s">
        <v>54</v>
      </c>
      <c r="E263" s="27" t="s">
        <v>85</v>
      </c>
      <c r="F263" s="26" t="s">
        <v>56</v>
      </c>
      <c r="G263" s="28">
        <v>3124800</v>
      </c>
      <c r="H263" s="26">
        <v>9</v>
      </c>
      <c r="I263" s="26" t="s">
        <v>63</v>
      </c>
      <c r="J263" s="26" t="b">
        <v>0</v>
      </c>
    </row>
    <row r="264" spans="1:10">
      <c r="A264" s="26" t="s">
        <v>354</v>
      </c>
      <c r="B264" s="26">
        <v>27</v>
      </c>
      <c r="C264" s="26" t="s">
        <v>53</v>
      </c>
      <c r="D264" s="26" t="s">
        <v>54</v>
      </c>
      <c r="E264" s="27" t="s">
        <v>85</v>
      </c>
      <c r="F264" s="26" t="s">
        <v>71</v>
      </c>
      <c r="G264" s="28">
        <v>1800170</v>
      </c>
      <c r="H264" s="26">
        <v>11</v>
      </c>
      <c r="I264" s="26" t="s">
        <v>60</v>
      </c>
      <c r="J264" s="26" t="b">
        <v>0</v>
      </c>
    </row>
    <row r="265" spans="1:10">
      <c r="A265" s="26" t="s">
        <v>355</v>
      </c>
      <c r="B265" s="26">
        <v>29</v>
      </c>
      <c r="C265" s="26" t="s">
        <v>53</v>
      </c>
      <c r="D265" s="26" t="s">
        <v>54</v>
      </c>
      <c r="E265" s="27" t="s">
        <v>73</v>
      </c>
      <c r="F265" s="26" t="s">
        <v>167</v>
      </c>
      <c r="G265" s="28">
        <v>7492390</v>
      </c>
      <c r="H265" s="26">
        <v>9</v>
      </c>
      <c r="I265" s="26" t="s">
        <v>60</v>
      </c>
      <c r="J265" s="26" t="b">
        <v>0</v>
      </c>
    </row>
    <row r="266" spans="1:10">
      <c r="A266" s="26" t="s">
        <v>356</v>
      </c>
      <c r="B266" s="26">
        <v>24</v>
      </c>
      <c r="C266" s="26" t="s">
        <v>59</v>
      </c>
      <c r="D266" s="26" t="s">
        <v>54</v>
      </c>
      <c r="E266" s="27" t="s">
        <v>85</v>
      </c>
      <c r="F266" s="26" t="s">
        <v>113</v>
      </c>
      <c r="G266" s="28">
        <v>6488610</v>
      </c>
      <c r="H266" s="26">
        <v>9</v>
      </c>
      <c r="I266" s="26" t="s">
        <v>67</v>
      </c>
      <c r="J266" s="26" t="b">
        <v>1</v>
      </c>
    </row>
    <row r="267" spans="1:10">
      <c r="A267" s="26" t="s">
        <v>357</v>
      </c>
      <c r="B267" s="26">
        <v>33</v>
      </c>
      <c r="C267" s="26" t="s">
        <v>53</v>
      </c>
      <c r="D267" s="26" t="s">
        <v>54</v>
      </c>
      <c r="E267" s="27" t="s">
        <v>65</v>
      </c>
      <c r="F267" s="26" t="s">
        <v>76</v>
      </c>
      <c r="G267" s="28">
        <v>2167365</v>
      </c>
      <c r="H267" s="26">
        <v>12</v>
      </c>
      <c r="I267" s="26" t="s">
        <v>57</v>
      </c>
      <c r="J267" s="26" t="b">
        <v>0</v>
      </c>
    </row>
    <row r="268" spans="1:10">
      <c r="A268" s="26" t="s">
        <v>358</v>
      </c>
      <c r="B268" s="26">
        <v>38</v>
      </c>
      <c r="C268" s="26" t="s">
        <v>53</v>
      </c>
      <c r="D268" s="26" t="s">
        <v>60</v>
      </c>
      <c r="E268" s="27" t="s">
        <v>85</v>
      </c>
      <c r="F268" s="26" t="s">
        <v>109</v>
      </c>
      <c r="G268" s="28">
        <v>839635</v>
      </c>
      <c r="H268" s="26">
        <v>4</v>
      </c>
      <c r="I268" s="26" t="s">
        <v>63</v>
      </c>
      <c r="J268" s="26" t="b">
        <v>0</v>
      </c>
    </row>
    <row r="269" spans="1:10">
      <c r="A269" s="26" t="s">
        <v>359</v>
      </c>
      <c r="B269" s="26">
        <v>47</v>
      </c>
      <c r="C269" s="26" t="s">
        <v>59</v>
      </c>
      <c r="D269" s="26" t="s">
        <v>60</v>
      </c>
      <c r="E269" s="27" t="s">
        <v>55</v>
      </c>
      <c r="F269" s="26" t="s">
        <v>167</v>
      </c>
      <c r="G269" s="28">
        <v>6782645</v>
      </c>
      <c r="H269" s="26">
        <v>10</v>
      </c>
      <c r="I269" s="26" t="s">
        <v>57</v>
      </c>
      <c r="J269" s="26" t="b">
        <v>1</v>
      </c>
    </row>
    <row r="270" spans="1:10">
      <c r="A270" s="26" t="s">
        <v>360</v>
      </c>
      <c r="B270" s="26">
        <v>32</v>
      </c>
      <c r="C270" s="26" t="s">
        <v>59</v>
      </c>
      <c r="D270" s="26" t="s">
        <v>54</v>
      </c>
      <c r="E270" s="27" t="s">
        <v>65</v>
      </c>
      <c r="F270" s="26" t="s">
        <v>92</v>
      </c>
      <c r="G270" s="28">
        <v>1760335</v>
      </c>
      <c r="H270" s="26">
        <v>5</v>
      </c>
      <c r="I270" s="26" t="s">
        <v>63</v>
      </c>
      <c r="J270" s="26" t="b">
        <v>0</v>
      </c>
    </row>
    <row r="271" spans="1:10">
      <c r="A271" s="26" t="s">
        <v>361</v>
      </c>
      <c r="B271" s="26">
        <v>21</v>
      </c>
      <c r="C271" s="26" t="s">
        <v>53</v>
      </c>
      <c r="D271" s="26" t="s">
        <v>60</v>
      </c>
      <c r="E271" s="27" t="s">
        <v>61</v>
      </c>
      <c r="F271" s="26" t="s">
        <v>96</v>
      </c>
      <c r="G271" s="28">
        <v>4735870</v>
      </c>
      <c r="H271" s="26">
        <v>6</v>
      </c>
      <c r="I271" s="26" t="s">
        <v>63</v>
      </c>
      <c r="J271" s="26" t="b">
        <v>1</v>
      </c>
    </row>
    <row r="272" spans="1:10">
      <c r="A272" s="26" t="s">
        <v>362</v>
      </c>
      <c r="B272" s="26">
        <v>23</v>
      </c>
      <c r="C272" s="26" t="s">
        <v>53</v>
      </c>
      <c r="D272" s="26" t="s">
        <v>60</v>
      </c>
      <c r="E272" s="27" t="s">
        <v>78</v>
      </c>
      <c r="F272" s="26" t="s">
        <v>62</v>
      </c>
      <c r="G272" s="28">
        <v>5256360</v>
      </c>
      <c r="H272" s="26">
        <v>2</v>
      </c>
      <c r="I272" s="26" t="s">
        <v>63</v>
      </c>
      <c r="J272" s="26" t="b">
        <v>0</v>
      </c>
    </row>
    <row r="273" spans="1:10">
      <c r="A273" s="26" t="s">
        <v>363</v>
      </c>
      <c r="B273" s="26">
        <v>45</v>
      </c>
      <c r="C273" s="26" t="s">
        <v>53</v>
      </c>
      <c r="D273" s="26" t="s">
        <v>54</v>
      </c>
      <c r="E273" s="27" t="s">
        <v>65</v>
      </c>
      <c r="F273" s="26" t="s">
        <v>167</v>
      </c>
      <c r="G273" s="28">
        <v>5012700</v>
      </c>
      <c r="H273" s="26">
        <v>11</v>
      </c>
      <c r="I273" s="26" t="s">
        <v>67</v>
      </c>
      <c r="J273" s="26" t="b">
        <v>1</v>
      </c>
    </row>
    <row r="274" spans="1:10">
      <c r="A274" s="26" t="s">
        <v>364</v>
      </c>
      <c r="B274" s="26">
        <v>24</v>
      </c>
      <c r="C274" s="26" t="s">
        <v>53</v>
      </c>
      <c r="D274" s="26" t="s">
        <v>54</v>
      </c>
      <c r="E274" s="27" t="s">
        <v>73</v>
      </c>
      <c r="F274" s="26" t="s">
        <v>134</v>
      </c>
      <c r="G274" s="28">
        <v>7325455</v>
      </c>
      <c r="H274" s="26">
        <v>9</v>
      </c>
      <c r="I274" s="26" t="s">
        <v>57</v>
      </c>
      <c r="J274" s="26" t="b">
        <v>1</v>
      </c>
    </row>
    <row r="275" spans="1:10">
      <c r="A275" s="26" t="s">
        <v>365</v>
      </c>
      <c r="B275" s="26">
        <v>20</v>
      </c>
      <c r="C275" s="26" t="s">
        <v>53</v>
      </c>
      <c r="D275" s="26" t="s">
        <v>54</v>
      </c>
      <c r="E275" s="27" t="s">
        <v>78</v>
      </c>
      <c r="F275" s="26" t="s">
        <v>71</v>
      </c>
      <c r="G275" s="28">
        <v>1054310</v>
      </c>
      <c r="H275" s="26">
        <v>10</v>
      </c>
      <c r="I275" s="26" t="s">
        <v>57</v>
      </c>
      <c r="J275" s="26" t="b">
        <v>1</v>
      </c>
    </row>
    <row r="276" spans="1:10">
      <c r="A276" s="26" t="s">
        <v>366</v>
      </c>
      <c r="B276" s="26">
        <v>27</v>
      </c>
      <c r="C276" s="26" t="s">
        <v>59</v>
      </c>
      <c r="D276" s="26" t="s">
        <v>60</v>
      </c>
      <c r="E276" s="27" t="s">
        <v>61</v>
      </c>
      <c r="F276" s="26" t="s">
        <v>104</v>
      </c>
      <c r="G276" s="28">
        <v>3091320</v>
      </c>
      <c r="H276" s="26">
        <v>7</v>
      </c>
      <c r="I276" s="26" t="s">
        <v>57</v>
      </c>
      <c r="J276" s="26" t="b">
        <v>0</v>
      </c>
    </row>
    <row r="277" spans="1:10">
      <c r="A277" s="26" t="s">
        <v>367</v>
      </c>
      <c r="B277" s="26">
        <v>47</v>
      </c>
      <c r="C277" s="26" t="s">
        <v>59</v>
      </c>
      <c r="D277" s="26" t="s">
        <v>60</v>
      </c>
      <c r="E277" s="27" t="s">
        <v>61</v>
      </c>
      <c r="F277" s="26" t="s">
        <v>80</v>
      </c>
      <c r="G277" s="28">
        <v>3886315</v>
      </c>
      <c r="H277" s="26"/>
      <c r="I277" s="26" t="s">
        <v>67</v>
      </c>
      <c r="J277" s="26" t="b">
        <v>0</v>
      </c>
    </row>
    <row r="278" spans="1:10">
      <c r="A278" s="26" t="s">
        <v>368</v>
      </c>
      <c r="B278" s="26">
        <v>34</v>
      </c>
      <c r="C278" s="26" t="s">
        <v>59</v>
      </c>
      <c r="D278" s="26" t="s">
        <v>54</v>
      </c>
      <c r="E278" s="27" t="s">
        <v>78</v>
      </c>
      <c r="F278" s="26" t="s">
        <v>134</v>
      </c>
      <c r="G278" s="28">
        <v>5773595</v>
      </c>
      <c r="H278" s="26">
        <v>12</v>
      </c>
      <c r="I278" s="26" t="s">
        <v>60</v>
      </c>
      <c r="J278" s="26" t="b">
        <v>1</v>
      </c>
    </row>
    <row r="279" spans="1:10">
      <c r="A279" s="26" t="s">
        <v>369</v>
      </c>
      <c r="B279" s="26">
        <v>41</v>
      </c>
      <c r="C279" s="26" t="s">
        <v>59</v>
      </c>
      <c r="D279" s="26" t="s">
        <v>60</v>
      </c>
      <c r="E279" s="27" t="s">
        <v>78</v>
      </c>
      <c r="F279" s="26" t="s">
        <v>76</v>
      </c>
      <c r="G279" s="28">
        <v>2896175</v>
      </c>
      <c r="H279" s="26">
        <v>2</v>
      </c>
      <c r="I279" s="26" t="s">
        <v>60</v>
      </c>
      <c r="J279" s="26" t="b">
        <v>1</v>
      </c>
    </row>
    <row r="280" spans="1:10">
      <c r="A280" s="26" t="s">
        <v>370</v>
      </c>
      <c r="B280" s="26">
        <v>26</v>
      </c>
      <c r="C280" s="26" t="s">
        <v>59</v>
      </c>
      <c r="D280" s="26" t="s">
        <v>60</v>
      </c>
      <c r="E280" s="27" t="s">
        <v>61</v>
      </c>
      <c r="F280" s="26" t="s">
        <v>80</v>
      </c>
      <c r="G280" s="28">
        <v>1136460</v>
      </c>
      <c r="H280" s="26">
        <v>10</v>
      </c>
      <c r="I280" s="26" t="s">
        <v>57</v>
      </c>
      <c r="J280" s="26" t="b">
        <v>1</v>
      </c>
    </row>
    <row r="281" spans="1:10">
      <c r="A281" s="26" t="s">
        <v>371</v>
      </c>
      <c r="B281" s="26">
        <v>49</v>
      </c>
      <c r="C281" s="26" t="s">
        <v>59</v>
      </c>
      <c r="D281" s="26" t="s">
        <v>54</v>
      </c>
      <c r="E281" s="27" t="s">
        <v>65</v>
      </c>
      <c r="F281" s="26" t="s">
        <v>134</v>
      </c>
      <c r="G281" s="28">
        <v>3326145</v>
      </c>
      <c r="H281" s="26">
        <v>6</v>
      </c>
      <c r="I281" s="26" t="s">
        <v>57</v>
      </c>
      <c r="J281" s="26" t="b">
        <v>1</v>
      </c>
    </row>
    <row r="282" spans="1:10">
      <c r="A282" s="26" t="s">
        <v>372</v>
      </c>
      <c r="B282" s="26">
        <v>47</v>
      </c>
      <c r="C282" s="26" t="s">
        <v>53</v>
      </c>
      <c r="D282" s="26" t="s">
        <v>54</v>
      </c>
      <c r="E282" s="27" t="s">
        <v>85</v>
      </c>
      <c r="F282" s="26" t="s">
        <v>71</v>
      </c>
      <c r="G282" s="28">
        <v>7243460</v>
      </c>
      <c r="H282" s="26">
        <v>12</v>
      </c>
      <c r="I282" s="26" t="s">
        <v>63</v>
      </c>
      <c r="J282" s="26" t="b">
        <v>0</v>
      </c>
    </row>
    <row r="283" spans="1:10">
      <c r="A283" s="26" t="s">
        <v>373</v>
      </c>
      <c r="B283" s="26">
        <v>18</v>
      </c>
      <c r="C283" s="26" t="s">
        <v>59</v>
      </c>
      <c r="D283" s="26" t="s">
        <v>54</v>
      </c>
      <c r="E283" s="27" t="s">
        <v>78</v>
      </c>
      <c r="F283" s="26" t="s">
        <v>140</v>
      </c>
      <c r="G283" s="28">
        <v>7372575</v>
      </c>
      <c r="H283" s="26">
        <v>4</v>
      </c>
      <c r="I283" s="26" t="s">
        <v>60</v>
      </c>
      <c r="J283" s="26" t="b">
        <v>1</v>
      </c>
    </row>
    <row r="284" spans="1:10">
      <c r="A284" s="26" t="s">
        <v>374</v>
      </c>
      <c r="B284" s="26">
        <v>48</v>
      </c>
      <c r="C284" s="26" t="s">
        <v>53</v>
      </c>
      <c r="D284" s="26" t="s">
        <v>54</v>
      </c>
      <c r="E284" s="27" t="s">
        <v>65</v>
      </c>
      <c r="F284" s="26" t="s">
        <v>88</v>
      </c>
      <c r="G284" s="28">
        <v>2501390</v>
      </c>
      <c r="H284" s="26">
        <v>11</v>
      </c>
      <c r="I284" s="26" t="s">
        <v>57</v>
      </c>
      <c r="J284" s="26" t="b">
        <v>1</v>
      </c>
    </row>
    <row r="285" spans="1:10">
      <c r="A285" s="26" t="s">
        <v>375</v>
      </c>
      <c r="B285" s="26">
        <v>19</v>
      </c>
      <c r="C285" s="26" t="s">
        <v>59</v>
      </c>
      <c r="D285" s="26" t="s">
        <v>54</v>
      </c>
      <c r="E285" s="27" t="s">
        <v>85</v>
      </c>
      <c r="F285" s="26" t="s">
        <v>102</v>
      </c>
      <c r="G285" s="28">
        <v>3871590</v>
      </c>
      <c r="H285" s="26">
        <v>4</v>
      </c>
      <c r="I285" s="26" t="s">
        <v>67</v>
      </c>
      <c r="J285" s="26" t="b">
        <v>0</v>
      </c>
    </row>
    <row r="286" spans="1:10">
      <c r="A286" s="26" t="s">
        <v>376</v>
      </c>
      <c r="B286" s="26">
        <v>39</v>
      </c>
      <c r="C286" s="26" t="s">
        <v>53</v>
      </c>
      <c r="D286" s="26" t="s">
        <v>54</v>
      </c>
      <c r="E286" s="27" t="s">
        <v>73</v>
      </c>
      <c r="F286" s="26" t="s">
        <v>134</v>
      </c>
      <c r="G286" s="28">
        <v>2323140</v>
      </c>
      <c r="H286" s="26">
        <v>9</v>
      </c>
      <c r="I286" s="26" t="s">
        <v>67</v>
      </c>
      <c r="J286" s="26" t="b">
        <v>0</v>
      </c>
    </row>
    <row r="287" spans="1:10">
      <c r="A287" s="26" t="s">
        <v>377</v>
      </c>
      <c r="B287" s="26">
        <v>48</v>
      </c>
      <c r="C287" s="26" t="s">
        <v>53</v>
      </c>
      <c r="D287" s="26" t="s">
        <v>60</v>
      </c>
      <c r="E287" s="27" t="s">
        <v>55</v>
      </c>
      <c r="F287" s="26" t="s">
        <v>167</v>
      </c>
      <c r="G287" s="28">
        <v>5379895</v>
      </c>
      <c r="H287" s="26">
        <v>5</v>
      </c>
      <c r="I287" s="26" t="s">
        <v>63</v>
      </c>
      <c r="J287" s="26" t="b">
        <v>0</v>
      </c>
    </row>
    <row r="288" spans="1:10">
      <c r="A288" s="26" t="s">
        <v>378</v>
      </c>
      <c r="B288" s="26">
        <v>43</v>
      </c>
      <c r="C288" s="26" t="s">
        <v>53</v>
      </c>
      <c r="D288" s="26" t="s">
        <v>60</v>
      </c>
      <c r="E288" s="27" t="s">
        <v>73</v>
      </c>
      <c r="F288" s="26" t="s">
        <v>90</v>
      </c>
      <c r="G288" s="28">
        <v>5355095</v>
      </c>
      <c r="H288" s="26">
        <v>9</v>
      </c>
      <c r="I288" s="26" t="s">
        <v>60</v>
      </c>
      <c r="J288" s="26" t="b">
        <v>1</v>
      </c>
    </row>
    <row r="289" spans="1:10">
      <c r="A289" s="26" t="s">
        <v>379</v>
      </c>
      <c r="B289" s="26">
        <v>31</v>
      </c>
      <c r="C289" s="26" t="s">
        <v>53</v>
      </c>
      <c r="D289" s="26" t="s">
        <v>60</v>
      </c>
      <c r="E289" s="27" t="s">
        <v>61</v>
      </c>
      <c r="F289" s="26" t="s">
        <v>90</v>
      </c>
      <c r="G289" s="28">
        <v>4607220</v>
      </c>
      <c r="H289" s="26">
        <v>2</v>
      </c>
      <c r="I289" s="26" t="s">
        <v>63</v>
      </c>
      <c r="J289" s="26" t="b">
        <v>1</v>
      </c>
    </row>
    <row r="290" spans="1:10">
      <c r="A290" s="26" t="s">
        <v>380</v>
      </c>
      <c r="B290" s="26">
        <v>28</v>
      </c>
      <c r="C290" s="26" t="s">
        <v>53</v>
      </c>
      <c r="D290" s="26" t="s">
        <v>54</v>
      </c>
      <c r="E290" s="27" t="s">
        <v>78</v>
      </c>
      <c r="F290" s="26" t="s">
        <v>69</v>
      </c>
      <c r="G290" s="28">
        <v>7662270</v>
      </c>
      <c r="H290" s="26">
        <v>12</v>
      </c>
      <c r="I290" s="26" t="s">
        <v>60</v>
      </c>
      <c r="J290" s="26" t="b">
        <v>0</v>
      </c>
    </row>
    <row r="291" spans="1:10">
      <c r="A291" s="26" t="s">
        <v>381</v>
      </c>
      <c r="B291" s="26">
        <v>29</v>
      </c>
      <c r="C291" s="26" t="s">
        <v>59</v>
      </c>
      <c r="D291" s="26" t="s">
        <v>54</v>
      </c>
      <c r="E291" s="27" t="s">
        <v>78</v>
      </c>
      <c r="F291" s="26" t="s">
        <v>88</v>
      </c>
      <c r="G291" s="28">
        <v>6874560</v>
      </c>
      <c r="H291" s="26">
        <v>5</v>
      </c>
      <c r="I291" s="26" t="s">
        <v>57</v>
      </c>
      <c r="J291" s="26" t="b">
        <v>1</v>
      </c>
    </row>
    <row r="292" spans="1:10">
      <c r="A292" s="26" t="s">
        <v>382</v>
      </c>
      <c r="B292" s="26">
        <v>45</v>
      </c>
      <c r="C292" s="26" t="s">
        <v>53</v>
      </c>
      <c r="D292" s="26" t="s">
        <v>54</v>
      </c>
      <c r="E292" s="27" t="s">
        <v>85</v>
      </c>
      <c r="F292" s="26" t="s">
        <v>167</v>
      </c>
      <c r="G292" s="28">
        <v>7086290</v>
      </c>
      <c r="H292" s="26">
        <v>7</v>
      </c>
      <c r="I292" s="26" t="s">
        <v>60</v>
      </c>
      <c r="J292" s="26" t="b">
        <v>1</v>
      </c>
    </row>
    <row r="293" spans="1:10">
      <c r="A293" s="26" t="s">
        <v>383</v>
      </c>
      <c r="B293" s="26">
        <v>38</v>
      </c>
      <c r="C293" s="26" t="s">
        <v>59</v>
      </c>
      <c r="D293" s="26" t="s">
        <v>54</v>
      </c>
      <c r="E293" s="27" t="s">
        <v>85</v>
      </c>
      <c r="F293" s="26" t="s">
        <v>76</v>
      </c>
      <c r="G293" s="28">
        <v>6322140</v>
      </c>
      <c r="H293" s="26">
        <v>4</v>
      </c>
      <c r="I293" s="26" t="s">
        <v>57</v>
      </c>
      <c r="J293" s="26" t="b">
        <v>0</v>
      </c>
    </row>
    <row r="294" spans="1:10">
      <c r="A294" s="26" t="s">
        <v>384</v>
      </c>
      <c r="B294" s="26">
        <v>30</v>
      </c>
      <c r="C294" s="26" t="s">
        <v>59</v>
      </c>
      <c r="D294" s="26" t="s">
        <v>54</v>
      </c>
      <c r="E294" s="27" t="s">
        <v>85</v>
      </c>
      <c r="F294" s="26" t="s">
        <v>76</v>
      </c>
      <c r="G294" s="28">
        <v>6954540</v>
      </c>
      <c r="H294" s="26">
        <v>8</v>
      </c>
      <c r="I294" s="26" t="s">
        <v>60</v>
      </c>
      <c r="J294" s="26" t="b">
        <v>1</v>
      </c>
    </row>
    <row r="295" spans="1:10">
      <c r="A295" s="26" t="s">
        <v>385</v>
      </c>
      <c r="B295" s="26">
        <v>40</v>
      </c>
      <c r="C295" s="26" t="s">
        <v>53</v>
      </c>
      <c r="D295" s="26" t="s">
        <v>60</v>
      </c>
      <c r="E295" s="27" t="s">
        <v>65</v>
      </c>
      <c r="F295" s="26" t="s">
        <v>98</v>
      </c>
      <c r="G295" s="28">
        <v>3967380</v>
      </c>
      <c r="H295" s="26">
        <v>7</v>
      </c>
      <c r="I295" s="26" t="s">
        <v>60</v>
      </c>
      <c r="J295" s="26" t="b">
        <v>0</v>
      </c>
    </row>
    <row r="296" spans="1:10">
      <c r="A296" s="26" t="s">
        <v>386</v>
      </c>
      <c r="B296" s="26">
        <v>45</v>
      </c>
      <c r="C296" s="26" t="s">
        <v>59</v>
      </c>
      <c r="D296" s="26" t="s">
        <v>54</v>
      </c>
      <c r="E296" s="27" t="s">
        <v>65</v>
      </c>
      <c r="F296" s="26" t="s">
        <v>86</v>
      </c>
      <c r="G296" s="28">
        <v>2264085</v>
      </c>
      <c r="H296" s="26">
        <v>7</v>
      </c>
      <c r="I296" s="26" t="s">
        <v>67</v>
      </c>
      <c r="J296" s="26" t="b">
        <v>1</v>
      </c>
    </row>
    <row r="297" spans="1:10">
      <c r="A297" s="26" t="s">
        <v>387</v>
      </c>
      <c r="B297" s="26">
        <v>44</v>
      </c>
      <c r="C297" s="26" t="s">
        <v>53</v>
      </c>
      <c r="D297" s="26" t="s">
        <v>60</v>
      </c>
      <c r="E297" s="27" t="s">
        <v>85</v>
      </c>
      <c r="F297" s="26" t="s">
        <v>113</v>
      </c>
      <c r="G297" s="28">
        <v>4834450</v>
      </c>
      <c r="H297" s="26">
        <v>4</v>
      </c>
      <c r="I297" s="26" t="s">
        <v>67</v>
      </c>
      <c r="J297" s="26" t="b">
        <v>0</v>
      </c>
    </row>
    <row r="298" spans="1:10">
      <c r="A298" s="26" t="s">
        <v>388</v>
      </c>
      <c r="B298" s="26">
        <v>38</v>
      </c>
      <c r="C298" s="26" t="s">
        <v>53</v>
      </c>
      <c r="D298" s="26" t="s">
        <v>54</v>
      </c>
      <c r="E298" s="27" t="s">
        <v>85</v>
      </c>
      <c r="F298" s="26" t="s">
        <v>56</v>
      </c>
      <c r="G298" s="28">
        <v>4674800</v>
      </c>
      <c r="H298" s="26">
        <v>4</v>
      </c>
      <c r="I298" s="26" t="s">
        <v>67</v>
      </c>
      <c r="J298" s="26" t="b">
        <v>0</v>
      </c>
    </row>
    <row r="299" spans="1:10">
      <c r="A299" s="26" t="s">
        <v>389</v>
      </c>
      <c r="B299" s="26">
        <v>23</v>
      </c>
      <c r="C299" s="26" t="s">
        <v>59</v>
      </c>
      <c r="D299" s="26" t="s">
        <v>54</v>
      </c>
      <c r="E299" s="27" t="s">
        <v>61</v>
      </c>
      <c r="F299" s="26" t="s">
        <v>100</v>
      </c>
      <c r="G299" s="28">
        <v>4610475</v>
      </c>
      <c r="H299" s="26">
        <v>3</v>
      </c>
      <c r="I299" s="26" t="s">
        <v>63</v>
      </c>
      <c r="J299" s="26" t="b">
        <v>0</v>
      </c>
    </row>
    <row r="300" spans="1:10">
      <c r="A300" s="26" t="s">
        <v>390</v>
      </c>
      <c r="B300" s="26">
        <v>30</v>
      </c>
      <c r="C300" s="26" t="s">
        <v>59</v>
      </c>
      <c r="D300" s="26" t="s">
        <v>60</v>
      </c>
      <c r="E300" s="27" t="s">
        <v>65</v>
      </c>
      <c r="F300" s="26" t="s">
        <v>80</v>
      </c>
      <c r="G300" s="28">
        <v>2437530</v>
      </c>
      <c r="H300" s="26">
        <v>3</v>
      </c>
      <c r="I300" s="26" t="s">
        <v>63</v>
      </c>
      <c r="J300" s="26" t="b">
        <v>0</v>
      </c>
    </row>
    <row r="301" spans="1:10">
      <c r="A301" s="26" t="s">
        <v>391</v>
      </c>
      <c r="B301" s="26">
        <v>42</v>
      </c>
      <c r="C301" s="26" t="s">
        <v>59</v>
      </c>
      <c r="D301" s="26" t="s">
        <v>60</v>
      </c>
      <c r="E301" s="27" t="s">
        <v>73</v>
      </c>
      <c r="F301" s="26" t="s">
        <v>113</v>
      </c>
      <c r="G301" s="28">
        <v>3711630</v>
      </c>
      <c r="H301" s="26">
        <v>3</v>
      </c>
      <c r="I301" s="26" t="s">
        <v>67</v>
      </c>
      <c r="J301" s="26" t="b">
        <v>1</v>
      </c>
    </row>
    <row r="302" spans="1:10">
      <c r="A302" s="26" t="s">
        <v>392</v>
      </c>
      <c r="B302" s="26">
        <v>28</v>
      </c>
      <c r="C302" s="26" t="s">
        <v>53</v>
      </c>
      <c r="D302" s="26" t="s">
        <v>60</v>
      </c>
      <c r="E302" s="27" t="s">
        <v>85</v>
      </c>
      <c r="F302" s="26" t="s">
        <v>56</v>
      </c>
      <c r="G302" s="28">
        <v>3732710</v>
      </c>
      <c r="H302" s="26">
        <v>10</v>
      </c>
      <c r="I302" s="26" t="s">
        <v>60</v>
      </c>
      <c r="J302" s="26" t="b">
        <v>1</v>
      </c>
    </row>
    <row r="303" spans="1:10">
      <c r="A303" s="26" t="s">
        <v>393</v>
      </c>
      <c r="B303" s="26">
        <v>44</v>
      </c>
      <c r="C303" s="26" t="s">
        <v>53</v>
      </c>
      <c r="D303" s="26" t="s">
        <v>54</v>
      </c>
      <c r="E303" s="27" t="s">
        <v>73</v>
      </c>
      <c r="F303" s="26" t="s">
        <v>80</v>
      </c>
      <c r="G303" s="28">
        <v>4682085</v>
      </c>
      <c r="H303" s="26">
        <v>6</v>
      </c>
      <c r="I303" s="26" t="s">
        <v>63</v>
      </c>
      <c r="J303" s="26" t="b">
        <v>1</v>
      </c>
    </row>
    <row r="304" spans="1:10">
      <c r="A304" s="26" t="s">
        <v>394</v>
      </c>
      <c r="B304" s="26">
        <v>45</v>
      </c>
      <c r="C304" s="26" t="s">
        <v>59</v>
      </c>
      <c r="D304" s="26" t="s">
        <v>54</v>
      </c>
      <c r="E304" s="27" t="s">
        <v>61</v>
      </c>
      <c r="F304" s="26" t="s">
        <v>100</v>
      </c>
      <c r="G304" s="28">
        <v>5703845</v>
      </c>
      <c r="H304" s="26">
        <v>2</v>
      </c>
      <c r="I304" s="26" t="s">
        <v>57</v>
      </c>
      <c r="J304" s="26" t="b">
        <v>0</v>
      </c>
    </row>
    <row r="305" spans="1:10">
      <c r="A305" s="26" t="s">
        <v>395</v>
      </c>
      <c r="B305" s="26">
        <v>46</v>
      </c>
      <c r="C305" s="26" t="s">
        <v>53</v>
      </c>
      <c r="D305" s="26" t="s">
        <v>60</v>
      </c>
      <c r="E305" s="27" t="s">
        <v>73</v>
      </c>
      <c r="F305" s="26" t="s">
        <v>121</v>
      </c>
      <c r="G305" s="28">
        <v>5576125</v>
      </c>
      <c r="H305" s="26">
        <v>7</v>
      </c>
      <c r="I305" s="26" t="s">
        <v>60</v>
      </c>
      <c r="J305" s="26" t="b">
        <v>0</v>
      </c>
    </row>
    <row r="306" spans="1:10">
      <c r="A306" s="26" t="s">
        <v>396</v>
      </c>
      <c r="B306" s="26">
        <v>28</v>
      </c>
      <c r="C306" s="26" t="s">
        <v>53</v>
      </c>
      <c r="D306" s="26" t="s">
        <v>54</v>
      </c>
      <c r="E306" s="27" t="s">
        <v>73</v>
      </c>
      <c r="F306" s="26" t="s">
        <v>96</v>
      </c>
      <c r="G306" s="28">
        <v>3168820</v>
      </c>
      <c r="H306" s="26">
        <v>2</v>
      </c>
      <c r="I306" s="26" t="s">
        <v>57</v>
      </c>
      <c r="J306" s="26" t="b">
        <v>0</v>
      </c>
    </row>
    <row r="307" spans="1:10">
      <c r="A307" s="26" t="s">
        <v>397</v>
      </c>
      <c r="B307" s="26">
        <v>27</v>
      </c>
      <c r="C307" s="26" t="s">
        <v>59</v>
      </c>
      <c r="D307" s="26" t="s">
        <v>60</v>
      </c>
      <c r="E307" s="27" t="s">
        <v>85</v>
      </c>
      <c r="F307" s="26" t="s">
        <v>56</v>
      </c>
      <c r="G307" s="28">
        <v>3548415</v>
      </c>
      <c r="H307" s="26">
        <v>7</v>
      </c>
      <c r="I307" s="26" t="s">
        <v>67</v>
      </c>
      <c r="J307" s="26" t="b">
        <v>1</v>
      </c>
    </row>
    <row r="308" spans="1:10">
      <c r="A308" s="26" t="s">
        <v>398</v>
      </c>
      <c r="B308" s="26">
        <v>20</v>
      </c>
      <c r="C308" s="26" t="s">
        <v>53</v>
      </c>
      <c r="D308" s="26" t="s">
        <v>60</v>
      </c>
      <c r="E308" s="27" t="s">
        <v>55</v>
      </c>
      <c r="F308" s="26" t="s">
        <v>66</v>
      </c>
      <c r="G308" s="28">
        <v>5507305</v>
      </c>
      <c r="H308" s="26">
        <v>11</v>
      </c>
      <c r="I308" s="26" t="s">
        <v>60</v>
      </c>
      <c r="J308" s="26" t="b">
        <v>0</v>
      </c>
    </row>
    <row r="309" spans="1:10">
      <c r="A309" s="26" t="s">
        <v>399</v>
      </c>
      <c r="B309" s="26">
        <v>40</v>
      </c>
      <c r="C309" s="26" t="s">
        <v>59</v>
      </c>
      <c r="D309" s="26" t="s">
        <v>60</v>
      </c>
      <c r="E309" s="27" t="s">
        <v>55</v>
      </c>
      <c r="F309" s="26" t="s">
        <v>88</v>
      </c>
      <c r="G309" s="28">
        <v>5187385</v>
      </c>
      <c r="H309" s="26">
        <v>12</v>
      </c>
      <c r="I309" s="26" t="s">
        <v>57</v>
      </c>
      <c r="J309" s="26" t="b">
        <v>1</v>
      </c>
    </row>
    <row r="310" spans="1:10">
      <c r="A310" s="26" t="s">
        <v>400</v>
      </c>
      <c r="B310" s="26">
        <v>36</v>
      </c>
      <c r="C310" s="26" t="s">
        <v>59</v>
      </c>
      <c r="D310" s="26" t="s">
        <v>54</v>
      </c>
      <c r="E310" s="27" t="s">
        <v>55</v>
      </c>
      <c r="F310" s="26" t="s">
        <v>76</v>
      </c>
      <c r="G310" s="28">
        <v>2832160</v>
      </c>
      <c r="H310" s="26">
        <v>5</v>
      </c>
      <c r="I310" s="26" t="s">
        <v>60</v>
      </c>
      <c r="J310" s="26" t="b">
        <v>0</v>
      </c>
    </row>
    <row r="311" spans="1:10">
      <c r="A311" s="26" t="s">
        <v>401</v>
      </c>
      <c r="B311" s="26">
        <v>43</v>
      </c>
      <c r="C311" s="26" t="s">
        <v>59</v>
      </c>
      <c r="D311" s="26" t="s">
        <v>60</v>
      </c>
      <c r="E311" s="27" t="s">
        <v>78</v>
      </c>
      <c r="F311" s="26" t="s">
        <v>167</v>
      </c>
      <c r="G311" s="28">
        <v>4033410</v>
      </c>
      <c r="H311" s="26">
        <v>11</v>
      </c>
      <c r="I311" s="26" t="s">
        <v>57</v>
      </c>
      <c r="J311" s="26" t="b">
        <v>0</v>
      </c>
    </row>
    <row r="312" spans="1:10">
      <c r="A312" s="26" t="s">
        <v>402</v>
      </c>
      <c r="B312" s="26">
        <v>26</v>
      </c>
      <c r="C312" s="26" t="s">
        <v>53</v>
      </c>
      <c r="D312" s="26" t="s">
        <v>60</v>
      </c>
      <c r="E312" s="27" t="s">
        <v>73</v>
      </c>
      <c r="F312" s="26" t="s">
        <v>62</v>
      </c>
      <c r="G312" s="28">
        <v>7051415</v>
      </c>
      <c r="H312" s="26">
        <v>8</v>
      </c>
      <c r="I312" s="26" t="s">
        <v>67</v>
      </c>
      <c r="J312" s="26" t="b">
        <v>0</v>
      </c>
    </row>
    <row r="313" spans="1:10">
      <c r="A313" s="26" t="s">
        <v>403</v>
      </c>
      <c r="B313" s="26">
        <v>29</v>
      </c>
      <c r="C313" s="26" t="s">
        <v>59</v>
      </c>
      <c r="D313" s="26" t="s">
        <v>54</v>
      </c>
      <c r="E313" s="27" t="s">
        <v>85</v>
      </c>
      <c r="F313" s="26" t="s">
        <v>137</v>
      </c>
      <c r="G313" s="28">
        <v>5044010</v>
      </c>
      <c r="H313" s="26">
        <v>11</v>
      </c>
      <c r="I313" s="26" t="s">
        <v>67</v>
      </c>
      <c r="J313" s="26" t="b">
        <v>1</v>
      </c>
    </row>
    <row r="314" spans="1:10">
      <c r="A314" s="26" t="s">
        <v>404</v>
      </c>
      <c r="B314" s="26">
        <v>34</v>
      </c>
      <c r="C314" s="26" t="s">
        <v>53</v>
      </c>
      <c r="D314" s="26" t="s">
        <v>54</v>
      </c>
      <c r="E314" s="27" t="s">
        <v>78</v>
      </c>
      <c r="F314" s="26" t="s">
        <v>167</v>
      </c>
      <c r="G314" s="28">
        <v>5446080</v>
      </c>
      <c r="H314" s="26">
        <v>2</v>
      </c>
      <c r="I314" s="26" t="s">
        <v>60</v>
      </c>
      <c r="J314" s="26" t="b">
        <v>0</v>
      </c>
    </row>
    <row r="315" spans="1:10">
      <c r="A315" s="26" t="s">
        <v>405</v>
      </c>
      <c r="B315" s="26">
        <v>40</v>
      </c>
      <c r="C315" s="26" t="s">
        <v>59</v>
      </c>
      <c r="D315" s="26" t="s">
        <v>60</v>
      </c>
      <c r="E315" s="27" t="s">
        <v>85</v>
      </c>
      <c r="F315" s="26" t="s">
        <v>102</v>
      </c>
      <c r="G315" s="28">
        <v>5171265</v>
      </c>
      <c r="H315" s="26"/>
      <c r="I315" s="26" t="s">
        <v>57</v>
      </c>
      <c r="J315" s="26" t="b">
        <v>0</v>
      </c>
    </row>
    <row r="316" spans="1:10">
      <c r="A316" s="26" t="s">
        <v>406</v>
      </c>
      <c r="B316" s="26">
        <v>42</v>
      </c>
      <c r="C316" s="26" t="s">
        <v>53</v>
      </c>
      <c r="D316" s="26" t="s">
        <v>60</v>
      </c>
      <c r="E316" s="27" t="s">
        <v>78</v>
      </c>
      <c r="F316" s="26" t="s">
        <v>137</v>
      </c>
      <c r="G316" s="28">
        <v>7283450</v>
      </c>
      <c r="H316" s="26">
        <v>4</v>
      </c>
      <c r="I316" s="26" t="s">
        <v>67</v>
      </c>
      <c r="J316" s="26" t="b">
        <v>0</v>
      </c>
    </row>
    <row r="317" spans="1:10">
      <c r="A317" s="26" t="s">
        <v>407</v>
      </c>
      <c r="B317" s="26">
        <v>28</v>
      </c>
      <c r="C317" s="26" t="s">
        <v>59</v>
      </c>
      <c r="D317" s="26" t="s">
        <v>60</v>
      </c>
      <c r="E317" s="27" t="s">
        <v>73</v>
      </c>
      <c r="F317" s="26" t="s">
        <v>82</v>
      </c>
      <c r="G317" s="28">
        <v>3216560</v>
      </c>
      <c r="H317" s="26">
        <v>4</v>
      </c>
      <c r="I317" s="26" t="s">
        <v>67</v>
      </c>
      <c r="J317" s="26" t="b">
        <v>0</v>
      </c>
    </row>
    <row r="318" spans="1:10">
      <c r="A318" s="26" t="s">
        <v>408</v>
      </c>
      <c r="B318" s="26">
        <v>49</v>
      </c>
      <c r="C318" s="26" t="s">
        <v>59</v>
      </c>
      <c r="D318" s="26" t="s">
        <v>60</v>
      </c>
      <c r="E318" s="27" t="s">
        <v>55</v>
      </c>
      <c r="F318" s="26" t="s">
        <v>104</v>
      </c>
      <c r="G318" s="28">
        <v>1951295</v>
      </c>
      <c r="H318" s="26">
        <v>7</v>
      </c>
      <c r="I318" s="26" t="s">
        <v>67</v>
      </c>
      <c r="J318" s="26" t="b">
        <v>0</v>
      </c>
    </row>
    <row r="319" spans="1:10">
      <c r="A319" s="26" t="s">
        <v>409</v>
      </c>
      <c r="B319" s="26">
        <v>46</v>
      </c>
      <c r="C319" s="26" t="s">
        <v>53</v>
      </c>
      <c r="D319" s="26" t="s">
        <v>60</v>
      </c>
      <c r="E319" s="27" t="s">
        <v>61</v>
      </c>
      <c r="F319" s="26" t="s">
        <v>98</v>
      </c>
      <c r="G319" s="28">
        <v>2646935</v>
      </c>
      <c r="H319" s="26">
        <v>9</v>
      </c>
      <c r="I319" s="26" t="s">
        <v>63</v>
      </c>
      <c r="J319" s="26" t="b">
        <v>0</v>
      </c>
    </row>
    <row r="320" spans="1:10">
      <c r="A320" s="26" t="s">
        <v>410</v>
      </c>
      <c r="B320" s="26">
        <v>44</v>
      </c>
      <c r="C320" s="26" t="s">
        <v>53</v>
      </c>
      <c r="D320" s="26" t="s">
        <v>60</v>
      </c>
      <c r="E320" s="27" t="s">
        <v>55</v>
      </c>
      <c r="F320" s="26" t="s">
        <v>98</v>
      </c>
      <c r="G320" s="28">
        <v>990605</v>
      </c>
      <c r="H320" s="26">
        <v>2</v>
      </c>
      <c r="I320" s="26" t="s">
        <v>57</v>
      </c>
      <c r="J320" s="26" t="b">
        <v>0</v>
      </c>
    </row>
    <row r="321" spans="1:10">
      <c r="A321" s="26" t="s">
        <v>411</v>
      </c>
      <c r="B321" s="26">
        <v>29</v>
      </c>
      <c r="C321" s="26" t="s">
        <v>59</v>
      </c>
      <c r="D321" s="26" t="s">
        <v>60</v>
      </c>
      <c r="E321" s="27" t="s">
        <v>55</v>
      </c>
      <c r="F321" s="26" t="s">
        <v>134</v>
      </c>
      <c r="G321" s="28">
        <v>5278525</v>
      </c>
      <c r="H321" s="26">
        <v>7</v>
      </c>
      <c r="I321" s="26" t="s">
        <v>67</v>
      </c>
      <c r="J321" s="26" t="b">
        <v>0</v>
      </c>
    </row>
    <row r="322" spans="1:10">
      <c r="A322" s="26" t="s">
        <v>412</v>
      </c>
      <c r="B322" s="26">
        <v>47</v>
      </c>
      <c r="C322" s="26" t="s">
        <v>59</v>
      </c>
      <c r="D322" s="26" t="s">
        <v>54</v>
      </c>
      <c r="E322" s="27" t="s">
        <v>55</v>
      </c>
      <c r="F322" s="26" t="s">
        <v>100</v>
      </c>
      <c r="G322" s="28">
        <v>5861170</v>
      </c>
      <c r="H322" s="26">
        <v>6</v>
      </c>
      <c r="I322" s="26" t="s">
        <v>63</v>
      </c>
      <c r="J322" s="26" t="b">
        <v>0</v>
      </c>
    </row>
    <row r="323" spans="1:10">
      <c r="A323" s="26" t="s">
        <v>413</v>
      </c>
      <c r="B323" s="26">
        <v>37</v>
      </c>
      <c r="C323" s="26" t="s">
        <v>53</v>
      </c>
      <c r="D323" s="26" t="s">
        <v>54</v>
      </c>
      <c r="E323" s="27" t="s">
        <v>78</v>
      </c>
      <c r="F323" s="26" t="s">
        <v>104</v>
      </c>
      <c r="G323" s="28">
        <v>3655520</v>
      </c>
      <c r="H323" s="26">
        <v>9</v>
      </c>
      <c r="I323" s="26" t="s">
        <v>57</v>
      </c>
      <c r="J323" s="26" t="b">
        <v>0</v>
      </c>
    </row>
    <row r="324" spans="1:10">
      <c r="A324" s="26" t="s">
        <v>414</v>
      </c>
      <c r="B324" s="26">
        <v>47</v>
      </c>
      <c r="C324" s="26" t="s">
        <v>59</v>
      </c>
      <c r="D324" s="26" t="s">
        <v>60</v>
      </c>
      <c r="E324" s="27" t="s">
        <v>78</v>
      </c>
      <c r="F324" s="26" t="s">
        <v>109</v>
      </c>
      <c r="G324" s="28">
        <v>2548820</v>
      </c>
      <c r="H324" s="26">
        <v>5</v>
      </c>
      <c r="I324" s="26" t="s">
        <v>67</v>
      </c>
      <c r="J324" s="26" t="b">
        <v>0</v>
      </c>
    </row>
    <row r="325" spans="1:10">
      <c r="A325" s="26" t="s">
        <v>415</v>
      </c>
      <c r="B325" s="26">
        <v>24</v>
      </c>
      <c r="C325" s="26" t="s">
        <v>59</v>
      </c>
      <c r="D325" s="26" t="s">
        <v>60</v>
      </c>
      <c r="E325" s="27" t="s">
        <v>61</v>
      </c>
      <c r="F325" s="26" t="s">
        <v>80</v>
      </c>
      <c r="G325" s="28">
        <v>7065055</v>
      </c>
      <c r="H325" s="26">
        <v>3</v>
      </c>
      <c r="I325" s="26" t="s">
        <v>67</v>
      </c>
      <c r="J325" s="26" t="b">
        <v>0</v>
      </c>
    </row>
    <row r="326" spans="1:10">
      <c r="A326" s="26" t="s">
        <v>416</v>
      </c>
      <c r="B326" s="26">
        <v>36</v>
      </c>
      <c r="C326" s="26" t="s">
        <v>59</v>
      </c>
      <c r="D326" s="26" t="s">
        <v>60</v>
      </c>
      <c r="E326" s="27" t="s">
        <v>73</v>
      </c>
      <c r="F326" s="26" t="s">
        <v>90</v>
      </c>
      <c r="G326" s="28">
        <v>4623960</v>
      </c>
      <c r="H326" s="26">
        <v>7</v>
      </c>
      <c r="I326" s="26" t="s">
        <v>67</v>
      </c>
      <c r="J326" s="26" t="b">
        <v>1</v>
      </c>
    </row>
    <row r="327" spans="1:10">
      <c r="A327" s="26" t="s">
        <v>417</v>
      </c>
      <c r="B327" s="26">
        <v>36</v>
      </c>
      <c r="C327" s="26" t="s">
        <v>53</v>
      </c>
      <c r="D327" s="26" t="s">
        <v>60</v>
      </c>
      <c r="E327" s="27" t="s">
        <v>55</v>
      </c>
      <c r="F327" s="26" t="s">
        <v>92</v>
      </c>
      <c r="G327" s="28">
        <v>5451505</v>
      </c>
      <c r="H327" s="26">
        <v>7</v>
      </c>
      <c r="I327" s="26" t="s">
        <v>63</v>
      </c>
      <c r="J327" s="26" t="b">
        <v>1</v>
      </c>
    </row>
    <row r="328" spans="1:10">
      <c r="A328" s="26" t="s">
        <v>418</v>
      </c>
      <c r="B328" s="26">
        <v>49</v>
      </c>
      <c r="C328" s="26" t="s">
        <v>59</v>
      </c>
      <c r="D328" s="26" t="s">
        <v>54</v>
      </c>
      <c r="E328" s="27" t="s">
        <v>73</v>
      </c>
      <c r="F328" s="26" t="s">
        <v>104</v>
      </c>
      <c r="G328" s="28">
        <v>6098940</v>
      </c>
      <c r="H328" s="26">
        <v>11</v>
      </c>
      <c r="I328" s="26" t="s">
        <v>60</v>
      </c>
      <c r="J328" s="26" t="b">
        <v>1</v>
      </c>
    </row>
    <row r="329" spans="1:10">
      <c r="A329" s="26" t="s">
        <v>419</v>
      </c>
      <c r="B329" s="26">
        <v>19</v>
      </c>
      <c r="C329" s="26" t="s">
        <v>53</v>
      </c>
      <c r="D329" s="26" t="s">
        <v>60</v>
      </c>
      <c r="E329" s="27" t="s">
        <v>85</v>
      </c>
      <c r="F329" s="26" t="s">
        <v>66</v>
      </c>
      <c r="G329" s="28">
        <v>3746660</v>
      </c>
      <c r="H329" s="26">
        <v>6</v>
      </c>
      <c r="I329" s="26" t="s">
        <v>63</v>
      </c>
      <c r="J329" s="26" t="b">
        <v>0</v>
      </c>
    </row>
    <row r="330" spans="1:10">
      <c r="A330" s="26" t="s">
        <v>420</v>
      </c>
      <c r="B330" s="26">
        <v>27</v>
      </c>
      <c r="C330" s="26" t="s">
        <v>53</v>
      </c>
      <c r="D330" s="26" t="s">
        <v>60</v>
      </c>
      <c r="E330" s="27" t="s">
        <v>61</v>
      </c>
      <c r="F330" s="26" t="s">
        <v>100</v>
      </c>
      <c r="G330" s="28">
        <v>4343100</v>
      </c>
      <c r="H330" s="26">
        <v>3</v>
      </c>
      <c r="I330" s="26" t="s">
        <v>63</v>
      </c>
      <c r="J330" s="26" t="b">
        <v>0</v>
      </c>
    </row>
    <row r="331" spans="1:10">
      <c r="A331" s="26" t="s">
        <v>421</v>
      </c>
      <c r="B331" s="26">
        <v>36</v>
      </c>
      <c r="C331" s="26" t="s">
        <v>53</v>
      </c>
      <c r="D331" s="26" t="s">
        <v>54</v>
      </c>
      <c r="E331" s="27" t="s">
        <v>78</v>
      </c>
      <c r="F331" s="26" t="s">
        <v>113</v>
      </c>
      <c r="G331" s="28">
        <v>2759620</v>
      </c>
      <c r="H331" s="26">
        <v>5</v>
      </c>
      <c r="I331" s="26" t="s">
        <v>57</v>
      </c>
      <c r="J331" s="26" t="b">
        <v>1</v>
      </c>
    </row>
    <row r="332" spans="1:10">
      <c r="A332" s="26" t="s">
        <v>422</v>
      </c>
      <c r="B332" s="26">
        <v>37</v>
      </c>
      <c r="C332" s="26" t="s">
        <v>59</v>
      </c>
      <c r="D332" s="26" t="s">
        <v>60</v>
      </c>
      <c r="E332" s="27" t="s">
        <v>78</v>
      </c>
      <c r="F332" s="26" t="s">
        <v>96</v>
      </c>
      <c r="G332" s="28">
        <v>5393845</v>
      </c>
      <c r="H332" s="26">
        <v>5</v>
      </c>
      <c r="I332" s="26" t="s">
        <v>67</v>
      </c>
      <c r="J332" s="26" t="b">
        <v>1</v>
      </c>
    </row>
    <row r="333" spans="1:10">
      <c r="A333" s="26" t="s">
        <v>423</v>
      </c>
      <c r="B333" s="26">
        <v>45</v>
      </c>
      <c r="C333" s="26" t="s">
        <v>53</v>
      </c>
      <c r="D333" s="26" t="s">
        <v>54</v>
      </c>
      <c r="E333" s="27" t="s">
        <v>55</v>
      </c>
      <c r="F333" s="26" t="s">
        <v>66</v>
      </c>
      <c r="G333" s="28">
        <v>5329055</v>
      </c>
      <c r="H333" s="26">
        <v>3</v>
      </c>
      <c r="I333" s="26" t="s">
        <v>60</v>
      </c>
      <c r="J333" s="26" t="b">
        <v>0</v>
      </c>
    </row>
    <row r="334" spans="1:10">
      <c r="A334" s="26" t="s">
        <v>424</v>
      </c>
      <c r="B334" s="26">
        <v>47</v>
      </c>
      <c r="C334" s="26" t="s">
        <v>53</v>
      </c>
      <c r="D334" s="26" t="s">
        <v>54</v>
      </c>
      <c r="E334" s="27" t="s">
        <v>85</v>
      </c>
      <c r="F334" s="26" t="s">
        <v>88</v>
      </c>
      <c r="G334" s="28">
        <v>1631995</v>
      </c>
      <c r="H334" s="26">
        <v>7</v>
      </c>
      <c r="I334" s="26" t="s">
        <v>67</v>
      </c>
      <c r="J334" s="26" t="b">
        <v>0</v>
      </c>
    </row>
    <row r="335" spans="1:10">
      <c r="A335" s="26" t="s">
        <v>425</v>
      </c>
      <c r="B335" s="26">
        <v>32</v>
      </c>
      <c r="C335" s="26" t="s">
        <v>59</v>
      </c>
      <c r="D335" s="26" t="s">
        <v>54</v>
      </c>
      <c r="E335" s="27" t="s">
        <v>78</v>
      </c>
      <c r="F335" s="26" t="s">
        <v>92</v>
      </c>
      <c r="G335" s="28">
        <v>7496730</v>
      </c>
      <c r="H335" s="26">
        <v>3</v>
      </c>
      <c r="I335" s="26" t="s">
        <v>63</v>
      </c>
      <c r="J335" s="26" t="b">
        <v>0</v>
      </c>
    </row>
    <row r="336" spans="1:10">
      <c r="A336" s="26" t="s">
        <v>426</v>
      </c>
      <c r="B336" s="26">
        <v>48</v>
      </c>
      <c r="C336" s="26" t="s">
        <v>59</v>
      </c>
      <c r="D336" s="26" t="s">
        <v>54</v>
      </c>
      <c r="E336" s="27" t="s">
        <v>55</v>
      </c>
      <c r="F336" s="26" t="s">
        <v>69</v>
      </c>
      <c r="G336" s="28">
        <v>1075855</v>
      </c>
      <c r="H336" s="26">
        <v>8</v>
      </c>
      <c r="I336" s="26" t="s">
        <v>60</v>
      </c>
      <c r="J336" s="26" t="b">
        <v>0</v>
      </c>
    </row>
    <row r="337" spans="1:10">
      <c r="A337" s="26" t="s">
        <v>427</v>
      </c>
      <c r="B337" s="26">
        <v>20</v>
      </c>
      <c r="C337" s="26" t="s">
        <v>53</v>
      </c>
      <c r="D337" s="26" t="s">
        <v>60</v>
      </c>
      <c r="E337" s="27" t="s">
        <v>85</v>
      </c>
      <c r="F337" s="26" t="s">
        <v>104</v>
      </c>
      <c r="G337" s="28">
        <v>3211290</v>
      </c>
      <c r="H337" s="26">
        <v>11</v>
      </c>
      <c r="I337" s="26" t="s">
        <v>67</v>
      </c>
      <c r="J337" s="26" t="b">
        <v>0</v>
      </c>
    </row>
    <row r="338" spans="1:10">
      <c r="A338" s="26" t="s">
        <v>428</v>
      </c>
      <c r="B338" s="26">
        <v>32</v>
      </c>
      <c r="C338" s="26" t="s">
        <v>59</v>
      </c>
      <c r="D338" s="26" t="s">
        <v>54</v>
      </c>
      <c r="E338" s="27" t="s">
        <v>61</v>
      </c>
      <c r="F338" s="26" t="s">
        <v>113</v>
      </c>
      <c r="G338" s="28">
        <v>7039325</v>
      </c>
      <c r="H338" s="26">
        <v>11</v>
      </c>
      <c r="I338" s="26" t="s">
        <v>60</v>
      </c>
      <c r="J338" s="26" t="b">
        <v>1</v>
      </c>
    </row>
    <row r="339" spans="1:10">
      <c r="A339" s="26" t="s">
        <v>429</v>
      </c>
      <c r="B339" s="26">
        <v>25</v>
      </c>
      <c r="C339" s="26" t="s">
        <v>59</v>
      </c>
      <c r="D339" s="26" t="s">
        <v>60</v>
      </c>
      <c r="E339" s="27" t="s">
        <v>78</v>
      </c>
      <c r="F339" s="26" t="s">
        <v>121</v>
      </c>
      <c r="G339" s="28">
        <v>1751655</v>
      </c>
      <c r="H339" s="26">
        <v>11</v>
      </c>
      <c r="I339" s="26" t="s">
        <v>67</v>
      </c>
      <c r="J339" s="26" t="b">
        <v>0</v>
      </c>
    </row>
    <row r="340" spans="1:10">
      <c r="A340" s="26" t="s">
        <v>430</v>
      </c>
      <c r="B340" s="26">
        <v>42</v>
      </c>
      <c r="C340" s="26" t="s">
        <v>59</v>
      </c>
      <c r="D340" s="26" t="s">
        <v>54</v>
      </c>
      <c r="E340" s="27" t="s">
        <v>65</v>
      </c>
      <c r="F340" s="26" t="s">
        <v>96</v>
      </c>
      <c r="G340" s="28">
        <v>6496515</v>
      </c>
      <c r="H340" s="26">
        <v>4</v>
      </c>
      <c r="I340" s="26" t="s">
        <v>57</v>
      </c>
      <c r="J340" s="26" t="b">
        <v>0</v>
      </c>
    </row>
    <row r="341" spans="1:10">
      <c r="A341" s="26" t="s">
        <v>431</v>
      </c>
      <c r="B341" s="26">
        <v>37</v>
      </c>
      <c r="C341" s="26" t="s">
        <v>53</v>
      </c>
      <c r="D341" s="26" t="s">
        <v>60</v>
      </c>
      <c r="E341" s="27" t="s">
        <v>78</v>
      </c>
      <c r="F341" s="26" t="s">
        <v>167</v>
      </c>
      <c r="G341" s="28">
        <v>2849830</v>
      </c>
      <c r="H341" s="26">
        <v>5</v>
      </c>
      <c r="I341" s="26" t="s">
        <v>63</v>
      </c>
      <c r="J341" s="26" t="b">
        <v>0</v>
      </c>
    </row>
    <row r="342" spans="1:10">
      <c r="A342" s="26" t="s">
        <v>432</v>
      </c>
      <c r="B342" s="26">
        <v>21</v>
      </c>
      <c r="C342" s="26" t="s">
        <v>53</v>
      </c>
      <c r="D342" s="26" t="s">
        <v>54</v>
      </c>
      <c r="E342" s="27" t="s">
        <v>73</v>
      </c>
      <c r="F342" s="26" t="s">
        <v>96</v>
      </c>
      <c r="G342" s="28">
        <v>834985</v>
      </c>
      <c r="H342" s="26">
        <v>10</v>
      </c>
      <c r="I342" s="26" t="s">
        <v>63</v>
      </c>
      <c r="J342" s="26" t="b">
        <v>1</v>
      </c>
    </row>
    <row r="343" spans="1:10">
      <c r="A343" s="26" t="s">
        <v>433</v>
      </c>
      <c r="B343" s="26">
        <v>43</v>
      </c>
      <c r="C343" s="26" t="s">
        <v>53</v>
      </c>
      <c r="D343" s="26" t="s">
        <v>60</v>
      </c>
      <c r="E343" s="27" t="s">
        <v>85</v>
      </c>
      <c r="F343" s="26" t="s">
        <v>62</v>
      </c>
      <c r="G343" s="28">
        <v>6631210</v>
      </c>
      <c r="H343" s="26">
        <v>9</v>
      </c>
      <c r="I343" s="26" t="s">
        <v>63</v>
      </c>
      <c r="J343" s="26" t="b">
        <v>1</v>
      </c>
    </row>
    <row r="344" spans="1:10">
      <c r="A344" s="26" t="s">
        <v>434</v>
      </c>
      <c r="B344" s="26">
        <v>29</v>
      </c>
      <c r="C344" s="26" t="s">
        <v>53</v>
      </c>
      <c r="D344" s="26" t="s">
        <v>60</v>
      </c>
      <c r="E344" s="27" t="s">
        <v>65</v>
      </c>
      <c r="F344" s="26" t="s">
        <v>96</v>
      </c>
      <c r="G344" s="28">
        <v>4383710</v>
      </c>
      <c r="H344" s="26">
        <v>6</v>
      </c>
      <c r="I344" s="26" t="s">
        <v>63</v>
      </c>
      <c r="J344" s="26" t="b">
        <v>0</v>
      </c>
    </row>
    <row r="345" spans="1:10">
      <c r="A345" s="26" t="s">
        <v>435</v>
      </c>
      <c r="B345" s="26">
        <v>28</v>
      </c>
      <c r="C345" s="26" t="s">
        <v>59</v>
      </c>
      <c r="D345" s="26" t="s">
        <v>54</v>
      </c>
      <c r="E345" s="27" t="s">
        <v>78</v>
      </c>
      <c r="F345" s="26" t="s">
        <v>98</v>
      </c>
      <c r="G345" s="28">
        <v>3337305</v>
      </c>
      <c r="H345" s="26">
        <v>7</v>
      </c>
      <c r="I345" s="26" t="s">
        <v>63</v>
      </c>
      <c r="J345" s="26" t="b">
        <v>0</v>
      </c>
    </row>
    <row r="346" spans="1:10">
      <c r="A346" s="26" t="s">
        <v>436</v>
      </c>
      <c r="B346" s="26">
        <v>43</v>
      </c>
      <c r="C346" s="26" t="s">
        <v>59</v>
      </c>
      <c r="D346" s="26" t="s">
        <v>54</v>
      </c>
      <c r="E346" s="27" t="s">
        <v>65</v>
      </c>
      <c r="F346" s="26" t="s">
        <v>71</v>
      </c>
      <c r="G346" s="28">
        <v>2846730</v>
      </c>
      <c r="H346" s="26">
        <v>11</v>
      </c>
      <c r="I346" s="26" t="s">
        <v>67</v>
      </c>
      <c r="J346" s="26" t="b">
        <v>1</v>
      </c>
    </row>
    <row r="347" spans="1:10">
      <c r="A347" s="26" t="s">
        <v>437</v>
      </c>
      <c r="B347" s="26">
        <v>48</v>
      </c>
      <c r="C347" s="26" t="s">
        <v>53</v>
      </c>
      <c r="D347" s="26" t="s">
        <v>60</v>
      </c>
      <c r="E347" s="27" t="s">
        <v>78</v>
      </c>
      <c r="F347" s="26" t="s">
        <v>102</v>
      </c>
      <c r="G347" s="28">
        <v>3080315</v>
      </c>
      <c r="H347" s="26">
        <v>10</v>
      </c>
      <c r="I347" s="26" t="s">
        <v>60</v>
      </c>
      <c r="J347" s="26" t="b">
        <v>1</v>
      </c>
    </row>
    <row r="348" spans="1:10">
      <c r="A348" s="26" t="s">
        <v>438</v>
      </c>
      <c r="B348" s="26">
        <v>26</v>
      </c>
      <c r="C348" s="26" t="s">
        <v>53</v>
      </c>
      <c r="D348" s="26" t="s">
        <v>54</v>
      </c>
      <c r="E348" s="27" t="s">
        <v>78</v>
      </c>
      <c r="F348" s="26" t="s">
        <v>140</v>
      </c>
      <c r="G348" s="28">
        <v>4118660</v>
      </c>
      <c r="H348" s="26"/>
      <c r="I348" s="26" t="s">
        <v>57</v>
      </c>
      <c r="J348" s="26" t="b">
        <v>1</v>
      </c>
    </row>
    <row r="349" spans="1:10">
      <c r="A349" s="26" t="s">
        <v>439</v>
      </c>
      <c r="B349" s="26">
        <v>42</v>
      </c>
      <c r="C349" s="26" t="s">
        <v>59</v>
      </c>
      <c r="D349" s="26" t="s">
        <v>54</v>
      </c>
      <c r="E349" s="27" t="s">
        <v>61</v>
      </c>
      <c r="F349" s="26" t="s">
        <v>100</v>
      </c>
      <c r="G349" s="28">
        <v>2144425</v>
      </c>
      <c r="H349" s="26">
        <v>2</v>
      </c>
      <c r="I349" s="26" t="s">
        <v>67</v>
      </c>
      <c r="J349" s="26" t="b">
        <v>1</v>
      </c>
    </row>
    <row r="350" spans="1:10">
      <c r="A350" s="26" t="s">
        <v>440</v>
      </c>
      <c r="B350" s="26">
        <v>27</v>
      </c>
      <c r="C350" s="26" t="s">
        <v>59</v>
      </c>
      <c r="D350" s="26" t="s">
        <v>54</v>
      </c>
      <c r="E350" s="27" t="s">
        <v>85</v>
      </c>
      <c r="F350" s="26" t="s">
        <v>121</v>
      </c>
      <c r="G350" s="28">
        <v>6848985</v>
      </c>
      <c r="H350" s="26">
        <v>3</v>
      </c>
      <c r="I350" s="26" t="s">
        <v>60</v>
      </c>
      <c r="J350" s="26" t="b">
        <v>1</v>
      </c>
    </row>
    <row r="351" spans="1:10">
      <c r="A351" s="26" t="s">
        <v>441</v>
      </c>
      <c r="B351" s="26">
        <v>40</v>
      </c>
      <c r="C351" s="26" t="s">
        <v>53</v>
      </c>
      <c r="D351" s="26" t="s">
        <v>54</v>
      </c>
      <c r="E351" s="27" t="s">
        <v>55</v>
      </c>
      <c r="F351" s="26" t="s">
        <v>134</v>
      </c>
      <c r="G351" s="28">
        <v>2763495</v>
      </c>
      <c r="H351" s="26">
        <v>4</v>
      </c>
      <c r="I351" s="26" t="s">
        <v>67</v>
      </c>
      <c r="J351" s="26" t="b">
        <v>0</v>
      </c>
    </row>
    <row r="352" spans="1:10">
      <c r="A352" s="26" t="s">
        <v>442</v>
      </c>
      <c r="B352" s="26">
        <v>23</v>
      </c>
      <c r="C352" s="26" t="s">
        <v>59</v>
      </c>
      <c r="D352" s="26" t="s">
        <v>54</v>
      </c>
      <c r="E352" s="27" t="s">
        <v>65</v>
      </c>
      <c r="F352" s="26" t="s">
        <v>80</v>
      </c>
      <c r="G352" s="28">
        <v>1194740</v>
      </c>
      <c r="H352" s="26">
        <v>10</v>
      </c>
      <c r="I352" s="26" t="s">
        <v>60</v>
      </c>
      <c r="J352" s="26" t="b">
        <v>1</v>
      </c>
    </row>
    <row r="353" spans="1:10">
      <c r="A353" s="26" t="s">
        <v>443</v>
      </c>
      <c r="B353" s="26">
        <v>46</v>
      </c>
      <c r="C353" s="26" t="s">
        <v>59</v>
      </c>
      <c r="D353" s="26" t="s">
        <v>60</v>
      </c>
      <c r="E353" s="27" t="s">
        <v>78</v>
      </c>
      <c r="F353" s="26" t="s">
        <v>66</v>
      </c>
      <c r="G353" s="28">
        <v>4136950</v>
      </c>
      <c r="H353" s="26">
        <v>11</v>
      </c>
      <c r="I353" s="26" t="s">
        <v>67</v>
      </c>
      <c r="J353" s="26" t="b">
        <v>0</v>
      </c>
    </row>
    <row r="354" spans="1:10">
      <c r="A354" s="26" t="s">
        <v>444</v>
      </c>
      <c r="B354" s="26">
        <v>38</v>
      </c>
      <c r="C354" s="26" t="s">
        <v>53</v>
      </c>
      <c r="D354" s="26" t="s">
        <v>54</v>
      </c>
      <c r="E354" s="27" t="s">
        <v>85</v>
      </c>
      <c r="F354" s="26" t="s">
        <v>98</v>
      </c>
      <c r="G354" s="28">
        <v>4182520</v>
      </c>
      <c r="H354" s="26">
        <v>4</v>
      </c>
      <c r="I354" s="26" t="s">
        <v>67</v>
      </c>
      <c r="J354" s="26" t="b">
        <v>1</v>
      </c>
    </row>
    <row r="355" spans="1:10">
      <c r="A355" s="26" t="s">
        <v>445</v>
      </c>
      <c r="B355" s="26">
        <v>23</v>
      </c>
      <c r="C355" s="26" t="s">
        <v>59</v>
      </c>
      <c r="D355" s="26" t="s">
        <v>54</v>
      </c>
      <c r="E355" s="27" t="s">
        <v>73</v>
      </c>
      <c r="F355" s="26" t="s">
        <v>69</v>
      </c>
      <c r="G355" s="28">
        <v>5180410</v>
      </c>
      <c r="H355" s="26">
        <v>8</v>
      </c>
      <c r="I355" s="26" t="s">
        <v>57</v>
      </c>
      <c r="J355" s="26" t="b">
        <v>0</v>
      </c>
    </row>
    <row r="356" spans="1:10">
      <c r="A356" s="26" t="s">
        <v>446</v>
      </c>
      <c r="B356" s="26">
        <v>40</v>
      </c>
      <c r="C356" s="26" t="s">
        <v>53</v>
      </c>
      <c r="D356" s="26" t="s">
        <v>54</v>
      </c>
      <c r="E356" s="27" t="s">
        <v>85</v>
      </c>
      <c r="F356" s="26" t="s">
        <v>140</v>
      </c>
      <c r="G356" s="28">
        <v>7355680</v>
      </c>
      <c r="H356" s="26">
        <v>8</v>
      </c>
      <c r="I356" s="26" t="s">
        <v>67</v>
      </c>
      <c r="J356" s="26" t="b">
        <v>1</v>
      </c>
    </row>
    <row r="357" spans="1:10">
      <c r="A357" s="26" t="s">
        <v>447</v>
      </c>
      <c r="B357" s="26">
        <v>34</v>
      </c>
      <c r="C357" s="26" t="s">
        <v>59</v>
      </c>
      <c r="D357" s="26" t="s">
        <v>60</v>
      </c>
      <c r="E357" s="27" t="s">
        <v>65</v>
      </c>
      <c r="F357" s="26" t="s">
        <v>98</v>
      </c>
      <c r="G357" s="28">
        <v>5594105</v>
      </c>
      <c r="H357" s="26">
        <v>4</v>
      </c>
      <c r="I357" s="26" t="s">
        <v>60</v>
      </c>
      <c r="J357" s="26" t="b">
        <v>1</v>
      </c>
    </row>
    <row r="358" spans="1:10">
      <c r="A358" s="26" t="s">
        <v>448</v>
      </c>
      <c r="B358" s="26">
        <v>44</v>
      </c>
      <c r="C358" s="26" t="s">
        <v>53</v>
      </c>
      <c r="D358" s="26" t="s">
        <v>54</v>
      </c>
      <c r="E358" s="27" t="s">
        <v>61</v>
      </c>
      <c r="F358" s="26" t="s">
        <v>121</v>
      </c>
      <c r="G358" s="28">
        <v>5789095</v>
      </c>
      <c r="H358" s="26">
        <v>6</v>
      </c>
      <c r="I358" s="26" t="s">
        <v>63</v>
      </c>
      <c r="J358" s="26" t="b">
        <v>1</v>
      </c>
    </row>
    <row r="359" spans="1:10">
      <c r="A359" s="26" t="s">
        <v>449</v>
      </c>
      <c r="B359" s="26">
        <v>32</v>
      </c>
      <c r="C359" s="26" t="s">
        <v>53</v>
      </c>
      <c r="D359" s="26" t="s">
        <v>60</v>
      </c>
      <c r="E359" s="27" t="s">
        <v>65</v>
      </c>
      <c r="F359" s="26" t="s">
        <v>80</v>
      </c>
      <c r="G359" s="28">
        <v>7165650</v>
      </c>
      <c r="H359" s="26">
        <v>5</v>
      </c>
      <c r="I359" s="26" t="s">
        <v>57</v>
      </c>
      <c r="J359" s="26" t="b">
        <v>1</v>
      </c>
    </row>
    <row r="360" spans="1:10">
      <c r="A360" s="26" t="s">
        <v>450</v>
      </c>
      <c r="B360" s="26">
        <v>42</v>
      </c>
      <c r="C360" s="26" t="s">
        <v>53</v>
      </c>
      <c r="D360" s="26" t="s">
        <v>54</v>
      </c>
      <c r="E360" s="27" t="s">
        <v>78</v>
      </c>
      <c r="F360" s="26" t="s">
        <v>104</v>
      </c>
      <c r="G360" s="28">
        <v>5156385</v>
      </c>
      <c r="H360" s="26">
        <v>8</v>
      </c>
      <c r="I360" s="26" t="s">
        <v>63</v>
      </c>
      <c r="J360" s="26" t="b">
        <v>0</v>
      </c>
    </row>
    <row r="361" spans="1:10">
      <c r="A361" s="26" t="s">
        <v>451</v>
      </c>
      <c r="B361" s="26">
        <v>22</v>
      </c>
      <c r="C361" s="26" t="s">
        <v>53</v>
      </c>
      <c r="D361" s="26" t="s">
        <v>60</v>
      </c>
      <c r="E361" s="27" t="s">
        <v>78</v>
      </c>
      <c r="F361" s="26" t="s">
        <v>69</v>
      </c>
      <c r="G361" s="28">
        <v>3648545</v>
      </c>
      <c r="H361" s="26">
        <v>9</v>
      </c>
      <c r="I361" s="26" t="s">
        <v>57</v>
      </c>
      <c r="J361" s="26" t="b">
        <v>0</v>
      </c>
    </row>
    <row r="362" spans="1:10">
      <c r="A362" s="26" t="s">
        <v>452</v>
      </c>
      <c r="B362" s="26">
        <v>44</v>
      </c>
      <c r="C362" s="26" t="s">
        <v>53</v>
      </c>
      <c r="D362" s="26" t="s">
        <v>54</v>
      </c>
      <c r="E362" s="27" t="s">
        <v>55</v>
      </c>
      <c r="F362" s="26" t="s">
        <v>96</v>
      </c>
      <c r="G362" s="28">
        <v>4181590</v>
      </c>
      <c r="H362" s="26">
        <v>7</v>
      </c>
      <c r="I362" s="26" t="s">
        <v>63</v>
      </c>
      <c r="J362" s="26" t="b">
        <v>1</v>
      </c>
    </row>
    <row r="363" spans="1:10">
      <c r="A363" s="26" t="s">
        <v>453</v>
      </c>
      <c r="B363" s="26">
        <v>29</v>
      </c>
      <c r="C363" s="26" t="s">
        <v>59</v>
      </c>
      <c r="D363" s="26" t="s">
        <v>54</v>
      </c>
      <c r="E363" s="27" t="s">
        <v>61</v>
      </c>
      <c r="F363" s="26" t="s">
        <v>56</v>
      </c>
      <c r="G363" s="28">
        <v>7724115</v>
      </c>
      <c r="H363" s="26">
        <v>2</v>
      </c>
      <c r="I363" s="26" t="s">
        <v>63</v>
      </c>
      <c r="J363" s="26" t="b">
        <v>1</v>
      </c>
    </row>
    <row r="364" spans="1:10">
      <c r="A364" s="26" t="s">
        <v>454</v>
      </c>
      <c r="B364" s="26">
        <v>30</v>
      </c>
      <c r="C364" s="26" t="s">
        <v>53</v>
      </c>
      <c r="D364" s="26" t="s">
        <v>60</v>
      </c>
      <c r="E364" s="27" t="s">
        <v>78</v>
      </c>
      <c r="F364" s="26" t="s">
        <v>113</v>
      </c>
      <c r="G364" s="28">
        <v>2835570</v>
      </c>
      <c r="H364" s="26">
        <v>7</v>
      </c>
      <c r="I364" s="26" t="s">
        <v>57</v>
      </c>
      <c r="J364" s="26" t="b">
        <v>1</v>
      </c>
    </row>
    <row r="365" spans="1:10">
      <c r="A365" s="26" t="s">
        <v>455</v>
      </c>
      <c r="B365" s="26">
        <v>19</v>
      </c>
      <c r="C365" s="26" t="s">
        <v>53</v>
      </c>
      <c r="D365" s="26" t="s">
        <v>54</v>
      </c>
      <c r="E365" s="27" t="s">
        <v>85</v>
      </c>
      <c r="F365" s="26" t="s">
        <v>113</v>
      </c>
      <c r="G365" s="28">
        <v>1886350</v>
      </c>
      <c r="H365" s="26">
        <v>7</v>
      </c>
      <c r="I365" s="26" t="s">
        <v>60</v>
      </c>
      <c r="J365" s="26" t="b">
        <v>1</v>
      </c>
    </row>
    <row r="366" spans="1:10">
      <c r="A366" s="26" t="s">
        <v>456</v>
      </c>
      <c r="B366" s="26">
        <v>45</v>
      </c>
      <c r="C366" s="26" t="s">
        <v>53</v>
      </c>
      <c r="D366" s="26" t="s">
        <v>60</v>
      </c>
      <c r="E366" s="27" t="s">
        <v>61</v>
      </c>
      <c r="F366" s="26" t="s">
        <v>100</v>
      </c>
      <c r="G366" s="28">
        <v>7583685</v>
      </c>
      <c r="H366" s="26">
        <v>4</v>
      </c>
      <c r="I366" s="26" t="s">
        <v>60</v>
      </c>
      <c r="J366" s="26" t="b">
        <v>0</v>
      </c>
    </row>
    <row r="367" spans="1:10">
      <c r="A367" s="26" t="s">
        <v>457</v>
      </c>
      <c r="B367" s="26">
        <v>38</v>
      </c>
      <c r="C367" s="26" t="s">
        <v>59</v>
      </c>
      <c r="D367" s="26" t="s">
        <v>54</v>
      </c>
      <c r="E367" s="27" t="s">
        <v>73</v>
      </c>
      <c r="F367" s="26" t="s">
        <v>100</v>
      </c>
      <c r="G367" s="28">
        <v>4710915</v>
      </c>
      <c r="H367" s="26">
        <v>6</v>
      </c>
      <c r="I367" s="26" t="s">
        <v>60</v>
      </c>
      <c r="J367" s="26" t="b">
        <v>1</v>
      </c>
    </row>
    <row r="368" spans="1:10">
      <c r="A368" s="26" t="s">
        <v>458</v>
      </c>
      <c r="B368" s="26">
        <v>24</v>
      </c>
      <c r="C368" s="26" t="s">
        <v>53</v>
      </c>
      <c r="D368" s="26" t="s">
        <v>54</v>
      </c>
      <c r="E368" s="27" t="s">
        <v>65</v>
      </c>
      <c r="F368" s="26" t="s">
        <v>62</v>
      </c>
      <c r="G368" s="28">
        <v>4692470</v>
      </c>
      <c r="H368" s="26">
        <v>11</v>
      </c>
      <c r="I368" s="26" t="s">
        <v>60</v>
      </c>
      <c r="J368" s="26" t="b">
        <v>1</v>
      </c>
    </row>
    <row r="369" spans="1:10">
      <c r="A369" s="26" t="s">
        <v>459</v>
      </c>
      <c r="B369" s="26">
        <v>42</v>
      </c>
      <c r="C369" s="26" t="s">
        <v>59</v>
      </c>
      <c r="D369" s="26" t="s">
        <v>60</v>
      </c>
      <c r="E369" s="27" t="s">
        <v>73</v>
      </c>
      <c r="F369" s="26" t="s">
        <v>137</v>
      </c>
      <c r="G369" s="28">
        <v>2436755</v>
      </c>
      <c r="H369" s="26">
        <v>11</v>
      </c>
      <c r="I369" s="26" t="s">
        <v>63</v>
      </c>
      <c r="J369" s="26" t="b">
        <v>1</v>
      </c>
    </row>
    <row r="370" spans="1:10">
      <c r="A370" s="26" t="s">
        <v>460</v>
      </c>
      <c r="B370" s="26">
        <v>46</v>
      </c>
      <c r="C370" s="26" t="s">
        <v>53</v>
      </c>
      <c r="D370" s="26" t="s">
        <v>60</v>
      </c>
      <c r="E370" s="27" t="s">
        <v>55</v>
      </c>
      <c r="F370" s="26" t="s">
        <v>80</v>
      </c>
      <c r="G370" s="28">
        <v>2471475</v>
      </c>
      <c r="H370" s="26">
        <v>2</v>
      </c>
      <c r="I370" s="26" t="s">
        <v>63</v>
      </c>
      <c r="J370" s="26" t="b">
        <v>1</v>
      </c>
    </row>
    <row r="371" spans="1:10">
      <c r="A371" s="26" t="s">
        <v>461</v>
      </c>
      <c r="B371" s="26">
        <v>44</v>
      </c>
      <c r="C371" s="26" t="s">
        <v>53</v>
      </c>
      <c r="D371" s="26" t="s">
        <v>60</v>
      </c>
      <c r="E371" s="27" t="s">
        <v>73</v>
      </c>
      <c r="F371" s="26" t="s">
        <v>86</v>
      </c>
      <c r="G371" s="28">
        <v>4850415</v>
      </c>
      <c r="H371" s="26">
        <v>2</v>
      </c>
      <c r="I371" s="26" t="s">
        <v>60</v>
      </c>
      <c r="J371" s="26" t="b">
        <v>1</v>
      </c>
    </row>
    <row r="372" spans="1:10">
      <c r="A372" s="26" t="s">
        <v>462</v>
      </c>
      <c r="B372" s="26">
        <v>38</v>
      </c>
      <c r="C372" s="26" t="s">
        <v>59</v>
      </c>
      <c r="D372" s="26" t="s">
        <v>60</v>
      </c>
      <c r="E372" s="27" t="s">
        <v>85</v>
      </c>
      <c r="F372" s="26" t="s">
        <v>92</v>
      </c>
      <c r="G372" s="28">
        <v>1018040</v>
      </c>
      <c r="H372" s="26">
        <v>4</v>
      </c>
      <c r="I372" s="26" t="s">
        <v>63</v>
      </c>
      <c r="J372" s="26" t="b">
        <v>0</v>
      </c>
    </row>
    <row r="373" spans="1:10">
      <c r="A373" s="26" t="s">
        <v>463</v>
      </c>
      <c r="B373" s="26">
        <v>44</v>
      </c>
      <c r="C373" s="26" t="s">
        <v>59</v>
      </c>
      <c r="D373" s="26" t="s">
        <v>54</v>
      </c>
      <c r="E373" s="27" t="s">
        <v>61</v>
      </c>
      <c r="F373" s="26" t="s">
        <v>100</v>
      </c>
      <c r="G373" s="28">
        <v>958830</v>
      </c>
      <c r="H373" s="26">
        <v>5</v>
      </c>
      <c r="I373" s="26" t="s">
        <v>57</v>
      </c>
      <c r="J373" s="26" t="b">
        <v>0</v>
      </c>
    </row>
    <row r="374" spans="1:10">
      <c r="A374" s="26" t="s">
        <v>464</v>
      </c>
      <c r="B374" s="26">
        <v>18</v>
      </c>
      <c r="C374" s="26" t="s">
        <v>53</v>
      </c>
      <c r="D374" s="26" t="s">
        <v>60</v>
      </c>
      <c r="E374" s="27" t="s">
        <v>78</v>
      </c>
      <c r="F374" s="26" t="s">
        <v>98</v>
      </c>
      <c r="G374" s="28">
        <v>5328435</v>
      </c>
      <c r="H374" s="26">
        <v>6</v>
      </c>
      <c r="I374" s="26" t="s">
        <v>57</v>
      </c>
      <c r="J374" s="26" t="b">
        <v>1</v>
      </c>
    </row>
    <row r="375" spans="1:10">
      <c r="A375" s="26" t="s">
        <v>465</v>
      </c>
      <c r="B375" s="26">
        <v>37</v>
      </c>
      <c r="C375" s="26" t="s">
        <v>59</v>
      </c>
      <c r="D375" s="26" t="s">
        <v>54</v>
      </c>
      <c r="E375" s="27" t="s">
        <v>78</v>
      </c>
      <c r="F375" s="26" t="s">
        <v>69</v>
      </c>
      <c r="G375" s="28">
        <v>1661755</v>
      </c>
      <c r="H375" s="26">
        <v>2</v>
      </c>
      <c r="I375" s="26" t="s">
        <v>57</v>
      </c>
      <c r="J375" s="26" t="b">
        <v>1</v>
      </c>
    </row>
    <row r="376" spans="1:10">
      <c r="A376" s="26" t="s">
        <v>466</v>
      </c>
      <c r="B376" s="26">
        <v>31</v>
      </c>
      <c r="C376" s="26" t="s">
        <v>53</v>
      </c>
      <c r="D376" s="26" t="s">
        <v>60</v>
      </c>
      <c r="E376" s="27" t="s">
        <v>55</v>
      </c>
      <c r="F376" s="26" t="s">
        <v>69</v>
      </c>
      <c r="G376" s="28">
        <v>2309190</v>
      </c>
      <c r="H376" s="26">
        <v>12</v>
      </c>
      <c r="I376" s="26" t="s">
        <v>57</v>
      </c>
      <c r="J376" s="26" t="b">
        <v>1</v>
      </c>
    </row>
    <row r="377" spans="1:10">
      <c r="A377" s="26" t="s">
        <v>467</v>
      </c>
      <c r="B377" s="26">
        <v>22</v>
      </c>
      <c r="C377" s="26" t="s">
        <v>53</v>
      </c>
      <c r="D377" s="26" t="s">
        <v>60</v>
      </c>
      <c r="E377" s="27" t="s">
        <v>55</v>
      </c>
      <c r="F377" s="26" t="s">
        <v>90</v>
      </c>
      <c r="G377" s="28">
        <v>7601355</v>
      </c>
      <c r="H377" s="26">
        <v>4</v>
      </c>
      <c r="I377" s="26" t="s">
        <v>67</v>
      </c>
      <c r="J377" s="26" t="b">
        <v>0</v>
      </c>
    </row>
    <row r="378" spans="1:10">
      <c r="A378" s="26" t="s">
        <v>468</v>
      </c>
      <c r="B378" s="26">
        <v>33</v>
      </c>
      <c r="C378" s="26" t="s">
        <v>59</v>
      </c>
      <c r="D378" s="26" t="s">
        <v>60</v>
      </c>
      <c r="E378" s="27" t="s">
        <v>65</v>
      </c>
      <c r="F378" s="26" t="s">
        <v>121</v>
      </c>
      <c r="G378" s="28">
        <v>7150770</v>
      </c>
      <c r="H378" s="26">
        <v>4</v>
      </c>
      <c r="I378" s="26" t="s">
        <v>60</v>
      </c>
      <c r="J378" s="26" t="b">
        <v>0</v>
      </c>
    </row>
    <row r="379" spans="1:10">
      <c r="A379" s="26" t="s">
        <v>469</v>
      </c>
      <c r="B379" s="26">
        <v>20</v>
      </c>
      <c r="C379" s="26" t="s">
        <v>53</v>
      </c>
      <c r="D379" s="26" t="s">
        <v>60</v>
      </c>
      <c r="E379" s="27" t="s">
        <v>78</v>
      </c>
      <c r="F379" s="26" t="s">
        <v>66</v>
      </c>
      <c r="G379" s="28">
        <v>5252795</v>
      </c>
      <c r="H379" s="26">
        <v>7</v>
      </c>
      <c r="I379" s="26" t="s">
        <v>67</v>
      </c>
      <c r="J379" s="26" t="b">
        <v>1</v>
      </c>
    </row>
    <row r="380" spans="1:10">
      <c r="A380" s="26" t="s">
        <v>470</v>
      </c>
      <c r="B380" s="26">
        <v>26</v>
      </c>
      <c r="C380" s="26" t="s">
        <v>59</v>
      </c>
      <c r="D380" s="26" t="s">
        <v>60</v>
      </c>
      <c r="E380" s="27" t="s">
        <v>55</v>
      </c>
      <c r="F380" s="26" t="s">
        <v>56</v>
      </c>
      <c r="G380" s="28">
        <v>3450765</v>
      </c>
      <c r="H380" s="26">
        <v>3</v>
      </c>
      <c r="I380" s="26" t="s">
        <v>63</v>
      </c>
      <c r="J380" s="26" t="b">
        <v>0</v>
      </c>
    </row>
    <row r="381" spans="1:10">
      <c r="A381" s="26" t="s">
        <v>471</v>
      </c>
      <c r="B381" s="26">
        <v>26</v>
      </c>
      <c r="C381" s="26" t="s">
        <v>59</v>
      </c>
      <c r="D381" s="26" t="s">
        <v>60</v>
      </c>
      <c r="E381" s="27" t="s">
        <v>61</v>
      </c>
      <c r="F381" s="26" t="s">
        <v>104</v>
      </c>
      <c r="G381" s="28">
        <v>1115225</v>
      </c>
      <c r="H381" s="26">
        <v>2</v>
      </c>
      <c r="I381" s="26" t="s">
        <v>57</v>
      </c>
      <c r="J381" s="26" t="b">
        <v>0</v>
      </c>
    </row>
    <row r="382" spans="1:10">
      <c r="A382" s="26" t="s">
        <v>472</v>
      </c>
      <c r="B382" s="26">
        <v>21</v>
      </c>
      <c r="C382" s="26" t="s">
        <v>59</v>
      </c>
      <c r="D382" s="26" t="s">
        <v>60</v>
      </c>
      <c r="E382" s="27" t="s">
        <v>85</v>
      </c>
      <c r="F382" s="26" t="s">
        <v>100</v>
      </c>
      <c r="G382" s="28">
        <v>4100060</v>
      </c>
      <c r="H382" s="26">
        <v>9</v>
      </c>
      <c r="I382" s="26" t="s">
        <v>57</v>
      </c>
      <c r="J382" s="26" t="b">
        <v>1</v>
      </c>
    </row>
    <row r="383" spans="1:10">
      <c r="A383" s="26" t="s">
        <v>473</v>
      </c>
      <c r="B383" s="26">
        <v>43</v>
      </c>
      <c r="C383" s="26" t="s">
        <v>59</v>
      </c>
      <c r="D383" s="26" t="s">
        <v>60</v>
      </c>
      <c r="E383" s="27" t="s">
        <v>78</v>
      </c>
      <c r="F383" s="26" t="s">
        <v>62</v>
      </c>
      <c r="G383" s="28">
        <v>6429400</v>
      </c>
      <c r="H383" s="26">
        <v>9</v>
      </c>
      <c r="I383" s="26" t="s">
        <v>67</v>
      </c>
      <c r="J383" s="26" t="b">
        <v>0</v>
      </c>
    </row>
    <row r="384" spans="1:10">
      <c r="A384" s="26" t="s">
        <v>474</v>
      </c>
      <c r="B384" s="26">
        <v>50</v>
      </c>
      <c r="C384" s="26" t="s">
        <v>59</v>
      </c>
      <c r="D384" s="26" t="s">
        <v>54</v>
      </c>
      <c r="E384" s="27" t="s">
        <v>85</v>
      </c>
      <c r="F384" s="26" t="s">
        <v>121</v>
      </c>
      <c r="G384" s="28">
        <v>787245</v>
      </c>
      <c r="H384" s="26">
        <v>12</v>
      </c>
      <c r="I384" s="26" t="s">
        <v>63</v>
      </c>
      <c r="J384" s="26" t="b">
        <v>1</v>
      </c>
    </row>
    <row r="385" spans="1:10">
      <c r="A385" s="26" t="s">
        <v>475</v>
      </c>
      <c r="B385" s="26">
        <v>42</v>
      </c>
      <c r="C385" s="26" t="s">
        <v>53</v>
      </c>
      <c r="D385" s="26" t="s">
        <v>54</v>
      </c>
      <c r="E385" s="27" t="s">
        <v>61</v>
      </c>
      <c r="F385" s="26" t="s">
        <v>92</v>
      </c>
      <c r="G385" s="28">
        <v>4096650</v>
      </c>
      <c r="H385" s="26">
        <v>10</v>
      </c>
      <c r="I385" s="26" t="s">
        <v>67</v>
      </c>
      <c r="J385" s="26" t="b">
        <v>1</v>
      </c>
    </row>
    <row r="386" spans="1:10">
      <c r="A386" s="26" t="s">
        <v>476</v>
      </c>
      <c r="B386" s="26">
        <v>29</v>
      </c>
      <c r="C386" s="26" t="s">
        <v>59</v>
      </c>
      <c r="D386" s="26" t="s">
        <v>60</v>
      </c>
      <c r="E386" s="27" t="s">
        <v>55</v>
      </c>
      <c r="F386" s="26" t="s">
        <v>88</v>
      </c>
      <c r="G386" s="28">
        <v>1898130</v>
      </c>
      <c r="H386" s="26"/>
      <c r="I386" s="26" t="s">
        <v>60</v>
      </c>
      <c r="J386" s="26" t="b">
        <v>0</v>
      </c>
    </row>
    <row r="387" spans="1:10">
      <c r="A387" s="26" t="s">
        <v>477</v>
      </c>
      <c r="B387" s="26">
        <v>20</v>
      </c>
      <c r="C387" s="26" t="s">
        <v>59</v>
      </c>
      <c r="D387" s="26" t="s">
        <v>54</v>
      </c>
      <c r="E387" s="27" t="s">
        <v>73</v>
      </c>
      <c r="F387" s="26" t="s">
        <v>100</v>
      </c>
      <c r="G387" s="28">
        <v>3689155</v>
      </c>
      <c r="H387" s="26">
        <v>8</v>
      </c>
      <c r="I387" s="26" t="s">
        <v>60</v>
      </c>
      <c r="J387" s="26" t="b">
        <v>0</v>
      </c>
    </row>
    <row r="388" spans="1:10">
      <c r="A388" s="26" t="s">
        <v>478</v>
      </c>
      <c r="B388" s="26">
        <v>40</v>
      </c>
      <c r="C388" s="26" t="s">
        <v>53</v>
      </c>
      <c r="D388" s="26" t="s">
        <v>60</v>
      </c>
      <c r="E388" s="27" t="s">
        <v>65</v>
      </c>
      <c r="F388" s="26" t="s">
        <v>69</v>
      </c>
      <c r="G388" s="28">
        <v>7600270</v>
      </c>
      <c r="H388" s="26">
        <v>4</v>
      </c>
      <c r="I388" s="26" t="s">
        <v>57</v>
      </c>
      <c r="J388" s="26" t="b">
        <v>0</v>
      </c>
    </row>
    <row r="389" spans="1:10">
      <c r="A389" s="26" t="s">
        <v>479</v>
      </c>
      <c r="B389" s="26">
        <v>38</v>
      </c>
      <c r="C389" s="26" t="s">
        <v>59</v>
      </c>
      <c r="D389" s="26" t="s">
        <v>60</v>
      </c>
      <c r="E389" s="27" t="s">
        <v>85</v>
      </c>
      <c r="F389" s="26" t="s">
        <v>167</v>
      </c>
      <c r="G389" s="28">
        <v>3812690</v>
      </c>
      <c r="H389" s="26">
        <v>4</v>
      </c>
      <c r="I389" s="26" t="s">
        <v>60</v>
      </c>
      <c r="J389" s="26" t="b">
        <v>0</v>
      </c>
    </row>
    <row r="390" spans="1:10">
      <c r="A390" s="26" t="s">
        <v>480</v>
      </c>
      <c r="B390" s="26">
        <v>45</v>
      </c>
      <c r="C390" s="26" t="s">
        <v>59</v>
      </c>
      <c r="D390" s="26" t="s">
        <v>54</v>
      </c>
      <c r="E390" s="27" t="s">
        <v>73</v>
      </c>
      <c r="F390" s="26" t="s">
        <v>92</v>
      </c>
      <c r="G390" s="28">
        <v>6057865</v>
      </c>
      <c r="H390" s="26">
        <v>9</v>
      </c>
      <c r="I390" s="26" t="s">
        <v>63</v>
      </c>
      <c r="J390" s="26" t="b">
        <v>0</v>
      </c>
    </row>
    <row r="391" spans="1:10">
      <c r="A391" s="26" t="s">
        <v>481</v>
      </c>
      <c r="B391" s="26">
        <v>49</v>
      </c>
      <c r="C391" s="26" t="s">
        <v>59</v>
      </c>
      <c r="D391" s="26" t="s">
        <v>60</v>
      </c>
      <c r="E391" s="27" t="s">
        <v>73</v>
      </c>
      <c r="F391" s="26" t="s">
        <v>167</v>
      </c>
      <c r="G391" s="28">
        <v>2462020</v>
      </c>
      <c r="H391" s="26">
        <v>6</v>
      </c>
      <c r="I391" s="26" t="s">
        <v>57</v>
      </c>
      <c r="J391" s="26" t="b">
        <v>1</v>
      </c>
    </row>
    <row r="392" spans="1:10">
      <c r="A392" s="26" t="s">
        <v>482</v>
      </c>
      <c r="B392" s="26">
        <v>37</v>
      </c>
      <c r="C392" s="26" t="s">
        <v>59</v>
      </c>
      <c r="D392" s="26" t="s">
        <v>54</v>
      </c>
      <c r="E392" s="27" t="s">
        <v>78</v>
      </c>
      <c r="F392" s="26" t="s">
        <v>102</v>
      </c>
      <c r="G392" s="28">
        <v>6808220</v>
      </c>
      <c r="H392" s="26">
        <v>8</v>
      </c>
      <c r="I392" s="26" t="s">
        <v>60</v>
      </c>
      <c r="J392" s="26" t="b">
        <v>0</v>
      </c>
    </row>
    <row r="393" spans="1:10">
      <c r="A393" s="26" t="s">
        <v>483</v>
      </c>
      <c r="B393" s="26">
        <v>23</v>
      </c>
      <c r="C393" s="26" t="s">
        <v>59</v>
      </c>
      <c r="D393" s="26" t="s">
        <v>54</v>
      </c>
      <c r="E393" s="27" t="s">
        <v>65</v>
      </c>
      <c r="F393" s="26" t="s">
        <v>104</v>
      </c>
      <c r="G393" s="28">
        <v>1432665</v>
      </c>
      <c r="H393" s="26">
        <v>12</v>
      </c>
      <c r="I393" s="26" t="s">
        <v>63</v>
      </c>
      <c r="J393" s="26" t="b">
        <v>0</v>
      </c>
    </row>
    <row r="394" spans="1:10">
      <c r="A394" s="26" t="s">
        <v>484</v>
      </c>
      <c r="B394" s="26">
        <v>48</v>
      </c>
      <c r="C394" s="26" t="s">
        <v>53</v>
      </c>
      <c r="D394" s="26" t="s">
        <v>60</v>
      </c>
      <c r="E394" s="27" t="s">
        <v>73</v>
      </c>
      <c r="F394" s="26" t="s">
        <v>134</v>
      </c>
      <c r="G394" s="28">
        <v>5163825</v>
      </c>
      <c r="H394" s="26">
        <v>9</v>
      </c>
      <c r="I394" s="26" t="s">
        <v>60</v>
      </c>
      <c r="J394" s="26" t="b">
        <v>0</v>
      </c>
    </row>
    <row r="395" spans="1:10">
      <c r="A395" s="26" t="s">
        <v>485</v>
      </c>
      <c r="B395" s="26">
        <v>19</v>
      </c>
      <c r="C395" s="26" t="s">
        <v>59</v>
      </c>
      <c r="D395" s="26" t="s">
        <v>54</v>
      </c>
      <c r="E395" s="27" t="s">
        <v>73</v>
      </c>
      <c r="F395" s="26" t="s">
        <v>86</v>
      </c>
      <c r="G395" s="28">
        <v>995410</v>
      </c>
      <c r="H395" s="26">
        <v>9</v>
      </c>
      <c r="I395" s="26" t="s">
        <v>60</v>
      </c>
      <c r="J395" s="26" t="b">
        <v>1</v>
      </c>
    </row>
    <row r="396" spans="1:10">
      <c r="A396" s="26" t="s">
        <v>486</v>
      </c>
      <c r="B396" s="26">
        <v>46</v>
      </c>
      <c r="C396" s="26" t="s">
        <v>53</v>
      </c>
      <c r="D396" s="26" t="s">
        <v>60</v>
      </c>
      <c r="E396" s="27" t="s">
        <v>65</v>
      </c>
      <c r="F396" s="26" t="s">
        <v>69</v>
      </c>
      <c r="G396" s="28">
        <v>4503215</v>
      </c>
      <c r="H396" s="26">
        <v>3</v>
      </c>
      <c r="I396" s="26" t="s">
        <v>67</v>
      </c>
      <c r="J396" s="26" t="b">
        <v>1</v>
      </c>
    </row>
    <row r="397" spans="1:10">
      <c r="A397" s="26" t="s">
        <v>487</v>
      </c>
      <c r="B397" s="26">
        <v>39</v>
      </c>
      <c r="C397" s="26" t="s">
        <v>59</v>
      </c>
      <c r="D397" s="26" t="s">
        <v>54</v>
      </c>
      <c r="E397" s="27" t="s">
        <v>61</v>
      </c>
      <c r="F397" s="26" t="s">
        <v>102</v>
      </c>
      <c r="G397" s="28">
        <v>3902900</v>
      </c>
      <c r="H397" s="26">
        <v>6</v>
      </c>
      <c r="I397" s="26" t="s">
        <v>60</v>
      </c>
      <c r="J397" s="26" t="b">
        <v>1</v>
      </c>
    </row>
    <row r="398" spans="1:10">
      <c r="A398" s="26" t="s">
        <v>488</v>
      </c>
      <c r="B398" s="26">
        <v>27</v>
      </c>
      <c r="C398" s="26" t="s">
        <v>59</v>
      </c>
      <c r="D398" s="26" t="s">
        <v>54</v>
      </c>
      <c r="E398" s="27" t="s">
        <v>78</v>
      </c>
      <c r="F398" s="26" t="s">
        <v>80</v>
      </c>
      <c r="G398" s="28">
        <v>7448060</v>
      </c>
      <c r="H398" s="26">
        <v>3</v>
      </c>
      <c r="I398" s="26" t="s">
        <v>67</v>
      </c>
      <c r="J398" s="26" t="b">
        <v>0</v>
      </c>
    </row>
    <row r="399" spans="1:10">
      <c r="A399" s="26" t="s">
        <v>489</v>
      </c>
      <c r="B399" s="26">
        <v>28</v>
      </c>
      <c r="C399" s="26" t="s">
        <v>53</v>
      </c>
      <c r="D399" s="26" t="s">
        <v>54</v>
      </c>
      <c r="E399" s="27" t="s">
        <v>55</v>
      </c>
      <c r="F399" s="26" t="s">
        <v>96</v>
      </c>
      <c r="G399" s="28">
        <v>7156505</v>
      </c>
      <c r="H399" s="26">
        <v>10</v>
      </c>
      <c r="I399" s="26" t="s">
        <v>67</v>
      </c>
      <c r="J399" s="26" t="b">
        <v>0</v>
      </c>
    </row>
    <row r="400" spans="1:10">
      <c r="A400" s="26" t="s">
        <v>490</v>
      </c>
      <c r="B400" s="26">
        <v>50</v>
      </c>
      <c r="C400" s="26" t="s">
        <v>53</v>
      </c>
      <c r="D400" s="26" t="s">
        <v>60</v>
      </c>
      <c r="E400" s="27" t="s">
        <v>55</v>
      </c>
      <c r="F400" s="26" t="s">
        <v>100</v>
      </c>
      <c r="G400" s="28">
        <v>4469270</v>
      </c>
      <c r="H400" s="26">
        <v>12</v>
      </c>
      <c r="I400" s="26" t="s">
        <v>57</v>
      </c>
      <c r="J400" s="26" t="b">
        <v>0</v>
      </c>
    </row>
    <row r="401" spans="1:10">
      <c r="A401" s="26" t="s">
        <v>491</v>
      </c>
      <c r="B401" s="26">
        <v>19</v>
      </c>
      <c r="C401" s="26" t="s">
        <v>53</v>
      </c>
      <c r="D401" s="26" t="s">
        <v>60</v>
      </c>
      <c r="E401" s="27" t="s">
        <v>55</v>
      </c>
      <c r="F401" s="26" t="s">
        <v>56</v>
      </c>
      <c r="G401" s="28">
        <v>3008240</v>
      </c>
      <c r="H401" s="26">
        <v>3</v>
      </c>
      <c r="I401" s="26" t="s">
        <v>67</v>
      </c>
      <c r="J401" s="26" t="b">
        <v>1</v>
      </c>
    </row>
    <row r="402" spans="1:10">
      <c r="A402" s="26" t="s">
        <v>492</v>
      </c>
      <c r="B402" s="26">
        <v>27</v>
      </c>
      <c r="C402" s="26" t="s">
        <v>53</v>
      </c>
      <c r="D402" s="26" t="s">
        <v>54</v>
      </c>
      <c r="E402" s="27" t="s">
        <v>78</v>
      </c>
      <c r="F402" s="26" t="s">
        <v>140</v>
      </c>
      <c r="G402" s="28">
        <v>3075975</v>
      </c>
      <c r="H402" s="26">
        <v>11</v>
      </c>
      <c r="I402" s="26" t="s">
        <v>60</v>
      </c>
      <c r="J402" s="26" t="b">
        <v>1</v>
      </c>
    </row>
    <row r="403" spans="1:10">
      <c r="A403" s="26" t="s">
        <v>493</v>
      </c>
      <c r="B403" s="26">
        <v>23</v>
      </c>
      <c r="C403" s="26" t="s">
        <v>59</v>
      </c>
      <c r="D403" s="26" t="s">
        <v>60</v>
      </c>
      <c r="E403" s="27" t="s">
        <v>61</v>
      </c>
      <c r="F403" s="26" t="s">
        <v>102</v>
      </c>
      <c r="G403" s="28">
        <v>3354975</v>
      </c>
      <c r="H403" s="26">
        <v>5</v>
      </c>
      <c r="I403" s="26" t="s">
        <v>63</v>
      </c>
      <c r="J403" s="26" t="b">
        <v>0</v>
      </c>
    </row>
    <row r="404" spans="1:10">
      <c r="A404" s="26" t="s">
        <v>494</v>
      </c>
      <c r="B404" s="26">
        <v>19</v>
      </c>
      <c r="C404" s="26" t="s">
        <v>53</v>
      </c>
      <c r="D404" s="26" t="s">
        <v>60</v>
      </c>
      <c r="E404" s="27" t="s">
        <v>73</v>
      </c>
      <c r="F404" s="26" t="s">
        <v>102</v>
      </c>
      <c r="G404" s="28">
        <v>5560160</v>
      </c>
      <c r="H404" s="26">
        <v>5</v>
      </c>
      <c r="I404" s="26" t="s">
        <v>67</v>
      </c>
      <c r="J404" s="26" t="b">
        <v>1</v>
      </c>
    </row>
    <row r="405" spans="1:10">
      <c r="A405" s="26" t="s">
        <v>495</v>
      </c>
      <c r="B405" s="26">
        <v>22</v>
      </c>
      <c r="C405" s="26" t="s">
        <v>53</v>
      </c>
      <c r="D405" s="26" t="s">
        <v>54</v>
      </c>
      <c r="E405" s="27" t="s">
        <v>78</v>
      </c>
      <c r="F405" s="26" t="s">
        <v>86</v>
      </c>
      <c r="G405" s="28">
        <v>5697180</v>
      </c>
      <c r="H405" s="26">
        <v>9</v>
      </c>
      <c r="I405" s="26" t="s">
        <v>57</v>
      </c>
      <c r="J405" s="26" t="b">
        <v>0</v>
      </c>
    </row>
    <row r="406" spans="1:10">
      <c r="A406" s="26" t="s">
        <v>496</v>
      </c>
      <c r="B406" s="26">
        <v>40</v>
      </c>
      <c r="C406" s="26" t="s">
        <v>59</v>
      </c>
      <c r="D406" s="26" t="s">
        <v>54</v>
      </c>
      <c r="E406" s="27" t="s">
        <v>55</v>
      </c>
      <c r="F406" s="26" t="s">
        <v>134</v>
      </c>
      <c r="G406" s="28">
        <v>1376090</v>
      </c>
      <c r="H406" s="26">
        <v>10</v>
      </c>
      <c r="I406" s="26" t="s">
        <v>60</v>
      </c>
      <c r="J406" s="26" t="b">
        <v>0</v>
      </c>
    </row>
    <row r="407" spans="1:10">
      <c r="A407" s="26" t="s">
        <v>497</v>
      </c>
      <c r="B407" s="26">
        <v>48</v>
      </c>
      <c r="C407" s="26" t="s">
        <v>59</v>
      </c>
      <c r="D407" s="26" t="s">
        <v>54</v>
      </c>
      <c r="E407" s="27" t="s">
        <v>61</v>
      </c>
      <c r="F407" s="26" t="s">
        <v>62</v>
      </c>
      <c r="G407" s="28">
        <v>7220675</v>
      </c>
      <c r="H407" s="26">
        <v>10</v>
      </c>
      <c r="I407" s="26" t="s">
        <v>57</v>
      </c>
      <c r="J407" s="26" t="b">
        <v>1</v>
      </c>
    </row>
    <row r="408" spans="1:10">
      <c r="A408" s="26" t="s">
        <v>498</v>
      </c>
      <c r="B408" s="26">
        <v>49</v>
      </c>
      <c r="C408" s="26" t="s">
        <v>59</v>
      </c>
      <c r="D408" s="26" t="s">
        <v>54</v>
      </c>
      <c r="E408" s="27" t="s">
        <v>85</v>
      </c>
      <c r="F408" s="26" t="s">
        <v>134</v>
      </c>
      <c r="G408" s="28">
        <v>4070455</v>
      </c>
      <c r="H408" s="26">
        <v>3</v>
      </c>
      <c r="I408" s="26" t="s">
        <v>63</v>
      </c>
      <c r="J408" s="26" t="b">
        <v>0</v>
      </c>
    </row>
    <row r="409" spans="1:10">
      <c r="A409" s="26" t="s">
        <v>499</v>
      </c>
      <c r="B409" s="26">
        <v>45</v>
      </c>
      <c r="C409" s="26" t="s">
        <v>53</v>
      </c>
      <c r="D409" s="26" t="s">
        <v>54</v>
      </c>
      <c r="E409" s="27" t="s">
        <v>61</v>
      </c>
      <c r="F409" s="26" t="s">
        <v>69</v>
      </c>
      <c r="G409" s="28">
        <v>1414220</v>
      </c>
      <c r="H409" s="26">
        <v>8</v>
      </c>
      <c r="I409" s="26" t="s">
        <v>60</v>
      </c>
      <c r="J409" s="26" t="b">
        <v>1</v>
      </c>
    </row>
    <row r="410" spans="1:10">
      <c r="A410" s="26" t="s">
        <v>500</v>
      </c>
      <c r="B410" s="26">
        <v>42</v>
      </c>
      <c r="C410" s="26" t="s">
        <v>53</v>
      </c>
      <c r="D410" s="26" t="s">
        <v>60</v>
      </c>
      <c r="E410" s="27" t="s">
        <v>65</v>
      </c>
      <c r="F410" s="26" t="s">
        <v>86</v>
      </c>
      <c r="G410" s="28">
        <v>6598195</v>
      </c>
      <c r="H410" s="26">
        <v>5</v>
      </c>
      <c r="I410" s="26" t="s">
        <v>60</v>
      </c>
      <c r="J410" s="26" t="b">
        <v>0</v>
      </c>
    </row>
    <row r="411" spans="1:10">
      <c r="A411" s="26" t="s">
        <v>501</v>
      </c>
      <c r="B411" s="26">
        <v>41</v>
      </c>
      <c r="C411" s="26" t="s">
        <v>53</v>
      </c>
      <c r="D411" s="26" t="s">
        <v>60</v>
      </c>
      <c r="E411" s="27" t="s">
        <v>65</v>
      </c>
      <c r="F411" s="26" t="s">
        <v>96</v>
      </c>
      <c r="G411" s="28">
        <v>6914705</v>
      </c>
      <c r="H411" s="26">
        <v>9</v>
      </c>
      <c r="I411" s="26" t="s">
        <v>63</v>
      </c>
      <c r="J411" s="26" t="b">
        <v>1</v>
      </c>
    </row>
    <row r="412" spans="1:10">
      <c r="A412" s="26" t="s">
        <v>502</v>
      </c>
      <c r="B412" s="26">
        <v>23</v>
      </c>
      <c r="C412" s="26" t="s">
        <v>53</v>
      </c>
      <c r="D412" s="26" t="s">
        <v>60</v>
      </c>
      <c r="E412" s="27" t="s">
        <v>61</v>
      </c>
      <c r="F412" s="26" t="s">
        <v>100</v>
      </c>
      <c r="G412" s="28">
        <v>7596705</v>
      </c>
      <c r="H412" s="26">
        <v>8</v>
      </c>
      <c r="I412" s="26" t="s">
        <v>67</v>
      </c>
      <c r="J412" s="26" t="b">
        <v>0</v>
      </c>
    </row>
    <row r="413" spans="1:10">
      <c r="A413" s="26" t="s">
        <v>503</v>
      </c>
      <c r="B413" s="26">
        <v>44</v>
      </c>
      <c r="C413" s="26" t="s">
        <v>53</v>
      </c>
      <c r="D413" s="26" t="s">
        <v>60</v>
      </c>
      <c r="E413" s="27" t="s">
        <v>61</v>
      </c>
      <c r="F413" s="26" t="s">
        <v>80</v>
      </c>
      <c r="G413" s="28">
        <v>6255335</v>
      </c>
      <c r="H413" s="26">
        <v>6</v>
      </c>
      <c r="I413" s="26" t="s">
        <v>60</v>
      </c>
      <c r="J413" s="26" t="b">
        <v>0</v>
      </c>
    </row>
    <row r="414" spans="1:10">
      <c r="A414" s="26" t="s">
        <v>504</v>
      </c>
      <c r="B414" s="26">
        <v>42</v>
      </c>
      <c r="C414" s="26" t="s">
        <v>53</v>
      </c>
      <c r="D414" s="26" t="s">
        <v>60</v>
      </c>
      <c r="E414" s="27" t="s">
        <v>73</v>
      </c>
      <c r="F414" s="26" t="s">
        <v>96</v>
      </c>
      <c r="G414" s="28">
        <v>6853325</v>
      </c>
      <c r="H414" s="26">
        <v>10</v>
      </c>
      <c r="I414" s="26" t="s">
        <v>60</v>
      </c>
      <c r="J414" s="26" t="b">
        <v>0</v>
      </c>
    </row>
    <row r="415" spans="1:10">
      <c r="A415" s="26" t="s">
        <v>505</v>
      </c>
      <c r="B415" s="26">
        <v>49</v>
      </c>
      <c r="C415" s="26" t="s">
        <v>53</v>
      </c>
      <c r="D415" s="26" t="s">
        <v>54</v>
      </c>
      <c r="E415" s="27" t="s">
        <v>78</v>
      </c>
      <c r="F415" s="26" t="s">
        <v>80</v>
      </c>
      <c r="G415" s="28">
        <v>1220005</v>
      </c>
      <c r="H415" s="26">
        <v>5</v>
      </c>
      <c r="I415" s="26" t="s">
        <v>57</v>
      </c>
      <c r="J415" s="26" t="b">
        <v>1</v>
      </c>
    </row>
    <row r="416" spans="1:10">
      <c r="A416" s="26" t="s">
        <v>506</v>
      </c>
      <c r="B416" s="26">
        <v>45</v>
      </c>
      <c r="C416" s="26" t="s">
        <v>53</v>
      </c>
      <c r="D416" s="26" t="s">
        <v>54</v>
      </c>
      <c r="E416" s="27" t="s">
        <v>85</v>
      </c>
      <c r="F416" s="26" t="s">
        <v>71</v>
      </c>
      <c r="G416" s="28">
        <v>7618405</v>
      </c>
      <c r="H416" s="26">
        <v>2</v>
      </c>
      <c r="I416" s="26" t="s">
        <v>63</v>
      </c>
      <c r="J416" s="26" t="b">
        <v>1</v>
      </c>
    </row>
    <row r="417" spans="1:10">
      <c r="A417" s="26" t="s">
        <v>507</v>
      </c>
      <c r="B417" s="26">
        <v>36</v>
      </c>
      <c r="C417" s="26" t="s">
        <v>53</v>
      </c>
      <c r="D417" s="26" t="s">
        <v>54</v>
      </c>
      <c r="E417" s="27" t="s">
        <v>61</v>
      </c>
      <c r="F417" s="26" t="s">
        <v>71</v>
      </c>
      <c r="G417" s="28">
        <v>7089545</v>
      </c>
      <c r="H417" s="26">
        <v>12</v>
      </c>
      <c r="I417" s="26" t="s">
        <v>60</v>
      </c>
      <c r="J417" s="26" t="b">
        <v>1</v>
      </c>
    </row>
    <row r="418" spans="1:10">
      <c r="A418" s="26" t="s">
        <v>508</v>
      </c>
      <c r="B418" s="26">
        <v>38</v>
      </c>
      <c r="C418" s="26" t="s">
        <v>53</v>
      </c>
      <c r="D418" s="26" t="s">
        <v>60</v>
      </c>
      <c r="E418" s="27" t="s">
        <v>61</v>
      </c>
      <c r="F418" s="26" t="s">
        <v>62</v>
      </c>
      <c r="G418" s="28">
        <v>2768455</v>
      </c>
      <c r="H418" s="26">
        <v>12</v>
      </c>
      <c r="I418" s="26" t="s">
        <v>60</v>
      </c>
      <c r="J418" s="26" t="b">
        <v>1</v>
      </c>
    </row>
    <row r="419" spans="1:10">
      <c r="A419" s="26" t="s">
        <v>509</v>
      </c>
      <c r="B419" s="26">
        <v>44</v>
      </c>
      <c r="C419" s="26" t="s">
        <v>59</v>
      </c>
      <c r="D419" s="26" t="s">
        <v>54</v>
      </c>
      <c r="E419" s="27" t="s">
        <v>78</v>
      </c>
      <c r="F419" s="26" t="s">
        <v>90</v>
      </c>
      <c r="G419" s="28">
        <v>7633905</v>
      </c>
      <c r="H419" s="26">
        <v>7</v>
      </c>
      <c r="I419" s="26" t="s">
        <v>67</v>
      </c>
      <c r="J419" s="26" t="b">
        <v>1</v>
      </c>
    </row>
    <row r="420" spans="1:10">
      <c r="A420" s="26" t="s">
        <v>510</v>
      </c>
      <c r="B420" s="26">
        <v>37</v>
      </c>
      <c r="C420" s="26" t="s">
        <v>53</v>
      </c>
      <c r="D420" s="26" t="s">
        <v>60</v>
      </c>
      <c r="E420" s="27" t="s">
        <v>78</v>
      </c>
      <c r="F420" s="26" t="s">
        <v>69</v>
      </c>
      <c r="G420" s="28">
        <v>6376700</v>
      </c>
      <c r="H420" s="26">
        <v>3</v>
      </c>
      <c r="I420" s="26" t="s">
        <v>60</v>
      </c>
      <c r="J420" s="26" t="b">
        <v>1</v>
      </c>
    </row>
    <row r="421" spans="1:10">
      <c r="A421" s="26" t="s">
        <v>511</v>
      </c>
      <c r="B421" s="26">
        <v>36</v>
      </c>
      <c r="C421" s="26" t="s">
        <v>59</v>
      </c>
      <c r="D421" s="26" t="s">
        <v>54</v>
      </c>
      <c r="E421" s="27" t="s">
        <v>61</v>
      </c>
      <c r="F421" s="26" t="s">
        <v>134</v>
      </c>
      <c r="G421" s="28">
        <v>1496060</v>
      </c>
      <c r="H421" s="26"/>
      <c r="I421" s="26" t="s">
        <v>67</v>
      </c>
      <c r="J421" s="26" t="b">
        <v>0</v>
      </c>
    </row>
    <row r="422" spans="1:10">
      <c r="A422" s="26" t="s">
        <v>512</v>
      </c>
      <c r="B422" s="26">
        <v>34</v>
      </c>
      <c r="C422" s="26" t="s">
        <v>59</v>
      </c>
      <c r="D422" s="26" t="s">
        <v>60</v>
      </c>
      <c r="E422" s="27" t="s">
        <v>78</v>
      </c>
      <c r="F422" s="26" t="s">
        <v>82</v>
      </c>
      <c r="G422" s="28">
        <v>1014475</v>
      </c>
      <c r="H422" s="26">
        <v>6</v>
      </c>
      <c r="I422" s="26" t="s">
        <v>60</v>
      </c>
      <c r="J422" s="26" t="b">
        <v>1</v>
      </c>
    </row>
    <row r="423" spans="1:10">
      <c r="A423" s="26" t="s">
        <v>513</v>
      </c>
      <c r="B423" s="26">
        <v>23</v>
      </c>
      <c r="C423" s="26" t="s">
        <v>59</v>
      </c>
      <c r="D423" s="26" t="s">
        <v>54</v>
      </c>
      <c r="E423" s="27" t="s">
        <v>85</v>
      </c>
      <c r="F423" s="26" t="s">
        <v>90</v>
      </c>
      <c r="G423" s="28">
        <v>3965830</v>
      </c>
      <c r="H423" s="26">
        <v>3</v>
      </c>
      <c r="I423" s="26" t="s">
        <v>60</v>
      </c>
      <c r="J423" s="26" t="b">
        <v>1</v>
      </c>
    </row>
    <row r="424" spans="1:10">
      <c r="A424" s="26" t="s">
        <v>514</v>
      </c>
      <c r="B424" s="26">
        <v>35</v>
      </c>
      <c r="C424" s="26" t="s">
        <v>59</v>
      </c>
      <c r="D424" s="26" t="s">
        <v>60</v>
      </c>
      <c r="E424" s="27" t="s">
        <v>61</v>
      </c>
      <c r="F424" s="26" t="s">
        <v>71</v>
      </c>
      <c r="G424" s="28">
        <v>1157695</v>
      </c>
      <c r="H424" s="26">
        <v>10</v>
      </c>
      <c r="I424" s="26" t="s">
        <v>67</v>
      </c>
      <c r="J424" s="26" t="b">
        <v>0</v>
      </c>
    </row>
    <row r="425" spans="1:10">
      <c r="A425" s="26" t="s">
        <v>515</v>
      </c>
      <c r="B425" s="26">
        <v>45</v>
      </c>
      <c r="C425" s="26" t="s">
        <v>59</v>
      </c>
      <c r="D425" s="26" t="s">
        <v>54</v>
      </c>
      <c r="E425" s="27" t="s">
        <v>78</v>
      </c>
      <c r="F425" s="26" t="s">
        <v>69</v>
      </c>
      <c r="G425" s="28">
        <v>6676625</v>
      </c>
      <c r="H425" s="26">
        <v>8</v>
      </c>
      <c r="I425" s="26" t="s">
        <v>67</v>
      </c>
      <c r="J425" s="26" t="b">
        <v>0</v>
      </c>
    </row>
    <row r="426" spans="1:10">
      <c r="A426" s="26" t="s">
        <v>516</v>
      </c>
      <c r="B426" s="26">
        <v>38</v>
      </c>
      <c r="C426" s="26" t="s">
        <v>59</v>
      </c>
      <c r="D426" s="26" t="s">
        <v>60</v>
      </c>
      <c r="E426" s="27" t="s">
        <v>78</v>
      </c>
      <c r="F426" s="26" t="s">
        <v>100</v>
      </c>
      <c r="G426" s="28">
        <v>5737635</v>
      </c>
      <c r="H426" s="26">
        <v>2</v>
      </c>
      <c r="I426" s="26" t="s">
        <v>63</v>
      </c>
      <c r="J426" s="26" t="b">
        <v>0</v>
      </c>
    </row>
    <row r="427" spans="1:10">
      <c r="A427" s="26" t="s">
        <v>517</v>
      </c>
      <c r="B427" s="26">
        <v>25</v>
      </c>
      <c r="C427" s="26" t="s">
        <v>59</v>
      </c>
      <c r="D427" s="26" t="s">
        <v>54</v>
      </c>
      <c r="E427" s="27" t="s">
        <v>78</v>
      </c>
      <c r="F427" s="26" t="s">
        <v>98</v>
      </c>
      <c r="G427" s="28">
        <v>5956030</v>
      </c>
      <c r="H427" s="26">
        <v>6</v>
      </c>
      <c r="I427" s="26" t="s">
        <v>60</v>
      </c>
      <c r="J427" s="26" t="b">
        <v>0</v>
      </c>
    </row>
    <row r="428" spans="1:10">
      <c r="A428" s="26" t="s">
        <v>518</v>
      </c>
      <c r="B428" s="26">
        <v>26</v>
      </c>
      <c r="C428" s="26" t="s">
        <v>59</v>
      </c>
      <c r="D428" s="26" t="s">
        <v>54</v>
      </c>
      <c r="E428" s="27" t="s">
        <v>73</v>
      </c>
      <c r="F428" s="26" t="s">
        <v>69</v>
      </c>
      <c r="G428" s="28">
        <v>1984155</v>
      </c>
      <c r="H428" s="26">
        <v>2</v>
      </c>
      <c r="I428" s="26" t="s">
        <v>63</v>
      </c>
      <c r="J428" s="26" t="b">
        <v>1</v>
      </c>
    </row>
    <row r="429" spans="1:10">
      <c r="A429" s="26" t="s">
        <v>519</v>
      </c>
      <c r="B429" s="26">
        <v>46</v>
      </c>
      <c r="C429" s="26" t="s">
        <v>53</v>
      </c>
      <c r="D429" s="26" t="s">
        <v>60</v>
      </c>
      <c r="E429" s="27" t="s">
        <v>73</v>
      </c>
      <c r="F429" s="26" t="s">
        <v>86</v>
      </c>
      <c r="G429" s="28">
        <v>4671700</v>
      </c>
      <c r="H429" s="26">
        <v>4</v>
      </c>
      <c r="I429" s="26" t="s">
        <v>63</v>
      </c>
      <c r="J429" s="26" t="b">
        <v>0</v>
      </c>
    </row>
    <row r="430" spans="1:10">
      <c r="A430" s="26" t="s">
        <v>520</v>
      </c>
      <c r="B430" s="26">
        <v>18</v>
      </c>
      <c r="C430" s="26" t="s">
        <v>53</v>
      </c>
      <c r="D430" s="26" t="s">
        <v>60</v>
      </c>
      <c r="E430" s="27" t="s">
        <v>73</v>
      </c>
      <c r="F430" s="26" t="s">
        <v>113</v>
      </c>
      <c r="G430" s="28">
        <v>6157375</v>
      </c>
      <c r="H430" s="26">
        <v>6</v>
      </c>
      <c r="I430" s="26" t="s">
        <v>67</v>
      </c>
      <c r="J430" s="26" t="b">
        <v>0</v>
      </c>
    </row>
    <row r="431" spans="1:10">
      <c r="A431" s="26" t="s">
        <v>521</v>
      </c>
      <c r="B431" s="26">
        <v>46</v>
      </c>
      <c r="C431" s="26" t="s">
        <v>59</v>
      </c>
      <c r="D431" s="26" t="s">
        <v>54</v>
      </c>
      <c r="E431" s="27" t="s">
        <v>85</v>
      </c>
      <c r="F431" s="26" t="s">
        <v>56</v>
      </c>
      <c r="G431" s="28">
        <v>1490790</v>
      </c>
      <c r="H431" s="26">
        <v>3</v>
      </c>
      <c r="I431" s="26" t="s">
        <v>57</v>
      </c>
      <c r="J431" s="26" t="b">
        <v>0</v>
      </c>
    </row>
    <row r="432" spans="1:10">
      <c r="A432" s="26" t="s">
        <v>522</v>
      </c>
      <c r="B432" s="26">
        <v>19</v>
      </c>
      <c r="C432" s="26" t="s">
        <v>53</v>
      </c>
      <c r="D432" s="26" t="s">
        <v>60</v>
      </c>
      <c r="E432" s="27" t="s">
        <v>73</v>
      </c>
      <c r="F432" s="26" t="s">
        <v>102</v>
      </c>
      <c r="G432" s="28">
        <v>6051820</v>
      </c>
      <c r="H432" s="26">
        <v>4</v>
      </c>
      <c r="I432" s="26" t="s">
        <v>63</v>
      </c>
      <c r="J432" s="26" t="b">
        <v>1</v>
      </c>
    </row>
    <row r="433" spans="1:10">
      <c r="A433" s="26" t="s">
        <v>523</v>
      </c>
      <c r="B433" s="26">
        <v>37</v>
      </c>
      <c r="C433" s="26" t="s">
        <v>53</v>
      </c>
      <c r="D433" s="26" t="s">
        <v>54</v>
      </c>
      <c r="E433" s="27" t="s">
        <v>78</v>
      </c>
      <c r="F433" s="26" t="s">
        <v>90</v>
      </c>
      <c r="G433" s="28">
        <v>953250</v>
      </c>
      <c r="H433" s="26">
        <v>11</v>
      </c>
      <c r="I433" s="26" t="s">
        <v>63</v>
      </c>
      <c r="J433" s="26" t="b">
        <v>1</v>
      </c>
    </row>
    <row r="434" spans="1:10">
      <c r="A434" s="26" t="s">
        <v>524</v>
      </c>
      <c r="B434" s="26">
        <v>35</v>
      </c>
      <c r="C434" s="26" t="s">
        <v>53</v>
      </c>
      <c r="D434" s="26" t="s">
        <v>54</v>
      </c>
      <c r="E434" s="27" t="s">
        <v>61</v>
      </c>
      <c r="F434" s="26" t="s">
        <v>66</v>
      </c>
      <c r="G434" s="28">
        <v>3633820</v>
      </c>
      <c r="H434" s="26">
        <v>6</v>
      </c>
      <c r="I434" s="26" t="s">
        <v>63</v>
      </c>
      <c r="J434" s="26" t="b">
        <v>0</v>
      </c>
    </row>
    <row r="435" spans="1:10">
      <c r="A435" s="26" t="s">
        <v>525</v>
      </c>
      <c r="B435" s="26">
        <v>43</v>
      </c>
      <c r="C435" s="26" t="s">
        <v>59</v>
      </c>
      <c r="D435" s="26" t="s">
        <v>54</v>
      </c>
      <c r="E435" s="27" t="s">
        <v>55</v>
      </c>
      <c r="F435" s="26" t="s">
        <v>104</v>
      </c>
      <c r="G435" s="28">
        <v>4942020</v>
      </c>
      <c r="H435" s="26">
        <v>6</v>
      </c>
      <c r="I435" s="26" t="s">
        <v>67</v>
      </c>
      <c r="J435" s="26" t="b">
        <v>0</v>
      </c>
    </row>
    <row r="436" spans="1:10">
      <c r="A436" s="26" t="s">
        <v>526</v>
      </c>
      <c r="B436" s="26">
        <v>28</v>
      </c>
      <c r="C436" s="26" t="s">
        <v>59</v>
      </c>
      <c r="D436" s="26" t="s">
        <v>54</v>
      </c>
      <c r="E436" s="27" t="s">
        <v>55</v>
      </c>
      <c r="F436" s="26" t="s">
        <v>104</v>
      </c>
      <c r="G436" s="28">
        <v>5073460</v>
      </c>
      <c r="H436" s="26">
        <v>6</v>
      </c>
      <c r="I436" s="26" t="s">
        <v>57</v>
      </c>
      <c r="J436" s="26" t="b">
        <v>1</v>
      </c>
    </row>
    <row r="437" spans="1:10">
      <c r="A437" s="26" t="s">
        <v>527</v>
      </c>
      <c r="B437" s="26">
        <v>25</v>
      </c>
      <c r="C437" s="26" t="s">
        <v>59</v>
      </c>
      <c r="D437" s="26" t="s">
        <v>54</v>
      </c>
      <c r="E437" s="27" t="s">
        <v>78</v>
      </c>
      <c r="F437" s="26" t="s">
        <v>76</v>
      </c>
      <c r="G437" s="28">
        <v>7372420</v>
      </c>
      <c r="H437" s="26">
        <v>3</v>
      </c>
      <c r="I437" s="26" t="s">
        <v>67</v>
      </c>
      <c r="J437" s="26" t="b">
        <v>1</v>
      </c>
    </row>
    <row r="438" spans="1:10">
      <c r="A438" s="26" t="s">
        <v>528</v>
      </c>
      <c r="B438" s="26">
        <v>47</v>
      </c>
      <c r="C438" s="26" t="s">
        <v>59</v>
      </c>
      <c r="D438" s="26" t="s">
        <v>60</v>
      </c>
      <c r="E438" s="27" t="s">
        <v>55</v>
      </c>
      <c r="F438" s="26" t="s">
        <v>92</v>
      </c>
      <c r="G438" s="28">
        <v>1063145</v>
      </c>
      <c r="H438" s="26">
        <v>9</v>
      </c>
      <c r="I438" s="26" t="s">
        <v>63</v>
      </c>
      <c r="J438" s="26" t="b">
        <v>0</v>
      </c>
    </row>
    <row r="439" spans="1:10">
      <c r="A439" s="26" t="s">
        <v>529</v>
      </c>
      <c r="B439" s="26">
        <v>45</v>
      </c>
      <c r="C439" s="26" t="s">
        <v>59</v>
      </c>
      <c r="D439" s="26" t="s">
        <v>54</v>
      </c>
      <c r="E439" s="27" t="s">
        <v>65</v>
      </c>
      <c r="F439" s="26" t="s">
        <v>90</v>
      </c>
      <c r="G439" s="28">
        <v>2062120</v>
      </c>
      <c r="H439" s="26">
        <v>12</v>
      </c>
      <c r="I439" s="26" t="s">
        <v>60</v>
      </c>
      <c r="J439" s="26" t="b">
        <v>1</v>
      </c>
    </row>
    <row r="440" spans="1:10">
      <c r="A440" s="26" t="s">
        <v>530</v>
      </c>
      <c r="B440" s="26">
        <v>24</v>
      </c>
      <c r="C440" s="26" t="s">
        <v>53</v>
      </c>
      <c r="D440" s="26" t="s">
        <v>60</v>
      </c>
      <c r="E440" s="27" t="s">
        <v>65</v>
      </c>
      <c r="F440" s="26" t="s">
        <v>86</v>
      </c>
      <c r="G440" s="28">
        <v>3047765</v>
      </c>
      <c r="H440" s="26">
        <v>9</v>
      </c>
      <c r="I440" s="26" t="s">
        <v>63</v>
      </c>
      <c r="J440" s="26" t="b">
        <v>1</v>
      </c>
    </row>
    <row r="441" spans="1:10">
      <c r="A441" s="26" t="s">
        <v>531</v>
      </c>
      <c r="B441" s="26">
        <v>30</v>
      </c>
      <c r="C441" s="26" t="s">
        <v>59</v>
      </c>
      <c r="D441" s="26" t="s">
        <v>54</v>
      </c>
      <c r="E441" s="27" t="s">
        <v>55</v>
      </c>
      <c r="F441" s="26" t="s">
        <v>69</v>
      </c>
      <c r="G441" s="28">
        <v>7346380</v>
      </c>
      <c r="H441" s="26">
        <v>12</v>
      </c>
      <c r="I441" s="26" t="s">
        <v>63</v>
      </c>
      <c r="J441" s="26" t="b">
        <v>1</v>
      </c>
    </row>
    <row r="442" spans="1:10">
      <c r="A442" s="26" t="s">
        <v>532</v>
      </c>
      <c r="B442" s="26">
        <v>24</v>
      </c>
      <c r="C442" s="26" t="s">
        <v>53</v>
      </c>
      <c r="D442" s="26" t="s">
        <v>60</v>
      </c>
      <c r="E442" s="27" t="s">
        <v>61</v>
      </c>
      <c r="F442" s="26" t="s">
        <v>86</v>
      </c>
      <c r="G442" s="28">
        <v>7324060</v>
      </c>
      <c r="H442" s="26">
        <v>8</v>
      </c>
      <c r="I442" s="26" t="s">
        <v>67</v>
      </c>
      <c r="J442" s="26" t="b">
        <v>0</v>
      </c>
    </row>
    <row r="443" spans="1:10">
      <c r="A443" s="26" t="s">
        <v>533</v>
      </c>
      <c r="B443" s="26">
        <v>27</v>
      </c>
      <c r="C443" s="26" t="s">
        <v>53</v>
      </c>
      <c r="D443" s="26" t="s">
        <v>54</v>
      </c>
      <c r="E443" s="27" t="s">
        <v>78</v>
      </c>
      <c r="F443" s="26" t="s">
        <v>102</v>
      </c>
      <c r="G443" s="28">
        <v>5204900</v>
      </c>
      <c r="H443" s="26">
        <v>9</v>
      </c>
      <c r="I443" s="26" t="s">
        <v>57</v>
      </c>
      <c r="J443" s="26" t="b">
        <v>1</v>
      </c>
    </row>
    <row r="444" spans="1:10">
      <c r="A444" s="26" t="s">
        <v>534</v>
      </c>
      <c r="B444" s="26">
        <v>25</v>
      </c>
      <c r="C444" s="26" t="s">
        <v>59</v>
      </c>
      <c r="D444" s="26" t="s">
        <v>54</v>
      </c>
      <c r="E444" s="27" t="s">
        <v>55</v>
      </c>
      <c r="F444" s="26" t="s">
        <v>86</v>
      </c>
      <c r="G444" s="28">
        <v>1326335</v>
      </c>
      <c r="H444" s="26">
        <v>12</v>
      </c>
      <c r="I444" s="26" t="s">
        <v>67</v>
      </c>
      <c r="J444" s="26" t="b">
        <v>1</v>
      </c>
    </row>
    <row r="445" spans="1:10">
      <c r="A445" s="26" t="s">
        <v>535</v>
      </c>
      <c r="B445" s="26">
        <v>44</v>
      </c>
      <c r="C445" s="26" t="s">
        <v>53</v>
      </c>
      <c r="D445" s="26" t="s">
        <v>54</v>
      </c>
      <c r="E445" s="27" t="s">
        <v>85</v>
      </c>
      <c r="F445" s="26" t="s">
        <v>137</v>
      </c>
      <c r="G445" s="28">
        <v>1681750</v>
      </c>
      <c r="H445" s="26">
        <v>11</v>
      </c>
      <c r="I445" s="26" t="s">
        <v>57</v>
      </c>
      <c r="J445" s="26" t="b">
        <v>0</v>
      </c>
    </row>
    <row r="446" spans="1:10">
      <c r="A446" s="26" t="s">
        <v>536</v>
      </c>
      <c r="B446" s="26">
        <v>26</v>
      </c>
      <c r="C446" s="26" t="s">
        <v>59</v>
      </c>
      <c r="D446" s="26" t="s">
        <v>54</v>
      </c>
      <c r="E446" s="27" t="s">
        <v>55</v>
      </c>
      <c r="F446" s="26" t="s">
        <v>62</v>
      </c>
      <c r="G446" s="28">
        <v>2673750</v>
      </c>
      <c r="H446" s="26">
        <v>8</v>
      </c>
      <c r="I446" s="26" t="s">
        <v>63</v>
      </c>
      <c r="J446" s="26" t="b">
        <v>1</v>
      </c>
    </row>
    <row r="447" spans="1:10">
      <c r="A447" s="26" t="s">
        <v>537</v>
      </c>
      <c r="B447" s="26">
        <v>18</v>
      </c>
      <c r="C447" s="26" t="s">
        <v>53</v>
      </c>
      <c r="D447" s="26" t="s">
        <v>60</v>
      </c>
      <c r="E447" s="27" t="s">
        <v>61</v>
      </c>
      <c r="F447" s="26" t="s">
        <v>98</v>
      </c>
      <c r="G447" s="28">
        <v>3298400</v>
      </c>
      <c r="H447" s="26">
        <v>6</v>
      </c>
      <c r="I447" s="26" t="s">
        <v>57</v>
      </c>
      <c r="J447" s="26" t="b">
        <v>1</v>
      </c>
    </row>
    <row r="448" spans="1:10">
      <c r="A448" s="26" t="s">
        <v>538</v>
      </c>
      <c r="B448" s="26">
        <v>47</v>
      </c>
      <c r="C448" s="26" t="s">
        <v>53</v>
      </c>
      <c r="D448" s="26" t="s">
        <v>54</v>
      </c>
      <c r="E448" s="27" t="s">
        <v>78</v>
      </c>
      <c r="F448" s="26" t="s">
        <v>102</v>
      </c>
      <c r="G448" s="28">
        <v>5028355</v>
      </c>
      <c r="H448" s="26">
        <v>7</v>
      </c>
      <c r="I448" s="26" t="s">
        <v>57</v>
      </c>
      <c r="J448" s="26" t="b">
        <v>1</v>
      </c>
    </row>
    <row r="449" spans="1:10">
      <c r="A449" s="26" t="s">
        <v>539</v>
      </c>
      <c r="B449" s="26">
        <v>36</v>
      </c>
      <c r="C449" s="26" t="s">
        <v>59</v>
      </c>
      <c r="D449" s="26" t="s">
        <v>60</v>
      </c>
      <c r="E449" s="27" t="s">
        <v>73</v>
      </c>
      <c r="F449" s="26" t="s">
        <v>140</v>
      </c>
      <c r="G449" s="28">
        <v>5307045</v>
      </c>
      <c r="H449" s="26">
        <v>8</v>
      </c>
      <c r="I449" s="26" t="s">
        <v>67</v>
      </c>
      <c r="J449" s="26" t="b">
        <v>0</v>
      </c>
    </row>
    <row r="450" spans="1:10">
      <c r="A450" s="26" t="s">
        <v>540</v>
      </c>
      <c r="B450" s="26">
        <v>23</v>
      </c>
      <c r="C450" s="26" t="s">
        <v>53</v>
      </c>
      <c r="D450" s="26" t="s">
        <v>60</v>
      </c>
      <c r="E450" s="27" t="s">
        <v>55</v>
      </c>
      <c r="F450" s="26" t="s">
        <v>90</v>
      </c>
      <c r="G450" s="28">
        <v>6926330</v>
      </c>
      <c r="H450" s="26">
        <v>9</v>
      </c>
      <c r="I450" s="26" t="s">
        <v>57</v>
      </c>
      <c r="J450" s="26" t="b">
        <v>0</v>
      </c>
    </row>
    <row r="451" spans="1:10">
      <c r="A451" s="26" t="s">
        <v>541</v>
      </c>
      <c r="B451" s="26">
        <v>49</v>
      </c>
      <c r="C451" s="26" t="s">
        <v>59</v>
      </c>
      <c r="D451" s="26" t="s">
        <v>60</v>
      </c>
      <c r="E451" s="27" t="s">
        <v>65</v>
      </c>
      <c r="F451" s="26" t="s">
        <v>98</v>
      </c>
      <c r="G451" s="28">
        <v>7178825</v>
      </c>
      <c r="H451" s="26">
        <v>3</v>
      </c>
      <c r="I451" s="26" t="s">
        <v>57</v>
      </c>
      <c r="J451" s="26" t="b">
        <v>1</v>
      </c>
    </row>
    <row r="452" spans="1:10">
      <c r="A452" s="26" t="s">
        <v>542</v>
      </c>
      <c r="B452" s="26">
        <v>27</v>
      </c>
      <c r="C452" s="26" t="s">
        <v>53</v>
      </c>
      <c r="D452" s="26" t="s">
        <v>60</v>
      </c>
      <c r="E452" s="27" t="s">
        <v>78</v>
      </c>
      <c r="F452" s="26" t="s">
        <v>121</v>
      </c>
      <c r="G452" s="28">
        <v>1906345</v>
      </c>
      <c r="H452" s="26">
        <v>12</v>
      </c>
      <c r="I452" s="26" t="s">
        <v>60</v>
      </c>
      <c r="J452" s="26" t="b">
        <v>1</v>
      </c>
    </row>
    <row r="453" spans="1:10">
      <c r="A453" s="26" t="s">
        <v>543</v>
      </c>
      <c r="B453" s="26">
        <v>43</v>
      </c>
      <c r="C453" s="26" t="s">
        <v>59</v>
      </c>
      <c r="D453" s="26" t="s">
        <v>60</v>
      </c>
      <c r="E453" s="27" t="s">
        <v>85</v>
      </c>
      <c r="F453" s="26" t="s">
        <v>137</v>
      </c>
      <c r="G453" s="28">
        <v>4997200</v>
      </c>
      <c r="H453" s="26">
        <v>7</v>
      </c>
      <c r="I453" s="26" t="s">
        <v>63</v>
      </c>
      <c r="J453" s="26" t="b">
        <v>1</v>
      </c>
    </row>
    <row r="454" spans="1:10">
      <c r="A454" s="26" t="s">
        <v>544</v>
      </c>
      <c r="B454" s="26">
        <v>19</v>
      </c>
      <c r="C454" s="26" t="s">
        <v>53</v>
      </c>
      <c r="D454" s="26" t="s">
        <v>60</v>
      </c>
      <c r="E454" s="27" t="s">
        <v>55</v>
      </c>
      <c r="F454" s="26" t="s">
        <v>90</v>
      </c>
      <c r="G454" s="28">
        <v>1134445</v>
      </c>
      <c r="H454" s="26">
        <v>5</v>
      </c>
      <c r="I454" s="26" t="s">
        <v>67</v>
      </c>
      <c r="J454" s="26" t="b">
        <v>0</v>
      </c>
    </row>
    <row r="455" spans="1:10">
      <c r="A455" s="26" t="s">
        <v>545</v>
      </c>
      <c r="B455" s="26">
        <v>41</v>
      </c>
      <c r="C455" s="26" t="s">
        <v>53</v>
      </c>
      <c r="D455" s="26" t="s">
        <v>54</v>
      </c>
      <c r="E455" s="27" t="s">
        <v>78</v>
      </c>
      <c r="F455" s="26" t="s">
        <v>104</v>
      </c>
      <c r="G455" s="28">
        <v>4325740</v>
      </c>
      <c r="H455" s="26">
        <v>10</v>
      </c>
      <c r="I455" s="26" t="s">
        <v>60</v>
      </c>
      <c r="J455" s="26" t="b">
        <v>0</v>
      </c>
    </row>
    <row r="456" spans="1:10">
      <c r="A456" s="26" t="s">
        <v>546</v>
      </c>
      <c r="B456" s="26">
        <v>29</v>
      </c>
      <c r="C456" s="26" t="s">
        <v>53</v>
      </c>
      <c r="D456" s="26" t="s">
        <v>54</v>
      </c>
      <c r="E456" s="27" t="s">
        <v>61</v>
      </c>
      <c r="F456" s="26" t="s">
        <v>140</v>
      </c>
      <c r="G456" s="28">
        <v>7422175</v>
      </c>
      <c r="H456" s="26">
        <v>10</v>
      </c>
      <c r="I456" s="26" t="s">
        <v>57</v>
      </c>
      <c r="J456" s="26" t="b">
        <v>0</v>
      </c>
    </row>
    <row r="457" spans="1:10">
      <c r="A457" s="26" t="s">
        <v>547</v>
      </c>
      <c r="B457" s="26">
        <v>25</v>
      </c>
      <c r="C457" s="26" t="s">
        <v>59</v>
      </c>
      <c r="D457" s="26" t="s">
        <v>60</v>
      </c>
      <c r="E457" s="27" t="s">
        <v>65</v>
      </c>
      <c r="F457" s="26" t="s">
        <v>62</v>
      </c>
      <c r="G457" s="28">
        <v>1339045</v>
      </c>
      <c r="H457" s="26">
        <v>5</v>
      </c>
      <c r="I457" s="26" t="s">
        <v>60</v>
      </c>
      <c r="J457" s="26" t="b">
        <v>0</v>
      </c>
    </row>
    <row r="458" spans="1:10">
      <c r="A458" s="26" t="s">
        <v>548</v>
      </c>
      <c r="B458" s="26">
        <v>45</v>
      </c>
      <c r="C458" s="26" t="s">
        <v>59</v>
      </c>
      <c r="D458" s="26" t="s">
        <v>60</v>
      </c>
      <c r="E458" s="27" t="s">
        <v>61</v>
      </c>
      <c r="F458" s="26" t="s">
        <v>102</v>
      </c>
      <c r="G458" s="28">
        <v>2981425</v>
      </c>
      <c r="H458" s="26"/>
      <c r="I458" s="26" t="s">
        <v>60</v>
      </c>
      <c r="J458" s="26" t="b">
        <v>1</v>
      </c>
    </row>
    <row r="459" spans="1:10">
      <c r="A459" s="26" t="s">
        <v>549</v>
      </c>
      <c r="B459" s="26">
        <v>36</v>
      </c>
      <c r="C459" s="26" t="s">
        <v>53</v>
      </c>
      <c r="D459" s="26" t="s">
        <v>54</v>
      </c>
      <c r="E459" s="27" t="s">
        <v>55</v>
      </c>
      <c r="F459" s="26" t="s">
        <v>137</v>
      </c>
      <c r="G459" s="28">
        <v>3647460</v>
      </c>
      <c r="H459" s="26">
        <v>7</v>
      </c>
      <c r="I459" s="26" t="s">
        <v>63</v>
      </c>
      <c r="J459" s="26" t="b">
        <v>0</v>
      </c>
    </row>
    <row r="460" spans="1:10">
      <c r="A460" s="26" t="s">
        <v>550</v>
      </c>
      <c r="B460" s="26">
        <v>21</v>
      </c>
      <c r="C460" s="26" t="s">
        <v>53</v>
      </c>
      <c r="D460" s="26" t="s">
        <v>60</v>
      </c>
      <c r="E460" s="27" t="s">
        <v>73</v>
      </c>
      <c r="F460" s="26" t="s">
        <v>98</v>
      </c>
      <c r="G460" s="28">
        <v>3295765</v>
      </c>
      <c r="H460" s="26">
        <v>8</v>
      </c>
      <c r="I460" s="26" t="s">
        <v>67</v>
      </c>
      <c r="J460" s="26" t="b">
        <v>0</v>
      </c>
    </row>
    <row r="461" spans="1:10">
      <c r="A461" s="26" t="s">
        <v>551</v>
      </c>
      <c r="B461" s="26">
        <v>47</v>
      </c>
      <c r="C461" s="26" t="s">
        <v>53</v>
      </c>
      <c r="D461" s="26" t="s">
        <v>54</v>
      </c>
      <c r="E461" s="27" t="s">
        <v>65</v>
      </c>
      <c r="F461" s="26" t="s">
        <v>62</v>
      </c>
      <c r="G461" s="28">
        <v>3822765</v>
      </c>
      <c r="H461" s="26">
        <v>8</v>
      </c>
      <c r="I461" s="26" t="s">
        <v>57</v>
      </c>
      <c r="J461" s="26" t="b">
        <v>1</v>
      </c>
    </row>
    <row r="462" spans="1:10">
      <c r="A462" s="26" t="s">
        <v>552</v>
      </c>
      <c r="B462" s="26">
        <v>26</v>
      </c>
      <c r="C462" s="26" t="s">
        <v>53</v>
      </c>
      <c r="D462" s="26" t="s">
        <v>54</v>
      </c>
      <c r="E462" s="27" t="s">
        <v>78</v>
      </c>
      <c r="F462" s="26" t="s">
        <v>104</v>
      </c>
      <c r="G462" s="28">
        <v>3541285</v>
      </c>
      <c r="H462" s="26">
        <v>9</v>
      </c>
      <c r="I462" s="26" t="s">
        <v>57</v>
      </c>
      <c r="J462" s="26" t="b">
        <v>0</v>
      </c>
    </row>
    <row r="463" spans="1:10">
      <c r="A463" s="26" t="s">
        <v>553</v>
      </c>
      <c r="B463" s="26">
        <v>25</v>
      </c>
      <c r="C463" s="26" t="s">
        <v>53</v>
      </c>
      <c r="D463" s="26" t="s">
        <v>54</v>
      </c>
      <c r="E463" s="27" t="s">
        <v>65</v>
      </c>
      <c r="F463" s="26" t="s">
        <v>56</v>
      </c>
      <c r="G463" s="28">
        <v>5328435</v>
      </c>
      <c r="H463" s="26">
        <v>6</v>
      </c>
      <c r="I463" s="26" t="s">
        <v>67</v>
      </c>
      <c r="J463" s="26" t="b">
        <v>1</v>
      </c>
    </row>
    <row r="464" spans="1:10">
      <c r="A464" s="26" t="s">
        <v>554</v>
      </c>
      <c r="B464" s="26">
        <v>26</v>
      </c>
      <c r="C464" s="26" t="s">
        <v>53</v>
      </c>
      <c r="D464" s="26" t="s">
        <v>54</v>
      </c>
      <c r="E464" s="27" t="s">
        <v>73</v>
      </c>
      <c r="F464" s="26" t="s">
        <v>121</v>
      </c>
      <c r="G464" s="28">
        <v>5259460</v>
      </c>
      <c r="H464" s="26">
        <v>9</v>
      </c>
      <c r="I464" s="26" t="s">
        <v>63</v>
      </c>
      <c r="J464" s="26" t="b">
        <v>0</v>
      </c>
    </row>
    <row r="465" spans="1:10">
      <c r="A465" s="26" t="s">
        <v>555</v>
      </c>
      <c r="B465" s="26">
        <v>34</v>
      </c>
      <c r="C465" s="26" t="s">
        <v>59</v>
      </c>
      <c r="D465" s="26" t="s">
        <v>60</v>
      </c>
      <c r="E465" s="27" t="s">
        <v>55</v>
      </c>
      <c r="F465" s="26" t="s">
        <v>134</v>
      </c>
      <c r="G465" s="28">
        <v>5069275</v>
      </c>
      <c r="H465" s="26">
        <v>9</v>
      </c>
      <c r="I465" s="26" t="s">
        <v>67</v>
      </c>
      <c r="J465" s="26" t="b">
        <v>0</v>
      </c>
    </row>
    <row r="466" spans="1:10">
      <c r="A466" s="26" t="s">
        <v>556</v>
      </c>
      <c r="B466" s="26">
        <v>48</v>
      </c>
      <c r="C466" s="26" t="s">
        <v>59</v>
      </c>
      <c r="D466" s="26" t="s">
        <v>60</v>
      </c>
      <c r="E466" s="27" t="s">
        <v>78</v>
      </c>
      <c r="F466" s="26" t="s">
        <v>104</v>
      </c>
      <c r="G466" s="28">
        <v>5183975</v>
      </c>
      <c r="H466" s="26">
        <v>2</v>
      </c>
      <c r="I466" s="26" t="s">
        <v>63</v>
      </c>
      <c r="J466" s="26" t="b">
        <v>1</v>
      </c>
    </row>
    <row r="467" spans="1:10">
      <c r="A467" s="26" t="s">
        <v>557</v>
      </c>
      <c r="B467" s="26">
        <v>19</v>
      </c>
      <c r="C467" s="26" t="s">
        <v>59</v>
      </c>
      <c r="D467" s="26" t="s">
        <v>60</v>
      </c>
      <c r="E467" s="27" t="s">
        <v>78</v>
      </c>
      <c r="F467" s="26" t="s">
        <v>62</v>
      </c>
      <c r="G467" s="28">
        <v>5675480</v>
      </c>
      <c r="H467" s="26">
        <v>12</v>
      </c>
      <c r="I467" s="26" t="s">
        <v>63</v>
      </c>
      <c r="J467" s="26" t="b">
        <v>0</v>
      </c>
    </row>
    <row r="468" spans="1:10">
      <c r="A468" s="26" t="s">
        <v>558</v>
      </c>
      <c r="B468" s="26">
        <v>37</v>
      </c>
      <c r="C468" s="26" t="s">
        <v>53</v>
      </c>
      <c r="D468" s="26" t="s">
        <v>60</v>
      </c>
      <c r="E468" s="27" t="s">
        <v>78</v>
      </c>
      <c r="F468" s="26" t="s">
        <v>121</v>
      </c>
      <c r="G468" s="28">
        <v>7467590</v>
      </c>
      <c r="H468" s="26">
        <v>8</v>
      </c>
      <c r="I468" s="26" t="s">
        <v>63</v>
      </c>
      <c r="J468" s="26" t="b">
        <v>1</v>
      </c>
    </row>
    <row r="469" spans="1:10">
      <c r="A469" s="26" t="s">
        <v>559</v>
      </c>
      <c r="B469" s="26">
        <v>23</v>
      </c>
      <c r="C469" s="26" t="s">
        <v>53</v>
      </c>
      <c r="D469" s="26" t="s">
        <v>60</v>
      </c>
      <c r="E469" s="27" t="s">
        <v>61</v>
      </c>
      <c r="F469" s="26" t="s">
        <v>56</v>
      </c>
      <c r="G469" s="28">
        <v>2037940</v>
      </c>
      <c r="H469" s="26">
        <v>8</v>
      </c>
      <c r="I469" s="26" t="s">
        <v>57</v>
      </c>
      <c r="J469" s="26" t="b">
        <v>1</v>
      </c>
    </row>
    <row r="470" spans="1:10">
      <c r="A470" s="26" t="s">
        <v>560</v>
      </c>
      <c r="B470" s="26">
        <v>34</v>
      </c>
      <c r="C470" s="26" t="s">
        <v>53</v>
      </c>
      <c r="D470" s="26" t="s">
        <v>60</v>
      </c>
      <c r="E470" s="27" t="s">
        <v>65</v>
      </c>
      <c r="F470" s="26" t="s">
        <v>90</v>
      </c>
      <c r="G470" s="28">
        <v>6244330</v>
      </c>
      <c r="H470" s="26">
        <v>11</v>
      </c>
      <c r="I470" s="26" t="s">
        <v>60</v>
      </c>
      <c r="J470" s="26" t="b">
        <v>0</v>
      </c>
    </row>
    <row r="471" spans="1:10">
      <c r="A471" s="26" t="s">
        <v>561</v>
      </c>
      <c r="B471" s="26">
        <v>42</v>
      </c>
      <c r="C471" s="26" t="s">
        <v>59</v>
      </c>
      <c r="D471" s="26" t="s">
        <v>60</v>
      </c>
      <c r="E471" s="27" t="s">
        <v>85</v>
      </c>
      <c r="F471" s="26" t="s">
        <v>56</v>
      </c>
      <c r="G471" s="28">
        <v>5164290</v>
      </c>
      <c r="H471" s="26">
        <v>6</v>
      </c>
      <c r="I471" s="26" t="s">
        <v>63</v>
      </c>
      <c r="J471" s="26" t="b">
        <v>1</v>
      </c>
    </row>
    <row r="472" spans="1:10">
      <c r="A472" s="26" t="s">
        <v>562</v>
      </c>
      <c r="B472" s="26">
        <v>28</v>
      </c>
      <c r="C472" s="26" t="s">
        <v>53</v>
      </c>
      <c r="D472" s="26" t="s">
        <v>60</v>
      </c>
      <c r="E472" s="27" t="s">
        <v>85</v>
      </c>
      <c r="F472" s="26" t="s">
        <v>109</v>
      </c>
      <c r="G472" s="28">
        <v>1135065</v>
      </c>
      <c r="H472" s="26">
        <v>8</v>
      </c>
      <c r="I472" s="26" t="s">
        <v>67</v>
      </c>
      <c r="J472" s="26" t="b">
        <v>1</v>
      </c>
    </row>
    <row r="473" spans="1:10">
      <c r="A473" s="26" t="s">
        <v>563</v>
      </c>
      <c r="B473" s="26">
        <v>28</v>
      </c>
      <c r="C473" s="26" t="s">
        <v>59</v>
      </c>
      <c r="D473" s="26" t="s">
        <v>60</v>
      </c>
      <c r="E473" s="27" t="s">
        <v>78</v>
      </c>
      <c r="F473" s="26" t="s">
        <v>71</v>
      </c>
      <c r="G473" s="28">
        <v>6982285</v>
      </c>
      <c r="H473" s="26">
        <v>11</v>
      </c>
      <c r="I473" s="26" t="s">
        <v>57</v>
      </c>
      <c r="J473" s="26" t="b">
        <v>1</v>
      </c>
    </row>
    <row r="474" spans="1:10">
      <c r="A474" s="26" t="s">
        <v>564</v>
      </c>
      <c r="B474" s="26">
        <v>33</v>
      </c>
      <c r="C474" s="26" t="s">
        <v>59</v>
      </c>
      <c r="D474" s="26" t="s">
        <v>54</v>
      </c>
      <c r="E474" s="27" t="s">
        <v>85</v>
      </c>
      <c r="F474" s="26" t="s">
        <v>62</v>
      </c>
      <c r="G474" s="28">
        <v>2723970</v>
      </c>
      <c r="H474" s="26">
        <v>5</v>
      </c>
      <c r="I474" s="26" t="s">
        <v>63</v>
      </c>
      <c r="J474" s="26" t="b">
        <v>0</v>
      </c>
    </row>
    <row r="475" spans="1:10">
      <c r="A475" s="26" t="s">
        <v>565</v>
      </c>
      <c r="B475" s="26">
        <v>31</v>
      </c>
      <c r="C475" s="26" t="s">
        <v>53</v>
      </c>
      <c r="D475" s="26" t="s">
        <v>54</v>
      </c>
      <c r="E475" s="27" t="s">
        <v>65</v>
      </c>
      <c r="F475" s="26" t="s">
        <v>92</v>
      </c>
      <c r="G475" s="28">
        <v>2830300</v>
      </c>
      <c r="H475" s="26">
        <v>4</v>
      </c>
      <c r="I475" s="26" t="s">
        <v>67</v>
      </c>
      <c r="J475" s="26" t="b">
        <v>0</v>
      </c>
    </row>
    <row r="476" spans="1:10">
      <c r="A476" s="26" t="s">
        <v>566</v>
      </c>
      <c r="B476" s="26">
        <v>20</v>
      </c>
      <c r="C476" s="26" t="s">
        <v>53</v>
      </c>
      <c r="D476" s="26" t="s">
        <v>54</v>
      </c>
      <c r="E476" s="27" t="s">
        <v>55</v>
      </c>
      <c r="F476" s="26" t="s">
        <v>167</v>
      </c>
      <c r="G476" s="28">
        <v>7715900</v>
      </c>
      <c r="H476" s="26">
        <v>2</v>
      </c>
      <c r="I476" s="26" t="s">
        <v>60</v>
      </c>
      <c r="J476" s="26" t="b">
        <v>1</v>
      </c>
    </row>
    <row r="477" spans="1:10">
      <c r="A477" s="26" t="s">
        <v>567</v>
      </c>
      <c r="B477" s="26">
        <v>32</v>
      </c>
      <c r="C477" s="26" t="s">
        <v>59</v>
      </c>
      <c r="D477" s="26" t="s">
        <v>60</v>
      </c>
      <c r="E477" s="27" t="s">
        <v>78</v>
      </c>
      <c r="F477" s="26" t="s">
        <v>62</v>
      </c>
      <c r="G477" s="28">
        <v>2653135</v>
      </c>
      <c r="H477" s="26">
        <v>4</v>
      </c>
      <c r="I477" s="26" t="s">
        <v>60</v>
      </c>
      <c r="J477" s="26" t="b">
        <v>0</v>
      </c>
    </row>
    <row r="478" spans="1:10">
      <c r="A478" s="26" t="s">
        <v>568</v>
      </c>
      <c r="B478" s="26">
        <v>27</v>
      </c>
      <c r="C478" s="26" t="s">
        <v>53</v>
      </c>
      <c r="D478" s="26" t="s">
        <v>54</v>
      </c>
      <c r="E478" s="27" t="s">
        <v>65</v>
      </c>
      <c r="F478" s="26" t="s">
        <v>167</v>
      </c>
      <c r="G478" s="28">
        <v>6600210</v>
      </c>
      <c r="H478" s="26">
        <v>3</v>
      </c>
      <c r="I478" s="26" t="s">
        <v>67</v>
      </c>
      <c r="J478" s="26" t="b">
        <v>1</v>
      </c>
    </row>
    <row r="479" spans="1:10">
      <c r="A479" s="26" t="s">
        <v>569</v>
      </c>
      <c r="B479" s="26">
        <v>19</v>
      </c>
      <c r="C479" s="26" t="s">
        <v>53</v>
      </c>
      <c r="D479" s="26" t="s">
        <v>54</v>
      </c>
      <c r="E479" s="27" t="s">
        <v>61</v>
      </c>
      <c r="F479" s="26" t="s">
        <v>80</v>
      </c>
      <c r="G479" s="28">
        <v>3263990</v>
      </c>
      <c r="H479" s="26">
        <v>10</v>
      </c>
      <c r="I479" s="26" t="s">
        <v>67</v>
      </c>
      <c r="J479" s="26" t="b">
        <v>1</v>
      </c>
    </row>
    <row r="480" spans="1:10">
      <c r="A480" s="26" t="s">
        <v>570</v>
      </c>
      <c r="B480" s="26">
        <v>50</v>
      </c>
      <c r="C480" s="26" t="s">
        <v>59</v>
      </c>
      <c r="D480" s="26" t="s">
        <v>54</v>
      </c>
      <c r="E480" s="27" t="s">
        <v>73</v>
      </c>
      <c r="F480" s="26" t="s">
        <v>137</v>
      </c>
      <c r="G480" s="28">
        <v>3094420</v>
      </c>
      <c r="H480" s="26">
        <v>11</v>
      </c>
      <c r="I480" s="26" t="s">
        <v>60</v>
      </c>
      <c r="J480" s="26" t="b">
        <v>0</v>
      </c>
    </row>
    <row r="481" spans="1:10">
      <c r="A481" s="26" t="s">
        <v>571</v>
      </c>
      <c r="B481" s="26">
        <v>40</v>
      </c>
      <c r="C481" s="26" t="s">
        <v>59</v>
      </c>
      <c r="D481" s="26" t="s">
        <v>60</v>
      </c>
      <c r="E481" s="27" t="s">
        <v>85</v>
      </c>
      <c r="F481" s="26" t="s">
        <v>96</v>
      </c>
      <c r="G481" s="28">
        <v>2514410</v>
      </c>
      <c r="H481" s="26">
        <v>10</v>
      </c>
      <c r="I481" s="26" t="s">
        <v>60</v>
      </c>
      <c r="J481" s="26" t="b">
        <v>1</v>
      </c>
    </row>
    <row r="482" spans="1:10">
      <c r="A482" s="26" t="s">
        <v>572</v>
      </c>
      <c r="B482" s="26">
        <v>20</v>
      </c>
      <c r="C482" s="26" t="s">
        <v>59</v>
      </c>
      <c r="D482" s="26" t="s">
        <v>60</v>
      </c>
      <c r="E482" s="27" t="s">
        <v>78</v>
      </c>
      <c r="F482" s="26" t="s">
        <v>80</v>
      </c>
      <c r="G482" s="28">
        <v>6227125</v>
      </c>
      <c r="H482" s="26">
        <v>8</v>
      </c>
      <c r="I482" s="26" t="s">
        <v>57</v>
      </c>
      <c r="J482" s="26" t="b">
        <v>0</v>
      </c>
    </row>
    <row r="483" spans="1:10">
      <c r="A483" s="26" t="s">
        <v>573</v>
      </c>
      <c r="B483" s="26">
        <v>24</v>
      </c>
      <c r="C483" s="26" t="s">
        <v>53</v>
      </c>
      <c r="D483" s="26" t="s">
        <v>54</v>
      </c>
      <c r="E483" s="27" t="s">
        <v>73</v>
      </c>
      <c r="F483" s="26" t="s">
        <v>86</v>
      </c>
      <c r="G483" s="28">
        <v>5671140</v>
      </c>
      <c r="H483" s="26">
        <v>12</v>
      </c>
      <c r="I483" s="26" t="s">
        <v>63</v>
      </c>
      <c r="J483" s="26" t="b">
        <v>1</v>
      </c>
    </row>
    <row r="484" spans="1:10">
      <c r="A484" s="26" t="s">
        <v>574</v>
      </c>
      <c r="B484" s="26">
        <v>46</v>
      </c>
      <c r="C484" s="26" t="s">
        <v>59</v>
      </c>
      <c r="D484" s="26" t="s">
        <v>54</v>
      </c>
      <c r="E484" s="27" t="s">
        <v>65</v>
      </c>
      <c r="F484" s="26" t="s">
        <v>137</v>
      </c>
      <c r="G484" s="28">
        <v>903495</v>
      </c>
      <c r="H484" s="26">
        <v>6</v>
      </c>
      <c r="I484" s="26" t="s">
        <v>63</v>
      </c>
      <c r="J484" s="26" t="b">
        <v>0</v>
      </c>
    </row>
    <row r="485" spans="1:10">
      <c r="A485" s="26" t="s">
        <v>575</v>
      </c>
      <c r="B485" s="26">
        <v>50</v>
      </c>
      <c r="C485" s="26" t="s">
        <v>59</v>
      </c>
      <c r="D485" s="26" t="s">
        <v>60</v>
      </c>
      <c r="E485" s="27" t="s">
        <v>65</v>
      </c>
      <c r="F485" s="26" t="s">
        <v>113</v>
      </c>
      <c r="G485" s="28">
        <v>1036330</v>
      </c>
      <c r="H485" s="26">
        <v>3</v>
      </c>
      <c r="I485" s="26" t="s">
        <v>63</v>
      </c>
      <c r="J485" s="26" t="b">
        <v>1</v>
      </c>
    </row>
    <row r="486" spans="1:10">
      <c r="A486" s="26" t="s">
        <v>576</v>
      </c>
      <c r="B486" s="26">
        <v>29</v>
      </c>
      <c r="C486" s="26" t="s">
        <v>53</v>
      </c>
      <c r="D486" s="26" t="s">
        <v>60</v>
      </c>
      <c r="E486" s="27" t="s">
        <v>85</v>
      </c>
      <c r="F486" s="26" t="s">
        <v>121</v>
      </c>
      <c r="G486" s="28">
        <v>4329770</v>
      </c>
      <c r="H486" s="26">
        <v>5</v>
      </c>
      <c r="I486" s="26" t="s">
        <v>63</v>
      </c>
      <c r="J486" s="26" t="b">
        <v>0</v>
      </c>
    </row>
    <row r="487" spans="1:10">
      <c r="A487" s="26" t="s">
        <v>577</v>
      </c>
      <c r="B487" s="26">
        <v>34</v>
      </c>
      <c r="C487" s="26" t="s">
        <v>53</v>
      </c>
      <c r="D487" s="26" t="s">
        <v>60</v>
      </c>
      <c r="E487" s="27" t="s">
        <v>73</v>
      </c>
      <c r="F487" s="26" t="s">
        <v>98</v>
      </c>
      <c r="G487" s="28">
        <v>5556750</v>
      </c>
      <c r="H487" s="26">
        <v>3</v>
      </c>
      <c r="I487" s="26" t="s">
        <v>63</v>
      </c>
      <c r="J487" s="26" t="b">
        <v>0</v>
      </c>
    </row>
    <row r="488" spans="1:10">
      <c r="A488" s="26" t="s">
        <v>578</v>
      </c>
      <c r="B488" s="26">
        <v>44</v>
      </c>
      <c r="C488" s="26" t="s">
        <v>53</v>
      </c>
      <c r="D488" s="26" t="s">
        <v>60</v>
      </c>
      <c r="E488" s="27" t="s">
        <v>61</v>
      </c>
      <c r="F488" s="26" t="s">
        <v>167</v>
      </c>
      <c r="G488" s="28">
        <v>5594260</v>
      </c>
      <c r="H488" s="26">
        <v>7</v>
      </c>
      <c r="I488" s="26" t="s">
        <v>57</v>
      </c>
      <c r="J488" s="26" t="b">
        <v>0</v>
      </c>
    </row>
    <row r="489" spans="1:10">
      <c r="A489" s="26" t="s">
        <v>579</v>
      </c>
      <c r="B489" s="26">
        <v>38</v>
      </c>
      <c r="C489" s="26" t="s">
        <v>59</v>
      </c>
      <c r="D489" s="26" t="s">
        <v>54</v>
      </c>
      <c r="E489" s="27" t="s">
        <v>73</v>
      </c>
      <c r="F489" s="26" t="s">
        <v>121</v>
      </c>
      <c r="G489" s="28">
        <v>5802580</v>
      </c>
      <c r="H489" s="26">
        <v>4</v>
      </c>
      <c r="I489" s="26" t="s">
        <v>57</v>
      </c>
      <c r="J489" s="26" t="b">
        <v>0</v>
      </c>
    </row>
    <row r="490" spans="1:10">
      <c r="A490" s="26" t="s">
        <v>580</v>
      </c>
      <c r="B490" s="26">
        <v>22</v>
      </c>
      <c r="C490" s="26" t="s">
        <v>53</v>
      </c>
      <c r="D490" s="26" t="s">
        <v>60</v>
      </c>
      <c r="E490" s="27" t="s">
        <v>61</v>
      </c>
      <c r="F490" s="26" t="s">
        <v>102</v>
      </c>
      <c r="G490" s="28">
        <v>6748235</v>
      </c>
      <c r="H490" s="26">
        <v>11</v>
      </c>
      <c r="I490" s="26" t="s">
        <v>67</v>
      </c>
      <c r="J490" s="26" t="b">
        <v>1</v>
      </c>
    </row>
    <row r="491" spans="1:10">
      <c r="A491" s="26" t="s">
        <v>581</v>
      </c>
      <c r="B491" s="26">
        <v>44</v>
      </c>
      <c r="C491" s="26" t="s">
        <v>59</v>
      </c>
      <c r="D491" s="26" t="s">
        <v>60</v>
      </c>
      <c r="E491" s="27" t="s">
        <v>61</v>
      </c>
      <c r="F491" s="26" t="s">
        <v>69</v>
      </c>
      <c r="G491" s="28">
        <v>7119150</v>
      </c>
      <c r="H491" s="26">
        <v>9</v>
      </c>
      <c r="I491" s="26" t="s">
        <v>57</v>
      </c>
      <c r="J491" s="26" t="b">
        <v>0</v>
      </c>
    </row>
    <row r="492" spans="1:10">
      <c r="A492" s="26" t="s">
        <v>582</v>
      </c>
      <c r="B492" s="26">
        <v>43</v>
      </c>
      <c r="C492" s="26" t="s">
        <v>53</v>
      </c>
      <c r="D492" s="26" t="s">
        <v>60</v>
      </c>
      <c r="E492" s="27" t="s">
        <v>61</v>
      </c>
      <c r="F492" s="26" t="s">
        <v>167</v>
      </c>
      <c r="G492" s="28">
        <v>6616795</v>
      </c>
      <c r="H492" s="26">
        <v>2</v>
      </c>
      <c r="I492" s="26" t="s">
        <v>60</v>
      </c>
      <c r="J492" s="26" t="b">
        <v>1</v>
      </c>
    </row>
    <row r="493" spans="1:10">
      <c r="A493" s="26" t="s">
        <v>583</v>
      </c>
      <c r="B493" s="26">
        <v>25</v>
      </c>
      <c r="C493" s="26" t="s">
        <v>59</v>
      </c>
      <c r="D493" s="26" t="s">
        <v>54</v>
      </c>
      <c r="E493" s="27" t="s">
        <v>61</v>
      </c>
      <c r="F493" s="26" t="s">
        <v>88</v>
      </c>
      <c r="G493" s="28">
        <v>5663235</v>
      </c>
      <c r="H493" s="26"/>
      <c r="I493" s="26" t="s">
        <v>67</v>
      </c>
      <c r="J493" s="26" t="b">
        <v>1</v>
      </c>
    </row>
    <row r="494" spans="1:10">
      <c r="A494" s="26" t="s">
        <v>584</v>
      </c>
      <c r="B494" s="26">
        <v>21</v>
      </c>
      <c r="C494" s="26" t="s">
        <v>53</v>
      </c>
      <c r="D494" s="26" t="s">
        <v>54</v>
      </c>
      <c r="E494" s="27" t="s">
        <v>73</v>
      </c>
      <c r="F494" s="26" t="s">
        <v>82</v>
      </c>
      <c r="G494" s="28">
        <v>7552375</v>
      </c>
      <c r="H494" s="26">
        <v>4</v>
      </c>
      <c r="I494" s="26" t="s">
        <v>60</v>
      </c>
      <c r="J494" s="26" t="b">
        <v>0</v>
      </c>
    </row>
    <row r="495" spans="1:10">
      <c r="A495" s="26" t="s">
        <v>585</v>
      </c>
      <c r="B495" s="26">
        <v>29</v>
      </c>
      <c r="C495" s="26" t="s">
        <v>53</v>
      </c>
      <c r="D495" s="26" t="s">
        <v>54</v>
      </c>
      <c r="E495" s="27" t="s">
        <v>61</v>
      </c>
      <c r="F495" s="26" t="s">
        <v>102</v>
      </c>
      <c r="G495" s="28">
        <v>2901910</v>
      </c>
      <c r="H495" s="26">
        <v>10</v>
      </c>
      <c r="I495" s="26" t="s">
        <v>63</v>
      </c>
      <c r="J495" s="26" t="b">
        <v>0</v>
      </c>
    </row>
    <row r="496" spans="1:10">
      <c r="A496" s="26" t="s">
        <v>586</v>
      </c>
      <c r="B496" s="26">
        <v>41</v>
      </c>
      <c r="C496" s="26" t="s">
        <v>59</v>
      </c>
      <c r="D496" s="26" t="s">
        <v>60</v>
      </c>
      <c r="E496" s="27" t="s">
        <v>78</v>
      </c>
      <c r="F496" s="26" t="s">
        <v>104</v>
      </c>
      <c r="G496" s="28">
        <v>6150710</v>
      </c>
      <c r="H496" s="26">
        <v>7</v>
      </c>
      <c r="I496" s="26" t="s">
        <v>57</v>
      </c>
      <c r="J496" s="26" t="b">
        <v>1</v>
      </c>
    </row>
    <row r="497" spans="1:10">
      <c r="A497" s="26" t="s">
        <v>587</v>
      </c>
      <c r="B497" s="26">
        <v>38</v>
      </c>
      <c r="C497" s="26" t="s">
        <v>53</v>
      </c>
      <c r="D497" s="26" t="s">
        <v>60</v>
      </c>
      <c r="E497" s="27" t="s">
        <v>73</v>
      </c>
      <c r="F497" s="26" t="s">
        <v>140</v>
      </c>
      <c r="G497" s="28">
        <v>3824470</v>
      </c>
      <c r="H497" s="26">
        <v>10</v>
      </c>
      <c r="I497" s="26" t="s">
        <v>63</v>
      </c>
      <c r="J497" s="26" t="b">
        <v>0</v>
      </c>
    </row>
    <row r="498" spans="1:10">
      <c r="A498" s="26" t="s">
        <v>588</v>
      </c>
      <c r="B498" s="26">
        <v>26</v>
      </c>
      <c r="C498" s="26" t="s">
        <v>59</v>
      </c>
      <c r="D498" s="26" t="s">
        <v>60</v>
      </c>
      <c r="E498" s="27" t="s">
        <v>85</v>
      </c>
      <c r="F498" s="26" t="s">
        <v>86</v>
      </c>
      <c r="G498" s="28">
        <v>1995470</v>
      </c>
      <c r="H498" s="26">
        <v>12</v>
      </c>
      <c r="I498" s="26" t="s">
        <v>63</v>
      </c>
      <c r="J498" s="26" t="b">
        <v>0</v>
      </c>
    </row>
    <row r="499" spans="1:10">
      <c r="A499" s="26" t="s">
        <v>589</v>
      </c>
      <c r="B499" s="26">
        <v>41</v>
      </c>
      <c r="C499" s="26" t="s">
        <v>53</v>
      </c>
      <c r="D499" s="26" t="s">
        <v>54</v>
      </c>
      <c r="E499" s="27" t="s">
        <v>55</v>
      </c>
      <c r="F499" s="26" t="s">
        <v>104</v>
      </c>
      <c r="G499" s="28">
        <v>5264265</v>
      </c>
      <c r="H499" s="26">
        <v>2</v>
      </c>
      <c r="I499" s="26" t="s">
        <v>63</v>
      </c>
      <c r="J499" s="26" t="b">
        <v>1</v>
      </c>
    </row>
    <row r="500" spans="1:10">
      <c r="A500" s="26" t="s">
        <v>590</v>
      </c>
      <c r="B500" s="26">
        <v>46</v>
      </c>
      <c r="C500" s="26" t="s">
        <v>53</v>
      </c>
      <c r="D500" s="26" t="s">
        <v>60</v>
      </c>
      <c r="E500" s="27" t="s">
        <v>65</v>
      </c>
      <c r="F500" s="26" t="s">
        <v>80</v>
      </c>
      <c r="G500" s="28">
        <v>3465490</v>
      </c>
      <c r="H500" s="26">
        <v>11</v>
      </c>
      <c r="I500" s="26" t="s">
        <v>60</v>
      </c>
      <c r="J500" s="26" t="b">
        <v>0</v>
      </c>
    </row>
    <row r="501" spans="1:10">
      <c r="A501" s="26" t="s">
        <v>591</v>
      </c>
      <c r="B501" s="26">
        <v>39</v>
      </c>
      <c r="C501" s="26" t="s">
        <v>59</v>
      </c>
      <c r="D501" s="26" t="s">
        <v>60</v>
      </c>
      <c r="E501" s="27" t="s">
        <v>73</v>
      </c>
      <c r="F501" s="26" t="s">
        <v>56</v>
      </c>
      <c r="G501" s="28">
        <v>6927260</v>
      </c>
      <c r="H501" s="26">
        <v>5</v>
      </c>
      <c r="I501" s="26" t="s">
        <v>63</v>
      </c>
      <c r="J501" s="26" t="b">
        <v>1</v>
      </c>
    </row>
    <row r="502" spans="1:10">
      <c r="A502" s="26" t="s">
        <v>592</v>
      </c>
      <c r="B502" s="26">
        <v>43</v>
      </c>
      <c r="C502" s="26" t="s">
        <v>59</v>
      </c>
      <c r="D502" s="26" t="s">
        <v>54</v>
      </c>
      <c r="E502" s="27" t="s">
        <v>61</v>
      </c>
      <c r="F502" s="26" t="s">
        <v>98</v>
      </c>
      <c r="G502" s="28">
        <v>2722575</v>
      </c>
      <c r="H502" s="26">
        <v>11</v>
      </c>
      <c r="I502" s="26" t="s">
        <v>67</v>
      </c>
      <c r="J502" s="26" t="b">
        <v>0</v>
      </c>
    </row>
    <row r="503" spans="1:10">
      <c r="A503" s="26" t="s">
        <v>593</v>
      </c>
      <c r="B503" s="26">
        <v>44</v>
      </c>
      <c r="C503" s="26" t="s">
        <v>53</v>
      </c>
      <c r="D503" s="26" t="s">
        <v>54</v>
      </c>
      <c r="E503" s="27" t="s">
        <v>73</v>
      </c>
      <c r="F503" s="26" t="s">
        <v>134</v>
      </c>
      <c r="G503" s="28">
        <v>7618095</v>
      </c>
      <c r="H503" s="26">
        <v>10</v>
      </c>
      <c r="I503" s="26" t="s">
        <v>67</v>
      </c>
      <c r="J503" s="26" t="b">
        <v>0</v>
      </c>
    </row>
    <row r="504" spans="1:10">
      <c r="A504" s="26" t="s">
        <v>594</v>
      </c>
      <c r="B504" s="26">
        <v>26</v>
      </c>
      <c r="C504" s="26" t="s">
        <v>59</v>
      </c>
      <c r="D504" s="26" t="s">
        <v>54</v>
      </c>
      <c r="E504" s="27" t="s">
        <v>61</v>
      </c>
      <c r="F504" s="26" t="s">
        <v>137</v>
      </c>
      <c r="G504" s="28">
        <v>1370200</v>
      </c>
      <c r="H504" s="26">
        <v>5</v>
      </c>
      <c r="I504" s="26" t="s">
        <v>63</v>
      </c>
      <c r="J504" s="26" t="b">
        <v>1</v>
      </c>
    </row>
    <row r="505" spans="1:10">
      <c r="A505" s="26" t="s">
        <v>595</v>
      </c>
      <c r="B505" s="26">
        <v>29</v>
      </c>
      <c r="C505" s="26" t="s">
        <v>59</v>
      </c>
      <c r="D505" s="26" t="s">
        <v>54</v>
      </c>
      <c r="E505" s="27" t="s">
        <v>85</v>
      </c>
      <c r="F505" s="26" t="s">
        <v>66</v>
      </c>
      <c r="G505" s="28">
        <v>6678950</v>
      </c>
      <c r="H505" s="26">
        <v>8</v>
      </c>
      <c r="I505" s="26" t="s">
        <v>60</v>
      </c>
      <c r="J505" s="26" t="b">
        <v>0</v>
      </c>
    </row>
    <row r="506" spans="1:10">
      <c r="A506" s="26" t="s">
        <v>596</v>
      </c>
      <c r="B506" s="26">
        <v>50</v>
      </c>
      <c r="C506" s="26" t="s">
        <v>59</v>
      </c>
      <c r="D506" s="26" t="s">
        <v>60</v>
      </c>
      <c r="E506" s="27" t="s">
        <v>85</v>
      </c>
      <c r="F506" s="26" t="s">
        <v>82</v>
      </c>
      <c r="G506" s="28">
        <v>6746065</v>
      </c>
      <c r="H506" s="26">
        <v>2</v>
      </c>
      <c r="I506" s="26" t="s">
        <v>57</v>
      </c>
      <c r="J506" s="26" t="b">
        <v>0</v>
      </c>
    </row>
    <row r="507" spans="1:10">
      <c r="A507" s="26" t="s">
        <v>597</v>
      </c>
      <c r="B507" s="26">
        <v>19</v>
      </c>
      <c r="C507" s="26" t="s">
        <v>53</v>
      </c>
      <c r="D507" s="26" t="s">
        <v>60</v>
      </c>
      <c r="E507" s="27" t="s">
        <v>61</v>
      </c>
      <c r="F507" s="26" t="s">
        <v>104</v>
      </c>
      <c r="G507" s="28">
        <v>3389075</v>
      </c>
      <c r="H507" s="26">
        <v>3</v>
      </c>
      <c r="I507" s="26" t="s">
        <v>67</v>
      </c>
      <c r="J507" s="26" t="b">
        <v>1</v>
      </c>
    </row>
    <row r="508" spans="1:10">
      <c r="A508" s="26" t="s">
        <v>598</v>
      </c>
      <c r="B508" s="26">
        <v>27</v>
      </c>
      <c r="C508" s="26" t="s">
        <v>59</v>
      </c>
      <c r="D508" s="26" t="s">
        <v>60</v>
      </c>
      <c r="E508" s="27" t="s">
        <v>55</v>
      </c>
      <c r="F508" s="26" t="s">
        <v>113</v>
      </c>
      <c r="G508" s="28">
        <v>3218730</v>
      </c>
      <c r="H508" s="26">
        <v>10</v>
      </c>
      <c r="I508" s="26" t="s">
        <v>60</v>
      </c>
      <c r="J508" s="26" t="b">
        <v>0</v>
      </c>
    </row>
    <row r="509" spans="1:10">
      <c r="A509" s="26" t="s">
        <v>599</v>
      </c>
      <c r="B509" s="26">
        <v>34</v>
      </c>
      <c r="C509" s="26" t="s">
        <v>53</v>
      </c>
      <c r="D509" s="26" t="s">
        <v>60</v>
      </c>
      <c r="E509" s="27" t="s">
        <v>65</v>
      </c>
      <c r="F509" s="26" t="s">
        <v>109</v>
      </c>
      <c r="G509" s="28">
        <v>2186895</v>
      </c>
      <c r="H509" s="26">
        <v>7</v>
      </c>
      <c r="I509" s="26" t="s">
        <v>60</v>
      </c>
      <c r="J509" s="26" t="b">
        <v>0</v>
      </c>
    </row>
    <row r="510" spans="1:10">
      <c r="A510" s="26" t="s">
        <v>600</v>
      </c>
      <c r="B510" s="26">
        <v>39</v>
      </c>
      <c r="C510" s="26" t="s">
        <v>59</v>
      </c>
      <c r="D510" s="26" t="s">
        <v>60</v>
      </c>
      <c r="E510" s="27" t="s">
        <v>73</v>
      </c>
      <c r="F510" s="26" t="s">
        <v>96</v>
      </c>
      <c r="G510" s="28">
        <v>2211850</v>
      </c>
      <c r="H510" s="26">
        <v>6</v>
      </c>
      <c r="I510" s="26" t="s">
        <v>57</v>
      </c>
      <c r="J510" s="26" t="b">
        <v>0</v>
      </c>
    </row>
    <row r="511" spans="1:10">
      <c r="A511" s="26" t="s">
        <v>601</v>
      </c>
      <c r="B511" s="26">
        <v>44</v>
      </c>
      <c r="C511" s="26" t="s">
        <v>59</v>
      </c>
      <c r="D511" s="26" t="s">
        <v>60</v>
      </c>
      <c r="E511" s="27" t="s">
        <v>73</v>
      </c>
      <c r="F511" s="26" t="s">
        <v>88</v>
      </c>
      <c r="G511" s="28">
        <v>993395</v>
      </c>
      <c r="H511" s="26">
        <v>10</v>
      </c>
      <c r="I511" s="26" t="s">
        <v>57</v>
      </c>
      <c r="J511" s="26" t="b">
        <v>1</v>
      </c>
    </row>
    <row r="512" spans="1:10">
      <c r="A512" s="26" t="s">
        <v>602</v>
      </c>
      <c r="B512" s="26">
        <v>20</v>
      </c>
      <c r="C512" s="26" t="s">
        <v>53</v>
      </c>
      <c r="D512" s="26" t="s">
        <v>54</v>
      </c>
      <c r="E512" s="27" t="s">
        <v>73</v>
      </c>
      <c r="F512" s="26" t="s">
        <v>104</v>
      </c>
      <c r="G512" s="28">
        <v>1957030</v>
      </c>
      <c r="H512" s="26">
        <v>2</v>
      </c>
      <c r="I512" s="26" t="s">
        <v>57</v>
      </c>
      <c r="J512" s="26" t="b">
        <v>1</v>
      </c>
    </row>
    <row r="513" spans="1:10">
      <c r="A513" s="26" t="s">
        <v>603</v>
      </c>
      <c r="B513" s="26">
        <v>42</v>
      </c>
      <c r="C513" s="26" t="s">
        <v>53</v>
      </c>
      <c r="D513" s="26" t="s">
        <v>54</v>
      </c>
      <c r="E513" s="27" t="s">
        <v>55</v>
      </c>
      <c r="F513" s="26" t="s">
        <v>92</v>
      </c>
      <c r="G513" s="28">
        <v>3023275</v>
      </c>
      <c r="H513" s="26">
        <v>5</v>
      </c>
      <c r="I513" s="26" t="s">
        <v>63</v>
      </c>
      <c r="J513" s="26" t="b">
        <v>1</v>
      </c>
    </row>
    <row r="514" spans="1:10">
      <c r="A514" s="26" t="s">
        <v>604</v>
      </c>
      <c r="B514" s="26">
        <v>22</v>
      </c>
      <c r="C514" s="26" t="s">
        <v>53</v>
      </c>
      <c r="D514" s="26" t="s">
        <v>54</v>
      </c>
      <c r="E514" s="27" t="s">
        <v>73</v>
      </c>
      <c r="F514" s="26" t="s">
        <v>121</v>
      </c>
      <c r="G514" s="28">
        <v>6709020</v>
      </c>
      <c r="H514" s="26">
        <v>7</v>
      </c>
      <c r="I514" s="26" t="s">
        <v>60</v>
      </c>
      <c r="J514" s="26" t="b">
        <v>0</v>
      </c>
    </row>
    <row r="515" spans="1:10">
      <c r="A515" s="26" t="s">
        <v>605</v>
      </c>
      <c r="B515" s="26">
        <v>30</v>
      </c>
      <c r="C515" s="26" t="s">
        <v>59</v>
      </c>
      <c r="D515" s="26" t="s">
        <v>60</v>
      </c>
      <c r="E515" s="27" t="s">
        <v>65</v>
      </c>
      <c r="F515" s="26" t="s">
        <v>167</v>
      </c>
      <c r="G515" s="28">
        <v>6263860</v>
      </c>
      <c r="H515" s="26">
        <v>6</v>
      </c>
      <c r="I515" s="26" t="s">
        <v>60</v>
      </c>
      <c r="J515" s="26" t="b">
        <v>0</v>
      </c>
    </row>
    <row r="516" spans="1:10">
      <c r="A516" s="26" t="s">
        <v>606</v>
      </c>
      <c r="B516" s="26">
        <v>39</v>
      </c>
      <c r="C516" s="26" t="s">
        <v>59</v>
      </c>
      <c r="D516" s="26" t="s">
        <v>60</v>
      </c>
      <c r="E516" s="27" t="s">
        <v>85</v>
      </c>
      <c r="F516" s="26" t="s">
        <v>121</v>
      </c>
      <c r="G516" s="28">
        <v>6793030</v>
      </c>
      <c r="H516" s="26">
        <v>10</v>
      </c>
      <c r="I516" s="26" t="s">
        <v>57</v>
      </c>
      <c r="J516" s="26" t="b">
        <v>1</v>
      </c>
    </row>
    <row r="517" spans="1:10">
      <c r="A517" s="26" t="s">
        <v>607</v>
      </c>
      <c r="B517" s="26">
        <v>19</v>
      </c>
      <c r="C517" s="26" t="s">
        <v>53</v>
      </c>
      <c r="D517" s="26" t="s">
        <v>60</v>
      </c>
      <c r="E517" s="27" t="s">
        <v>65</v>
      </c>
      <c r="F517" s="26" t="s">
        <v>167</v>
      </c>
      <c r="G517" s="28">
        <v>3611810</v>
      </c>
      <c r="H517" s="26">
        <v>4</v>
      </c>
      <c r="I517" s="26" t="s">
        <v>63</v>
      </c>
      <c r="J517" s="26" t="b">
        <v>0</v>
      </c>
    </row>
    <row r="518" spans="1:10">
      <c r="A518" s="26" t="s">
        <v>608</v>
      </c>
      <c r="B518" s="26">
        <v>26</v>
      </c>
      <c r="C518" s="26" t="s">
        <v>53</v>
      </c>
      <c r="D518" s="26" t="s">
        <v>54</v>
      </c>
      <c r="E518" s="27" t="s">
        <v>65</v>
      </c>
      <c r="F518" s="26" t="s">
        <v>96</v>
      </c>
      <c r="G518" s="28">
        <v>4237855</v>
      </c>
      <c r="H518" s="26">
        <v>7</v>
      </c>
      <c r="I518" s="26" t="s">
        <v>67</v>
      </c>
      <c r="J518" s="26" t="b">
        <v>1</v>
      </c>
    </row>
    <row r="519" spans="1:10">
      <c r="A519" s="26" t="s">
        <v>609</v>
      </c>
      <c r="B519" s="26">
        <v>21</v>
      </c>
      <c r="C519" s="26" t="s">
        <v>53</v>
      </c>
      <c r="D519" s="26" t="s">
        <v>60</v>
      </c>
      <c r="E519" s="27" t="s">
        <v>85</v>
      </c>
      <c r="F519" s="26" t="s">
        <v>71</v>
      </c>
      <c r="G519" s="28">
        <v>5253880</v>
      </c>
      <c r="H519" s="26">
        <v>10</v>
      </c>
      <c r="I519" s="26" t="s">
        <v>60</v>
      </c>
      <c r="J519" s="26" t="b">
        <v>1</v>
      </c>
    </row>
    <row r="520" spans="1:10">
      <c r="A520" s="26" t="s">
        <v>610</v>
      </c>
      <c r="B520" s="26">
        <v>37</v>
      </c>
      <c r="C520" s="26" t="s">
        <v>59</v>
      </c>
      <c r="D520" s="26" t="s">
        <v>54</v>
      </c>
      <c r="E520" s="27" t="s">
        <v>55</v>
      </c>
      <c r="F520" s="26" t="s">
        <v>86</v>
      </c>
      <c r="G520" s="28">
        <v>1176605</v>
      </c>
      <c r="H520" s="26">
        <v>12</v>
      </c>
      <c r="I520" s="26" t="s">
        <v>67</v>
      </c>
      <c r="J520" s="26" t="b">
        <v>1</v>
      </c>
    </row>
    <row r="521" spans="1:10">
      <c r="A521" s="26" t="s">
        <v>611</v>
      </c>
      <c r="B521" s="26">
        <v>23</v>
      </c>
      <c r="C521" s="26" t="s">
        <v>59</v>
      </c>
      <c r="D521" s="26" t="s">
        <v>60</v>
      </c>
      <c r="E521" s="27" t="s">
        <v>85</v>
      </c>
      <c r="F521" s="26" t="s">
        <v>82</v>
      </c>
      <c r="G521" s="28">
        <v>6590755</v>
      </c>
      <c r="H521" s="26">
        <v>12</v>
      </c>
      <c r="I521" s="26" t="s">
        <v>67</v>
      </c>
      <c r="J521" s="26" t="b">
        <v>1</v>
      </c>
    </row>
    <row r="522" spans="1:10">
      <c r="A522" s="26" t="s">
        <v>612</v>
      </c>
      <c r="B522" s="26">
        <v>46</v>
      </c>
      <c r="C522" s="26" t="s">
        <v>59</v>
      </c>
      <c r="D522" s="26" t="s">
        <v>54</v>
      </c>
      <c r="E522" s="27" t="s">
        <v>73</v>
      </c>
      <c r="F522" s="26" t="s">
        <v>100</v>
      </c>
      <c r="G522" s="28">
        <v>4166400</v>
      </c>
      <c r="H522" s="26">
        <v>2</v>
      </c>
      <c r="I522" s="26" t="s">
        <v>60</v>
      </c>
      <c r="J522" s="26" t="b">
        <v>0</v>
      </c>
    </row>
    <row r="523" spans="1:10">
      <c r="A523" s="26" t="s">
        <v>613</v>
      </c>
      <c r="B523" s="26">
        <v>35</v>
      </c>
      <c r="C523" s="26" t="s">
        <v>53</v>
      </c>
      <c r="D523" s="26" t="s">
        <v>54</v>
      </c>
      <c r="E523" s="27" t="s">
        <v>61</v>
      </c>
      <c r="F523" s="26" t="s">
        <v>90</v>
      </c>
      <c r="G523" s="28">
        <v>2646005</v>
      </c>
      <c r="H523" s="26">
        <v>10</v>
      </c>
      <c r="I523" s="26" t="s">
        <v>67</v>
      </c>
      <c r="J523" s="26" t="b">
        <v>1</v>
      </c>
    </row>
    <row r="524" spans="1:10">
      <c r="A524" s="26" t="s">
        <v>614</v>
      </c>
      <c r="B524" s="26">
        <v>33</v>
      </c>
      <c r="C524" s="26" t="s">
        <v>53</v>
      </c>
      <c r="D524" s="26" t="s">
        <v>54</v>
      </c>
      <c r="E524" s="27" t="s">
        <v>55</v>
      </c>
      <c r="F524" s="26" t="s">
        <v>88</v>
      </c>
      <c r="G524" s="28">
        <v>6882775</v>
      </c>
      <c r="H524" s="26">
        <v>10</v>
      </c>
      <c r="I524" s="26" t="s">
        <v>67</v>
      </c>
      <c r="J524" s="26" t="b">
        <v>1</v>
      </c>
    </row>
    <row r="525" spans="1:10">
      <c r="A525" s="26" t="s">
        <v>615</v>
      </c>
      <c r="B525" s="26">
        <v>47</v>
      </c>
      <c r="C525" s="26" t="s">
        <v>59</v>
      </c>
      <c r="D525" s="26" t="s">
        <v>54</v>
      </c>
      <c r="E525" s="27" t="s">
        <v>61</v>
      </c>
      <c r="F525" s="26" t="s">
        <v>56</v>
      </c>
      <c r="G525" s="28">
        <v>3954050</v>
      </c>
      <c r="H525" s="26">
        <v>5</v>
      </c>
      <c r="I525" s="26" t="s">
        <v>60</v>
      </c>
      <c r="J525" s="26" t="b">
        <v>1</v>
      </c>
    </row>
    <row r="526" spans="1:10">
      <c r="A526" s="26" t="s">
        <v>616</v>
      </c>
      <c r="B526" s="26">
        <v>32</v>
      </c>
      <c r="C526" s="26" t="s">
        <v>59</v>
      </c>
      <c r="D526" s="26" t="s">
        <v>60</v>
      </c>
      <c r="E526" s="27" t="s">
        <v>85</v>
      </c>
      <c r="F526" s="26" t="s">
        <v>113</v>
      </c>
      <c r="G526" s="28">
        <v>3664820</v>
      </c>
      <c r="H526" s="26">
        <v>6</v>
      </c>
      <c r="I526" s="26" t="s">
        <v>63</v>
      </c>
      <c r="J526" s="26" t="b">
        <v>0</v>
      </c>
    </row>
    <row r="527" spans="1:10">
      <c r="A527" s="26" t="s">
        <v>617</v>
      </c>
      <c r="B527" s="26">
        <v>20</v>
      </c>
      <c r="C527" s="26" t="s">
        <v>59</v>
      </c>
      <c r="D527" s="26" t="s">
        <v>54</v>
      </c>
      <c r="E527" s="27" t="s">
        <v>61</v>
      </c>
      <c r="F527" s="26" t="s">
        <v>71</v>
      </c>
      <c r="G527" s="28">
        <v>3126195</v>
      </c>
      <c r="H527" s="26">
        <v>11</v>
      </c>
      <c r="I527" s="26" t="s">
        <v>60</v>
      </c>
      <c r="J527" s="26" t="b">
        <v>1</v>
      </c>
    </row>
    <row r="528" spans="1:10">
      <c r="A528" s="26" t="s">
        <v>618</v>
      </c>
      <c r="B528" s="26">
        <v>37</v>
      </c>
      <c r="C528" s="26" t="s">
        <v>53</v>
      </c>
      <c r="D528" s="26" t="s">
        <v>60</v>
      </c>
      <c r="E528" s="27" t="s">
        <v>73</v>
      </c>
      <c r="F528" s="26" t="s">
        <v>109</v>
      </c>
      <c r="G528" s="28">
        <v>6052905</v>
      </c>
      <c r="H528" s="26">
        <v>6</v>
      </c>
      <c r="I528" s="26" t="s">
        <v>63</v>
      </c>
      <c r="J528" s="26" t="b">
        <v>0</v>
      </c>
    </row>
    <row r="529" spans="1:10">
      <c r="A529" s="26" t="s">
        <v>619</v>
      </c>
      <c r="B529" s="26">
        <v>35</v>
      </c>
      <c r="C529" s="26" t="s">
        <v>53</v>
      </c>
      <c r="D529" s="26" t="s">
        <v>60</v>
      </c>
      <c r="E529" s="27" t="s">
        <v>55</v>
      </c>
      <c r="F529" s="26" t="s">
        <v>134</v>
      </c>
      <c r="G529" s="28">
        <v>6855495</v>
      </c>
      <c r="H529" s="26">
        <v>9</v>
      </c>
      <c r="I529" s="26" t="s">
        <v>63</v>
      </c>
      <c r="J529" s="26" t="b">
        <v>0</v>
      </c>
    </row>
    <row r="530" spans="1:10">
      <c r="A530" s="26" t="s">
        <v>620</v>
      </c>
      <c r="B530" s="26">
        <v>18</v>
      </c>
      <c r="C530" s="26" t="s">
        <v>53</v>
      </c>
      <c r="D530" s="26" t="s">
        <v>54</v>
      </c>
      <c r="E530" s="27" t="s">
        <v>55</v>
      </c>
      <c r="F530" s="26" t="s">
        <v>71</v>
      </c>
      <c r="G530" s="28">
        <v>1388800</v>
      </c>
      <c r="H530" s="26"/>
      <c r="I530" s="26" t="s">
        <v>57</v>
      </c>
      <c r="J530" s="26" t="b">
        <v>0</v>
      </c>
    </row>
    <row r="531" spans="1:10">
      <c r="A531" s="26" t="s">
        <v>621</v>
      </c>
      <c r="B531" s="26">
        <v>27</v>
      </c>
      <c r="C531" s="26" t="s">
        <v>59</v>
      </c>
      <c r="D531" s="26" t="s">
        <v>54</v>
      </c>
      <c r="E531" s="27" t="s">
        <v>55</v>
      </c>
      <c r="F531" s="26" t="s">
        <v>80</v>
      </c>
      <c r="G531" s="28">
        <v>2584470</v>
      </c>
      <c r="H531" s="26">
        <v>6</v>
      </c>
      <c r="I531" s="26" t="s">
        <v>60</v>
      </c>
      <c r="J531" s="26" t="b">
        <v>0</v>
      </c>
    </row>
    <row r="532" spans="1:10">
      <c r="A532" s="26" t="s">
        <v>622</v>
      </c>
      <c r="B532" s="26">
        <v>29</v>
      </c>
      <c r="C532" s="26" t="s">
        <v>53</v>
      </c>
      <c r="D532" s="26" t="s">
        <v>60</v>
      </c>
      <c r="E532" s="27" t="s">
        <v>61</v>
      </c>
      <c r="F532" s="26" t="s">
        <v>82</v>
      </c>
      <c r="G532" s="28">
        <v>4638840</v>
      </c>
      <c r="H532" s="26">
        <v>12</v>
      </c>
      <c r="I532" s="26" t="s">
        <v>60</v>
      </c>
      <c r="J532" s="26" t="b">
        <v>0</v>
      </c>
    </row>
    <row r="533" spans="1:10">
      <c r="A533" s="26" t="s">
        <v>623</v>
      </c>
      <c r="B533" s="26">
        <v>24</v>
      </c>
      <c r="C533" s="26" t="s">
        <v>59</v>
      </c>
      <c r="D533" s="26" t="s">
        <v>60</v>
      </c>
      <c r="E533" s="27" t="s">
        <v>85</v>
      </c>
      <c r="F533" s="26" t="s">
        <v>80</v>
      </c>
      <c r="G533" s="28">
        <v>6270835</v>
      </c>
      <c r="H533" s="26">
        <v>5</v>
      </c>
      <c r="I533" s="26" t="s">
        <v>63</v>
      </c>
      <c r="J533" s="26" t="b">
        <v>0</v>
      </c>
    </row>
    <row r="534" spans="1:10">
      <c r="A534" s="26" t="s">
        <v>624</v>
      </c>
      <c r="B534" s="26">
        <v>27</v>
      </c>
      <c r="C534" s="26" t="s">
        <v>59</v>
      </c>
      <c r="D534" s="26" t="s">
        <v>60</v>
      </c>
      <c r="E534" s="27" t="s">
        <v>73</v>
      </c>
      <c r="F534" s="26" t="s">
        <v>100</v>
      </c>
      <c r="G534" s="28">
        <v>5344555</v>
      </c>
      <c r="H534" s="26">
        <v>10</v>
      </c>
      <c r="I534" s="26" t="s">
        <v>67</v>
      </c>
      <c r="J534" s="26" t="b">
        <v>1</v>
      </c>
    </row>
    <row r="535" spans="1:10">
      <c r="A535" s="26" t="s">
        <v>625</v>
      </c>
      <c r="B535" s="26">
        <v>34</v>
      </c>
      <c r="C535" s="26" t="s">
        <v>59</v>
      </c>
      <c r="D535" s="26" t="s">
        <v>60</v>
      </c>
      <c r="E535" s="27" t="s">
        <v>55</v>
      </c>
      <c r="F535" s="26" t="s">
        <v>90</v>
      </c>
      <c r="G535" s="28">
        <v>3376520</v>
      </c>
      <c r="H535" s="26">
        <v>10</v>
      </c>
      <c r="I535" s="26" t="s">
        <v>57</v>
      </c>
      <c r="J535" s="26" t="b">
        <v>1</v>
      </c>
    </row>
    <row r="536" spans="1:10">
      <c r="A536" s="26" t="s">
        <v>626</v>
      </c>
      <c r="B536" s="26">
        <v>21</v>
      </c>
      <c r="C536" s="26" t="s">
        <v>59</v>
      </c>
      <c r="D536" s="26" t="s">
        <v>54</v>
      </c>
      <c r="E536" s="27" t="s">
        <v>55</v>
      </c>
      <c r="F536" s="26" t="s">
        <v>80</v>
      </c>
      <c r="G536" s="28">
        <v>6902770</v>
      </c>
      <c r="H536" s="26">
        <v>9</v>
      </c>
      <c r="I536" s="26" t="s">
        <v>67</v>
      </c>
      <c r="J536" s="26" t="b">
        <v>1</v>
      </c>
    </row>
    <row r="537" spans="1:10">
      <c r="A537" s="26" t="s">
        <v>627</v>
      </c>
      <c r="B537" s="26">
        <v>18</v>
      </c>
      <c r="C537" s="26" t="s">
        <v>59</v>
      </c>
      <c r="D537" s="26" t="s">
        <v>60</v>
      </c>
      <c r="E537" s="27" t="s">
        <v>61</v>
      </c>
      <c r="F537" s="26" t="s">
        <v>69</v>
      </c>
      <c r="G537" s="28">
        <v>2351815</v>
      </c>
      <c r="H537" s="26">
        <v>3</v>
      </c>
      <c r="I537" s="26" t="s">
        <v>63</v>
      </c>
      <c r="J537" s="26" t="b">
        <v>0</v>
      </c>
    </row>
    <row r="538" spans="1:10">
      <c r="A538" s="26" t="s">
        <v>628</v>
      </c>
      <c r="B538" s="26">
        <v>50</v>
      </c>
      <c r="C538" s="26" t="s">
        <v>53</v>
      </c>
      <c r="D538" s="26" t="s">
        <v>60</v>
      </c>
      <c r="E538" s="27" t="s">
        <v>55</v>
      </c>
      <c r="F538" s="26" t="s">
        <v>98</v>
      </c>
      <c r="G538" s="28">
        <v>1917815</v>
      </c>
      <c r="H538" s="26">
        <v>9</v>
      </c>
      <c r="I538" s="26" t="s">
        <v>60</v>
      </c>
      <c r="J538" s="26" t="b">
        <v>0</v>
      </c>
    </row>
    <row r="539" spans="1:10">
      <c r="A539" s="26" t="s">
        <v>629</v>
      </c>
      <c r="B539" s="26">
        <v>31</v>
      </c>
      <c r="C539" s="26" t="s">
        <v>59</v>
      </c>
      <c r="D539" s="26" t="s">
        <v>54</v>
      </c>
      <c r="E539" s="27" t="s">
        <v>65</v>
      </c>
      <c r="F539" s="26" t="s">
        <v>140</v>
      </c>
      <c r="G539" s="28">
        <v>5743370</v>
      </c>
      <c r="H539" s="26">
        <v>2</v>
      </c>
      <c r="I539" s="26" t="s">
        <v>67</v>
      </c>
      <c r="J539" s="26" t="b">
        <v>1</v>
      </c>
    </row>
    <row r="540" spans="1:10">
      <c r="A540" s="26" t="s">
        <v>630</v>
      </c>
      <c r="B540" s="26">
        <v>45</v>
      </c>
      <c r="C540" s="26" t="s">
        <v>59</v>
      </c>
      <c r="D540" s="26" t="s">
        <v>60</v>
      </c>
      <c r="E540" s="27" t="s">
        <v>65</v>
      </c>
      <c r="F540" s="26" t="s">
        <v>102</v>
      </c>
      <c r="G540" s="28">
        <v>2369485</v>
      </c>
      <c r="H540" s="26">
        <v>3</v>
      </c>
      <c r="I540" s="26" t="s">
        <v>60</v>
      </c>
      <c r="J540" s="26" t="b">
        <v>0</v>
      </c>
    </row>
    <row r="541" spans="1:10">
      <c r="A541" s="26" t="s">
        <v>631</v>
      </c>
      <c r="B541" s="26">
        <v>29</v>
      </c>
      <c r="C541" s="26" t="s">
        <v>59</v>
      </c>
      <c r="D541" s="26" t="s">
        <v>54</v>
      </c>
      <c r="E541" s="27" t="s">
        <v>85</v>
      </c>
      <c r="F541" s="26" t="s">
        <v>113</v>
      </c>
      <c r="G541" s="28">
        <v>4584125</v>
      </c>
      <c r="H541" s="26">
        <v>4</v>
      </c>
      <c r="I541" s="26" t="s">
        <v>60</v>
      </c>
      <c r="J541" s="26" t="b">
        <v>1</v>
      </c>
    </row>
    <row r="542" spans="1:10">
      <c r="A542" s="26" t="s">
        <v>632</v>
      </c>
      <c r="B542" s="26">
        <v>36</v>
      </c>
      <c r="C542" s="26" t="s">
        <v>59</v>
      </c>
      <c r="D542" s="26" t="s">
        <v>60</v>
      </c>
      <c r="E542" s="27" t="s">
        <v>73</v>
      </c>
      <c r="F542" s="26" t="s">
        <v>66</v>
      </c>
      <c r="G542" s="28">
        <v>5550705</v>
      </c>
      <c r="H542" s="26">
        <v>11</v>
      </c>
      <c r="I542" s="26" t="s">
        <v>60</v>
      </c>
      <c r="J542" s="26" t="b">
        <v>0</v>
      </c>
    </row>
    <row r="543" spans="1:10">
      <c r="A543" s="26" t="s">
        <v>633</v>
      </c>
      <c r="B543" s="26">
        <v>27</v>
      </c>
      <c r="C543" s="26" t="s">
        <v>53</v>
      </c>
      <c r="D543" s="26" t="s">
        <v>60</v>
      </c>
      <c r="E543" s="27" t="s">
        <v>73</v>
      </c>
      <c r="F543" s="26" t="s">
        <v>167</v>
      </c>
      <c r="G543" s="28">
        <v>985800</v>
      </c>
      <c r="H543" s="26">
        <v>12</v>
      </c>
      <c r="I543" s="26" t="s">
        <v>60</v>
      </c>
      <c r="J543" s="26" t="b">
        <v>0</v>
      </c>
    </row>
    <row r="544" spans="1:10">
      <c r="A544" s="26" t="s">
        <v>634</v>
      </c>
      <c r="B544" s="26">
        <v>24</v>
      </c>
      <c r="C544" s="26" t="s">
        <v>59</v>
      </c>
      <c r="D544" s="26" t="s">
        <v>60</v>
      </c>
      <c r="E544" s="27" t="s">
        <v>55</v>
      </c>
      <c r="F544" s="26" t="s">
        <v>76</v>
      </c>
      <c r="G544" s="28">
        <v>6502715</v>
      </c>
      <c r="H544" s="26">
        <v>3</v>
      </c>
      <c r="I544" s="26" t="s">
        <v>60</v>
      </c>
      <c r="J544" s="26" t="b">
        <v>0</v>
      </c>
    </row>
    <row r="545" spans="1:10">
      <c r="A545" s="26" t="s">
        <v>635</v>
      </c>
      <c r="B545" s="26">
        <v>49</v>
      </c>
      <c r="C545" s="26" t="s">
        <v>53</v>
      </c>
      <c r="D545" s="26" t="s">
        <v>60</v>
      </c>
      <c r="E545" s="27" t="s">
        <v>78</v>
      </c>
      <c r="F545" s="26" t="s">
        <v>121</v>
      </c>
      <c r="G545" s="28">
        <v>7624760</v>
      </c>
      <c r="H545" s="26">
        <v>10</v>
      </c>
      <c r="I545" s="26" t="s">
        <v>63</v>
      </c>
      <c r="J545" s="26" t="b">
        <v>0</v>
      </c>
    </row>
    <row r="546" spans="1:10">
      <c r="A546" s="26" t="s">
        <v>636</v>
      </c>
      <c r="B546" s="26">
        <v>21</v>
      </c>
      <c r="C546" s="26" t="s">
        <v>53</v>
      </c>
      <c r="D546" s="26" t="s">
        <v>54</v>
      </c>
      <c r="E546" s="27" t="s">
        <v>61</v>
      </c>
      <c r="F546" s="26" t="s">
        <v>80</v>
      </c>
      <c r="G546" s="28">
        <v>1773820</v>
      </c>
      <c r="H546" s="26">
        <v>4</v>
      </c>
      <c r="I546" s="26" t="s">
        <v>67</v>
      </c>
      <c r="J546" s="26" t="b">
        <v>0</v>
      </c>
    </row>
    <row r="547" spans="1:10">
      <c r="A547" s="26" t="s">
        <v>637</v>
      </c>
      <c r="B547" s="26">
        <v>19</v>
      </c>
      <c r="C547" s="26" t="s">
        <v>53</v>
      </c>
      <c r="D547" s="26" t="s">
        <v>54</v>
      </c>
      <c r="E547" s="27" t="s">
        <v>73</v>
      </c>
      <c r="F547" s="26" t="s">
        <v>82</v>
      </c>
      <c r="G547" s="28">
        <v>6026710</v>
      </c>
      <c r="H547" s="26">
        <v>10</v>
      </c>
      <c r="I547" s="26" t="s">
        <v>67</v>
      </c>
      <c r="J547" s="26" t="b">
        <v>0</v>
      </c>
    </row>
    <row r="548" spans="1:10">
      <c r="A548" s="26" t="s">
        <v>638</v>
      </c>
      <c r="B548" s="26">
        <v>23</v>
      </c>
      <c r="C548" s="26" t="s">
        <v>53</v>
      </c>
      <c r="D548" s="26" t="s">
        <v>54</v>
      </c>
      <c r="E548" s="27" t="s">
        <v>55</v>
      </c>
      <c r="F548" s="26" t="s">
        <v>82</v>
      </c>
      <c r="G548" s="28">
        <v>903960</v>
      </c>
      <c r="H548" s="26">
        <v>7</v>
      </c>
      <c r="I548" s="26" t="s">
        <v>67</v>
      </c>
      <c r="J548" s="26" t="b">
        <v>1</v>
      </c>
    </row>
    <row r="549" spans="1:10">
      <c r="A549" s="26" t="s">
        <v>639</v>
      </c>
      <c r="B549" s="26">
        <v>28</v>
      </c>
      <c r="C549" s="26" t="s">
        <v>53</v>
      </c>
      <c r="D549" s="26" t="s">
        <v>60</v>
      </c>
      <c r="E549" s="27" t="s">
        <v>85</v>
      </c>
      <c r="F549" s="26" t="s">
        <v>121</v>
      </c>
      <c r="G549" s="28">
        <v>7203780</v>
      </c>
      <c r="H549" s="26">
        <v>2</v>
      </c>
      <c r="I549" s="26" t="s">
        <v>67</v>
      </c>
      <c r="J549" s="26" t="b">
        <v>0</v>
      </c>
    </row>
    <row r="550" spans="1:10">
      <c r="A550" s="26" t="s">
        <v>640</v>
      </c>
      <c r="B550" s="26">
        <v>27</v>
      </c>
      <c r="C550" s="26" t="s">
        <v>53</v>
      </c>
      <c r="D550" s="26" t="s">
        <v>60</v>
      </c>
      <c r="E550" s="27" t="s">
        <v>65</v>
      </c>
      <c r="F550" s="26" t="s">
        <v>69</v>
      </c>
      <c r="G550" s="28">
        <v>1812260</v>
      </c>
      <c r="H550" s="26">
        <v>7</v>
      </c>
      <c r="I550" s="26" t="s">
        <v>57</v>
      </c>
      <c r="J550" s="26" t="b">
        <v>1</v>
      </c>
    </row>
    <row r="551" spans="1:10">
      <c r="A551" s="26" t="s">
        <v>641</v>
      </c>
      <c r="B551" s="26">
        <v>47</v>
      </c>
      <c r="C551" s="26" t="s">
        <v>53</v>
      </c>
      <c r="D551" s="26" t="s">
        <v>60</v>
      </c>
      <c r="E551" s="27" t="s">
        <v>61</v>
      </c>
      <c r="F551" s="26" t="s">
        <v>167</v>
      </c>
      <c r="G551" s="28">
        <v>6149780</v>
      </c>
      <c r="H551" s="26">
        <v>8</v>
      </c>
      <c r="I551" s="26" t="s">
        <v>57</v>
      </c>
      <c r="J551" s="26" t="b">
        <v>1</v>
      </c>
    </row>
    <row r="552" spans="1:10">
      <c r="A552" s="26" t="s">
        <v>642</v>
      </c>
      <c r="B552" s="26">
        <v>20</v>
      </c>
      <c r="C552" s="26" t="s">
        <v>53</v>
      </c>
      <c r="D552" s="26" t="s">
        <v>60</v>
      </c>
      <c r="E552" s="27" t="s">
        <v>78</v>
      </c>
      <c r="F552" s="26" t="s">
        <v>96</v>
      </c>
      <c r="G552" s="28">
        <v>6096925</v>
      </c>
      <c r="H552" s="26">
        <v>7</v>
      </c>
      <c r="I552" s="26" t="s">
        <v>60</v>
      </c>
      <c r="J552" s="26" t="b">
        <v>1</v>
      </c>
    </row>
    <row r="553" spans="1:10">
      <c r="A553" s="26" t="s">
        <v>643</v>
      </c>
      <c r="B553" s="26">
        <v>26</v>
      </c>
      <c r="C553" s="26" t="s">
        <v>53</v>
      </c>
      <c r="D553" s="26" t="s">
        <v>60</v>
      </c>
      <c r="E553" s="27" t="s">
        <v>78</v>
      </c>
      <c r="F553" s="26" t="s">
        <v>98</v>
      </c>
      <c r="G553" s="28">
        <v>1767465</v>
      </c>
      <c r="H553" s="26">
        <v>7</v>
      </c>
      <c r="I553" s="26" t="s">
        <v>63</v>
      </c>
      <c r="J553" s="26" t="b">
        <v>1</v>
      </c>
    </row>
    <row r="554" spans="1:10">
      <c r="A554" s="26" t="s">
        <v>644</v>
      </c>
      <c r="B554" s="26">
        <v>49</v>
      </c>
      <c r="C554" s="26" t="s">
        <v>59</v>
      </c>
      <c r="D554" s="26" t="s">
        <v>60</v>
      </c>
      <c r="E554" s="27" t="s">
        <v>78</v>
      </c>
      <c r="F554" s="26" t="s">
        <v>113</v>
      </c>
      <c r="G554" s="28">
        <v>1704535</v>
      </c>
      <c r="H554" s="26">
        <v>4</v>
      </c>
      <c r="I554" s="26" t="s">
        <v>57</v>
      </c>
      <c r="J554" s="26" t="b">
        <v>1</v>
      </c>
    </row>
    <row r="555" spans="1:10">
      <c r="A555" s="26" t="s">
        <v>645</v>
      </c>
      <c r="B555" s="26">
        <v>39</v>
      </c>
      <c r="C555" s="26" t="s">
        <v>53</v>
      </c>
      <c r="D555" s="26" t="s">
        <v>60</v>
      </c>
      <c r="E555" s="27" t="s">
        <v>73</v>
      </c>
      <c r="F555" s="26" t="s">
        <v>137</v>
      </c>
      <c r="G555" s="28">
        <v>4808565</v>
      </c>
      <c r="H555" s="26">
        <v>12</v>
      </c>
      <c r="I555" s="26" t="s">
        <v>57</v>
      </c>
      <c r="J555" s="26" t="b">
        <v>1</v>
      </c>
    </row>
    <row r="556" spans="1:10">
      <c r="A556" s="26" t="s">
        <v>646</v>
      </c>
      <c r="B556" s="26">
        <v>22</v>
      </c>
      <c r="C556" s="26" t="s">
        <v>59</v>
      </c>
      <c r="D556" s="26" t="s">
        <v>54</v>
      </c>
      <c r="E556" s="27" t="s">
        <v>61</v>
      </c>
      <c r="F556" s="26" t="s">
        <v>140</v>
      </c>
      <c r="G556" s="28">
        <v>5938515</v>
      </c>
      <c r="H556" s="26">
        <v>3</v>
      </c>
      <c r="I556" s="26" t="s">
        <v>63</v>
      </c>
      <c r="J556" s="26" t="b">
        <v>0</v>
      </c>
    </row>
    <row r="557" spans="1:10">
      <c r="A557" s="26" t="s">
        <v>647</v>
      </c>
      <c r="B557" s="26">
        <v>25</v>
      </c>
      <c r="C557" s="26" t="s">
        <v>59</v>
      </c>
      <c r="D557" s="26" t="s">
        <v>60</v>
      </c>
      <c r="E557" s="27" t="s">
        <v>73</v>
      </c>
      <c r="F557" s="26" t="s">
        <v>113</v>
      </c>
      <c r="G557" s="28">
        <v>6740330</v>
      </c>
      <c r="H557" s="26">
        <v>11</v>
      </c>
      <c r="I557" s="26" t="s">
        <v>60</v>
      </c>
      <c r="J557" s="26" t="b">
        <v>1</v>
      </c>
    </row>
    <row r="558" spans="1:10">
      <c r="A558" s="26" t="s">
        <v>648</v>
      </c>
      <c r="B558" s="26">
        <v>30</v>
      </c>
      <c r="C558" s="26" t="s">
        <v>53</v>
      </c>
      <c r="D558" s="26" t="s">
        <v>54</v>
      </c>
      <c r="E558" s="27" t="s">
        <v>73</v>
      </c>
      <c r="F558" s="26" t="s">
        <v>66</v>
      </c>
      <c r="G558" s="28">
        <v>7581050</v>
      </c>
      <c r="H558" s="26">
        <v>9</v>
      </c>
      <c r="I558" s="26" t="s">
        <v>67</v>
      </c>
      <c r="J558" s="26" t="b">
        <v>1</v>
      </c>
    </row>
    <row r="559" spans="1:10">
      <c r="A559" s="26" t="s">
        <v>649</v>
      </c>
      <c r="B559" s="26">
        <v>19</v>
      </c>
      <c r="C559" s="26" t="s">
        <v>59</v>
      </c>
      <c r="D559" s="26" t="s">
        <v>60</v>
      </c>
      <c r="E559" s="27" t="s">
        <v>85</v>
      </c>
      <c r="F559" s="26" t="s">
        <v>167</v>
      </c>
      <c r="G559" s="28">
        <v>4466325</v>
      </c>
      <c r="H559" s="26"/>
      <c r="I559" s="26" t="s">
        <v>60</v>
      </c>
      <c r="J559" s="26" t="b">
        <v>1</v>
      </c>
    </row>
    <row r="560" spans="1:10">
      <c r="A560" s="26" t="s">
        <v>650</v>
      </c>
      <c r="B560" s="26">
        <v>35</v>
      </c>
      <c r="C560" s="26" t="s">
        <v>59</v>
      </c>
      <c r="D560" s="26" t="s">
        <v>60</v>
      </c>
      <c r="E560" s="27" t="s">
        <v>55</v>
      </c>
      <c r="F560" s="26" t="s">
        <v>134</v>
      </c>
      <c r="G560" s="28">
        <v>1640985</v>
      </c>
      <c r="H560" s="26">
        <v>12</v>
      </c>
      <c r="I560" s="26" t="s">
        <v>67</v>
      </c>
      <c r="J560" s="26" t="b">
        <v>0</v>
      </c>
    </row>
    <row r="561" spans="1:10">
      <c r="A561" s="26" t="s">
        <v>651</v>
      </c>
      <c r="B561" s="26">
        <v>45</v>
      </c>
      <c r="C561" s="26" t="s">
        <v>59</v>
      </c>
      <c r="D561" s="26" t="s">
        <v>54</v>
      </c>
      <c r="E561" s="27" t="s">
        <v>78</v>
      </c>
      <c r="F561" s="26" t="s">
        <v>86</v>
      </c>
      <c r="G561" s="28">
        <v>2532700</v>
      </c>
      <c r="H561" s="26">
        <v>3</v>
      </c>
      <c r="I561" s="26" t="s">
        <v>60</v>
      </c>
      <c r="J561" s="26" t="b">
        <v>1</v>
      </c>
    </row>
    <row r="562" spans="1:10">
      <c r="A562" s="26" t="s">
        <v>652</v>
      </c>
      <c r="B562" s="26">
        <v>20</v>
      </c>
      <c r="C562" s="26" t="s">
        <v>59</v>
      </c>
      <c r="D562" s="26" t="s">
        <v>60</v>
      </c>
      <c r="E562" s="27" t="s">
        <v>61</v>
      </c>
      <c r="F562" s="26" t="s">
        <v>56</v>
      </c>
      <c r="G562" s="28">
        <v>6555260</v>
      </c>
      <c r="H562" s="26">
        <v>6</v>
      </c>
      <c r="I562" s="26" t="s">
        <v>57</v>
      </c>
      <c r="J562" s="26" t="b">
        <v>0</v>
      </c>
    </row>
    <row r="563" spans="1:10">
      <c r="A563" s="26" t="s">
        <v>653</v>
      </c>
      <c r="B563" s="26">
        <v>48</v>
      </c>
      <c r="C563" s="26" t="s">
        <v>59</v>
      </c>
      <c r="D563" s="26" t="s">
        <v>54</v>
      </c>
      <c r="E563" s="27" t="s">
        <v>55</v>
      </c>
      <c r="F563" s="26" t="s">
        <v>56</v>
      </c>
      <c r="G563" s="28">
        <v>5602940</v>
      </c>
      <c r="H563" s="26">
        <v>10</v>
      </c>
      <c r="I563" s="26" t="s">
        <v>63</v>
      </c>
      <c r="J563" s="26" t="b">
        <v>1</v>
      </c>
    </row>
    <row r="564" spans="1:10">
      <c r="A564" s="26" t="s">
        <v>654</v>
      </c>
      <c r="B564" s="26">
        <v>23</v>
      </c>
      <c r="C564" s="26" t="s">
        <v>59</v>
      </c>
      <c r="D564" s="26" t="s">
        <v>54</v>
      </c>
      <c r="E564" s="27" t="s">
        <v>78</v>
      </c>
      <c r="F564" s="26" t="s">
        <v>92</v>
      </c>
      <c r="G564" s="28">
        <v>4197710</v>
      </c>
      <c r="H564" s="26">
        <v>2</v>
      </c>
      <c r="I564" s="26" t="s">
        <v>57</v>
      </c>
      <c r="J564" s="26" t="b">
        <v>1</v>
      </c>
    </row>
    <row r="565" spans="1:10">
      <c r="A565" s="26" t="s">
        <v>655</v>
      </c>
      <c r="B565" s="26">
        <v>49</v>
      </c>
      <c r="C565" s="26" t="s">
        <v>53</v>
      </c>
      <c r="D565" s="26" t="s">
        <v>60</v>
      </c>
      <c r="E565" s="27" t="s">
        <v>65</v>
      </c>
      <c r="F565" s="26" t="s">
        <v>104</v>
      </c>
      <c r="G565" s="28">
        <v>5770030</v>
      </c>
      <c r="H565" s="26">
        <v>11</v>
      </c>
      <c r="I565" s="26" t="s">
        <v>57</v>
      </c>
      <c r="J565" s="26" t="b">
        <v>0</v>
      </c>
    </row>
    <row r="566" spans="1:10">
      <c r="A566" s="26" t="s">
        <v>656</v>
      </c>
      <c r="B566" s="26">
        <v>23</v>
      </c>
      <c r="C566" s="26" t="s">
        <v>53</v>
      </c>
      <c r="D566" s="26" t="s">
        <v>54</v>
      </c>
      <c r="E566" s="27" t="s">
        <v>55</v>
      </c>
      <c r="F566" s="26" t="s">
        <v>98</v>
      </c>
      <c r="G566" s="28">
        <v>3233145</v>
      </c>
      <c r="H566" s="26">
        <v>3</v>
      </c>
      <c r="I566" s="26" t="s">
        <v>63</v>
      </c>
      <c r="J566" s="26" t="b">
        <v>1</v>
      </c>
    </row>
    <row r="567" spans="1:10">
      <c r="A567" s="26" t="s">
        <v>657</v>
      </c>
      <c r="B567" s="26">
        <v>39</v>
      </c>
      <c r="C567" s="26" t="s">
        <v>59</v>
      </c>
      <c r="D567" s="26" t="s">
        <v>54</v>
      </c>
      <c r="E567" s="27" t="s">
        <v>85</v>
      </c>
      <c r="F567" s="26" t="s">
        <v>56</v>
      </c>
      <c r="G567" s="28">
        <v>2529910</v>
      </c>
      <c r="H567" s="26">
        <v>8</v>
      </c>
      <c r="I567" s="26" t="s">
        <v>60</v>
      </c>
      <c r="J567" s="26" t="b">
        <v>0</v>
      </c>
    </row>
    <row r="568" spans="1:10">
      <c r="A568" s="26" t="s">
        <v>658</v>
      </c>
      <c r="B568" s="26">
        <v>45</v>
      </c>
      <c r="C568" s="26" t="s">
        <v>59</v>
      </c>
      <c r="D568" s="26" t="s">
        <v>60</v>
      </c>
      <c r="E568" s="27" t="s">
        <v>61</v>
      </c>
      <c r="F568" s="26" t="s">
        <v>88</v>
      </c>
      <c r="G568" s="28">
        <v>5657190</v>
      </c>
      <c r="H568" s="26">
        <v>7</v>
      </c>
      <c r="I568" s="26" t="s">
        <v>67</v>
      </c>
      <c r="J568" s="26" t="b">
        <v>1</v>
      </c>
    </row>
    <row r="569" spans="1:10">
      <c r="A569" s="26" t="s">
        <v>659</v>
      </c>
      <c r="B569" s="26">
        <v>31</v>
      </c>
      <c r="C569" s="26" t="s">
        <v>59</v>
      </c>
      <c r="D569" s="26" t="s">
        <v>60</v>
      </c>
      <c r="E569" s="27" t="s">
        <v>65</v>
      </c>
      <c r="F569" s="26" t="s">
        <v>121</v>
      </c>
      <c r="G569" s="28">
        <v>2207665</v>
      </c>
      <c r="H569" s="26">
        <v>3</v>
      </c>
      <c r="I569" s="26" t="s">
        <v>60</v>
      </c>
      <c r="J569" s="26" t="b">
        <v>1</v>
      </c>
    </row>
    <row r="570" spans="1:10">
      <c r="A570" s="26" t="s">
        <v>660</v>
      </c>
      <c r="B570" s="26">
        <v>19</v>
      </c>
      <c r="C570" s="26" t="s">
        <v>53</v>
      </c>
      <c r="D570" s="26" t="s">
        <v>54</v>
      </c>
      <c r="E570" s="27" t="s">
        <v>78</v>
      </c>
      <c r="F570" s="26" t="s">
        <v>98</v>
      </c>
      <c r="G570" s="28">
        <v>6970660</v>
      </c>
      <c r="H570" s="26">
        <v>3</v>
      </c>
      <c r="I570" s="26" t="s">
        <v>60</v>
      </c>
      <c r="J570" s="26" t="b">
        <v>1</v>
      </c>
    </row>
    <row r="571" spans="1:10">
      <c r="A571" s="26" t="s">
        <v>661</v>
      </c>
      <c r="B571" s="26">
        <v>27</v>
      </c>
      <c r="C571" s="26" t="s">
        <v>59</v>
      </c>
      <c r="D571" s="26" t="s">
        <v>54</v>
      </c>
      <c r="E571" s="27" t="s">
        <v>85</v>
      </c>
      <c r="F571" s="26" t="s">
        <v>56</v>
      </c>
      <c r="G571" s="28">
        <v>3744180</v>
      </c>
      <c r="H571" s="26">
        <v>12</v>
      </c>
      <c r="I571" s="26" t="s">
        <v>60</v>
      </c>
      <c r="J571" s="26" t="b">
        <v>1</v>
      </c>
    </row>
    <row r="572" spans="1:10">
      <c r="A572" s="26" t="s">
        <v>662</v>
      </c>
      <c r="B572" s="26">
        <v>32</v>
      </c>
      <c r="C572" s="26" t="s">
        <v>53</v>
      </c>
      <c r="D572" s="26" t="s">
        <v>54</v>
      </c>
      <c r="E572" s="27" t="s">
        <v>61</v>
      </c>
      <c r="F572" s="26" t="s">
        <v>134</v>
      </c>
      <c r="G572" s="28">
        <v>3870815</v>
      </c>
      <c r="H572" s="26">
        <v>5</v>
      </c>
      <c r="I572" s="26" t="s">
        <v>67</v>
      </c>
      <c r="J572" s="26" t="b">
        <v>1</v>
      </c>
    </row>
    <row r="573" spans="1:10">
      <c r="A573" s="26" t="s">
        <v>662</v>
      </c>
      <c r="B573" s="26">
        <v>32</v>
      </c>
      <c r="C573" s="26" t="s">
        <v>53</v>
      </c>
      <c r="D573" s="26" t="s">
        <v>54</v>
      </c>
      <c r="E573" s="27" t="s">
        <v>61</v>
      </c>
      <c r="F573" s="26" t="s">
        <v>134</v>
      </c>
      <c r="G573" s="28">
        <v>3870815</v>
      </c>
      <c r="H573" s="26">
        <v>5</v>
      </c>
      <c r="I573" s="26" t="s">
        <v>67</v>
      </c>
      <c r="J573" s="26" t="b">
        <v>1</v>
      </c>
    </row>
    <row r="574" spans="1:10">
      <c r="A574" s="26" t="s">
        <v>663</v>
      </c>
      <c r="B574" s="26">
        <v>24</v>
      </c>
      <c r="C574" s="26" t="s">
        <v>59</v>
      </c>
      <c r="D574" s="26" t="s">
        <v>54</v>
      </c>
      <c r="E574" s="27" t="s">
        <v>65</v>
      </c>
      <c r="F574" s="26" t="s">
        <v>69</v>
      </c>
      <c r="G574" s="28">
        <v>6778150</v>
      </c>
      <c r="H574" s="26">
        <v>7</v>
      </c>
      <c r="I574" s="26" t="s">
        <v>60</v>
      </c>
      <c r="J574" s="26" t="b">
        <v>1</v>
      </c>
    </row>
    <row r="575" spans="1:10">
      <c r="A575" s="26" t="s">
        <v>664</v>
      </c>
      <c r="B575" s="26">
        <v>22</v>
      </c>
      <c r="C575" s="26" t="s">
        <v>59</v>
      </c>
      <c r="D575" s="26" t="s">
        <v>54</v>
      </c>
      <c r="E575" s="27" t="s">
        <v>73</v>
      </c>
      <c r="F575" s="26" t="s">
        <v>121</v>
      </c>
      <c r="G575" s="28">
        <v>4297995</v>
      </c>
      <c r="H575" s="26">
        <v>4</v>
      </c>
      <c r="I575" s="26" t="s">
        <v>57</v>
      </c>
      <c r="J575" s="26" t="b">
        <v>1</v>
      </c>
    </row>
    <row r="576" spans="1:10">
      <c r="A576" s="26" t="s">
        <v>665</v>
      </c>
      <c r="B576" s="26">
        <v>46</v>
      </c>
      <c r="C576" s="26" t="s">
        <v>59</v>
      </c>
      <c r="D576" s="26" t="s">
        <v>60</v>
      </c>
      <c r="E576" s="27" t="s">
        <v>85</v>
      </c>
      <c r="F576" s="26" t="s">
        <v>98</v>
      </c>
      <c r="G576" s="28">
        <v>6911915</v>
      </c>
      <c r="H576" s="26">
        <v>6</v>
      </c>
      <c r="I576" s="26" t="s">
        <v>60</v>
      </c>
      <c r="J576" s="26" t="b">
        <v>0</v>
      </c>
    </row>
    <row r="577" spans="1:10">
      <c r="A577" s="26" t="s">
        <v>666</v>
      </c>
      <c r="B577" s="26">
        <v>37</v>
      </c>
      <c r="C577" s="26" t="s">
        <v>53</v>
      </c>
      <c r="D577" s="26" t="s">
        <v>54</v>
      </c>
      <c r="E577" s="27" t="s">
        <v>55</v>
      </c>
      <c r="F577" s="26" t="s">
        <v>100</v>
      </c>
      <c r="G577" s="28">
        <v>3763245</v>
      </c>
      <c r="H577" s="26">
        <v>6</v>
      </c>
      <c r="I577" s="26" t="s">
        <v>60</v>
      </c>
      <c r="J577" s="26" t="b">
        <v>1</v>
      </c>
    </row>
    <row r="578" spans="1:10">
      <c r="A578" s="26" t="s">
        <v>667</v>
      </c>
      <c r="B578" s="26">
        <v>34</v>
      </c>
      <c r="C578" s="26" t="s">
        <v>59</v>
      </c>
      <c r="D578" s="26" t="s">
        <v>60</v>
      </c>
      <c r="E578" s="27" t="s">
        <v>73</v>
      </c>
      <c r="F578" s="26" t="s">
        <v>140</v>
      </c>
      <c r="G578" s="28">
        <v>6092895</v>
      </c>
      <c r="H578" s="26">
        <v>8</v>
      </c>
      <c r="I578" s="26" t="s">
        <v>63</v>
      </c>
      <c r="J578" s="26" t="b">
        <v>0</v>
      </c>
    </row>
    <row r="579" spans="1:10">
      <c r="A579" s="26" t="s">
        <v>668</v>
      </c>
      <c r="B579" s="26">
        <v>32</v>
      </c>
      <c r="C579" s="26" t="s">
        <v>59</v>
      </c>
      <c r="D579" s="26" t="s">
        <v>54</v>
      </c>
      <c r="E579" s="27" t="s">
        <v>55</v>
      </c>
      <c r="F579" s="26" t="s">
        <v>121</v>
      </c>
      <c r="G579" s="28">
        <v>2597955</v>
      </c>
      <c r="H579" s="26">
        <v>2</v>
      </c>
      <c r="I579" s="26" t="s">
        <v>57</v>
      </c>
      <c r="J579" s="26" t="b">
        <v>1</v>
      </c>
    </row>
    <row r="580" spans="1:10">
      <c r="A580" s="26" t="s">
        <v>669</v>
      </c>
      <c r="B580" s="26">
        <v>44</v>
      </c>
      <c r="C580" s="26" t="s">
        <v>59</v>
      </c>
      <c r="D580" s="26" t="s">
        <v>60</v>
      </c>
      <c r="E580" s="27" t="s">
        <v>65</v>
      </c>
      <c r="F580" s="26" t="s">
        <v>56</v>
      </c>
      <c r="G580" s="28">
        <v>5025410</v>
      </c>
      <c r="H580" s="26">
        <v>2</v>
      </c>
      <c r="I580" s="26" t="s">
        <v>57</v>
      </c>
      <c r="J580" s="26" t="b">
        <v>0</v>
      </c>
    </row>
    <row r="581" spans="1:10">
      <c r="A581" s="26" t="s">
        <v>670</v>
      </c>
      <c r="B581" s="26">
        <v>24</v>
      </c>
      <c r="C581" s="26" t="s">
        <v>53</v>
      </c>
      <c r="D581" s="26" t="s">
        <v>54</v>
      </c>
      <c r="E581" s="27" t="s">
        <v>78</v>
      </c>
      <c r="F581" s="26" t="s">
        <v>82</v>
      </c>
      <c r="G581" s="28">
        <v>2469150</v>
      </c>
      <c r="H581" s="26">
        <v>11</v>
      </c>
      <c r="I581" s="26" t="s">
        <v>63</v>
      </c>
      <c r="J581" s="26" t="b">
        <v>0</v>
      </c>
    </row>
    <row r="582" spans="1:10">
      <c r="A582" s="26" t="s">
        <v>671</v>
      </c>
      <c r="B582" s="26">
        <v>22</v>
      </c>
      <c r="C582" s="26" t="s">
        <v>59</v>
      </c>
      <c r="D582" s="26" t="s">
        <v>54</v>
      </c>
      <c r="E582" s="27" t="s">
        <v>78</v>
      </c>
      <c r="F582" s="26" t="s">
        <v>86</v>
      </c>
      <c r="G582" s="28">
        <v>5028045</v>
      </c>
      <c r="H582" s="26">
        <v>5</v>
      </c>
      <c r="I582" s="26" t="s">
        <v>60</v>
      </c>
      <c r="J582" s="26" t="b">
        <v>1</v>
      </c>
    </row>
    <row r="583" spans="1:10">
      <c r="A583" s="26" t="s">
        <v>672</v>
      </c>
      <c r="B583" s="26">
        <v>37</v>
      </c>
      <c r="C583" s="26" t="s">
        <v>53</v>
      </c>
      <c r="D583" s="26" t="s">
        <v>60</v>
      </c>
      <c r="E583" s="27" t="s">
        <v>61</v>
      </c>
      <c r="F583" s="26" t="s">
        <v>134</v>
      </c>
      <c r="G583" s="28">
        <v>3082795</v>
      </c>
      <c r="H583" s="26"/>
      <c r="I583" s="26" t="s">
        <v>60</v>
      </c>
      <c r="J583" s="26" t="b">
        <v>0</v>
      </c>
    </row>
    <row r="584" spans="1:10">
      <c r="A584" s="26" t="s">
        <v>673</v>
      </c>
      <c r="B584" s="26">
        <v>41</v>
      </c>
      <c r="C584" s="26" t="s">
        <v>53</v>
      </c>
      <c r="D584" s="26" t="s">
        <v>54</v>
      </c>
      <c r="E584" s="27" t="s">
        <v>61</v>
      </c>
      <c r="F584" s="26" t="s">
        <v>134</v>
      </c>
      <c r="G584" s="28">
        <v>4451290</v>
      </c>
      <c r="H584" s="26">
        <v>7</v>
      </c>
      <c r="I584" s="26" t="s">
        <v>57</v>
      </c>
      <c r="J584" s="26" t="b">
        <v>1</v>
      </c>
    </row>
    <row r="585" spans="1:10">
      <c r="A585" s="26" t="s">
        <v>674</v>
      </c>
      <c r="B585" s="26">
        <v>32</v>
      </c>
      <c r="C585" s="26" t="s">
        <v>59</v>
      </c>
      <c r="D585" s="26" t="s">
        <v>60</v>
      </c>
      <c r="E585" s="27" t="s">
        <v>65</v>
      </c>
      <c r="F585" s="26" t="s">
        <v>66</v>
      </c>
      <c r="G585" s="28">
        <v>2514720</v>
      </c>
      <c r="H585" s="26">
        <v>7</v>
      </c>
      <c r="I585" s="26" t="s">
        <v>57</v>
      </c>
      <c r="J585" s="26" t="b">
        <v>0</v>
      </c>
    </row>
    <row r="586" spans="1:10">
      <c r="A586" s="26" t="s">
        <v>675</v>
      </c>
      <c r="B586" s="26">
        <v>37</v>
      </c>
      <c r="C586" s="26" t="s">
        <v>53</v>
      </c>
      <c r="D586" s="26" t="s">
        <v>60</v>
      </c>
      <c r="E586" s="27" t="s">
        <v>65</v>
      </c>
      <c r="F586" s="26" t="s">
        <v>109</v>
      </c>
      <c r="G586" s="28">
        <v>1441035</v>
      </c>
      <c r="H586" s="26">
        <v>6</v>
      </c>
      <c r="I586" s="26" t="s">
        <v>63</v>
      </c>
      <c r="J586" s="26" t="b">
        <v>0</v>
      </c>
    </row>
    <row r="587" spans="1:10">
      <c r="A587" s="26" t="s">
        <v>676</v>
      </c>
      <c r="B587" s="26">
        <v>41</v>
      </c>
      <c r="C587" s="26" t="s">
        <v>59</v>
      </c>
      <c r="D587" s="26" t="s">
        <v>54</v>
      </c>
      <c r="E587" s="27" t="s">
        <v>55</v>
      </c>
      <c r="F587" s="26" t="s">
        <v>62</v>
      </c>
      <c r="G587" s="28">
        <v>2238045</v>
      </c>
      <c r="H587" s="26">
        <v>12</v>
      </c>
      <c r="I587" s="26" t="s">
        <v>60</v>
      </c>
      <c r="J587" s="26" t="b">
        <v>1</v>
      </c>
    </row>
    <row r="588" spans="1:10">
      <c r="A588" s="26" t="s">
        <v>677</v>
      </c>
      <c r="B588" s="26">
        <v>37</v>
      </c>
      <c r="C588" s="26" t="s">
        <v>53</v>
      </c>
      <c r="D588" s="26" t="s">
        <v>60</v>
      </c>
      <c r="E588" s="27" t="s">
        <v>55</v>
      </c>
      <c r="F588" s="26" t="s">
        <v>76</v>
      </c>
      <c r="G588" s="28">
        <v>3927235</v>
      </c>
      <c r="H588" s="26">
        <v>12</v>
      </c>
      <c r="I588" s="26" t="s">
        <v>57</v>
      </c>
      <c r="J588" s="26" t="b">
        <v>0</v>
      </c>
    </row>
    <row r="589" spans="1:10">
      <c r="A589" s="26" t="s">
        <v>678</v>
      </c>
      <c r="B589" s="26">
        <v>43</v>
      </c>
      <c r="C589" s="26" t="s">
        <v>59</v>
      </c>
      <c r="D589" s="26" t="s">
        <v>54</v>
      </c>
      <c r="E589" s="27" t="s">
        <v>65</v>
      </c>
      <c r="F589" s="26" t="s">
        <v>88</v>
      </c>
      <c r="G589" s="28">
        <v>3249110</v>
      </c>
      <c r="H589" s="26">
        <v>12</v>
      </c>
      <c r="I589" s="26" t="s">
        <v>63</v>
      </c>
      <c r="J589" s="26" t="b">
        <v>1</v>
      </c>
    </row>
    <row r="590" spans="1:10">
      <c r="A590" s="26" t="s">
        <v>679</v>
      </c>
      <c r="B590" s="26">
        <v>49</v>
      </c>
      <c r="C590" s="26" t="s">
        <v>59</v>
      </c>
      <c r="D590" s="26" t="s">
        <v>60</v>
      </c>
      <c r="E590" s="27" t="s">
        <v>61</v>
      </c>
      <c r="F590" s="26" t="s">
        <v>102</v>
      </c>
      <c r="G590" s="28">
        <v>6380110</v>
      </c>
      <c r="H590" s="26">
        <v>6</v>
      </c>
      <c r="I590" s="26" t="s">
        <v>63</v>
      </c>
      <c r="J590" s="26" t="b">
        <v>1</v>
      </c>
    </row>
    <row r="591" spans="1:10">
      <c r="A591" s="26" t="s">
        <v>680</v>
      </c>
      <c r="B591" s="26">
        <v>27</v>
      </c>
      <c r="C591" s="26" t="s">
        <v>53</v>
      </c>
      <c r="D591" s="26" t="s">
        <v>60</v>
      </c>
      <c r="E591" s="27" t="s">
        <v>55</v>
      </c>
      <c r="F591" s="26" t="s">
        <v>62</v>
      </c>
      <c r="G591" s="28">
        <v>6014155</v>
      </c>
      <c r="H591" s="26">
        <v>2</v>
      </c>
      <c r="I591" s="26" t="s">
        <v>60</v>
      </c>
      <c r="J591" s="26" t="b">
        <v>0</v>
      </c>
    </row>
    <row r="592" spans="1:10">
      <c r="A592" s="26" t="s">
        <v>681</v>
      </c>
      <c r="B592" s="26">
        <v>41</v>
      </c>
      <c r="C592" s="26" t="s">
        <v>59</v>
      </c>
      <c r="D592" s="26" t="s">
        <v>54</v>
      </c>
      <c r="E592" s="27" t="s">
        <v>78</v>
      </c>
      <c r="F592" s="26" t="s">
        <v>90</v>
      </c>
      <c r="G592" s="28">
        <v>787090</v>
      </c>
      <c r="H592" s="26">
        <v>6</v>
      </c>
      <c r="I592" s="26" t="s">
        <v>67</v>
      </c>
      <c r="J592" s="26" t="b">
        <v>0</v>
      </c>
    </row>
    <row r="593" spans="1:10">
      <c r="A593" s="26" t="s">
        <v>682</v>
      </c>
      <c r="B593" s="26">
        <v>33</v>
      </c>
      <c r="C593" s="26" t="s">
        <v>59</v>
      </c>
      <c r="D593" s="26" t="s">
        <v>60</v>
      </c>
      <c r="E593" s="27" t="s">
        <v>85</v>
      </c>
      <c r="F593" s="26" t="s">
        <v>96</v>
      </c>
      <c r="G593" s="28">
        <v>2477210</v>
      </c>
      <c r="H593" s="26">
        <v>2</v>
      </c>
      <c r="I593" s="26" t="s">
        <v>60</v>
      </c>
      <c r="J593" s="26" t="b">
        <v>1</v>
      </c>
    </row>
    <row r="594" spans="1:10">
      <c r="A594" s="26" t="s">
        <v>683</v>
      </c>
      <c r="B594" s="26">
        <v>46</v>
      </c>
      <c r="C594" s="26" t="s">
        <v>59</v>
      </c>
      <c r="D594" s="26" t="s">
        <v>54</v>
      </c>
      <c r="E594" s="27" t="s">
        <v>61</v>
      </c>
      <c r="F594" s="26" t="s">
        <v>140</v>
      </c>
      <c r="G594" s="28">
        <v>1231165</v>
      </c>
      <c r="H594" s="26">
        <v>3</v>
      </c>
      <c r="I594" s="26" t="s">
        <v>63</v>
      </c>
      <c r="J594" s="26" t="b">
        <v>0</v>
      </c>
    </row>
    <row r="595" spans="1:10">
      <c r="A595" s="26" t="s">
        <v>684</v>
      </c>
      <c r="B595" s="26">
        <v>42</v>
      </c>
      <c r="C595" s="26" t="s">
        <v>53</v>
      </c>
      <c r="D595" s="26" t="s">
        <v>54</v>
      </c>
      <c r="E595" s="27" t="s">
        <v>73</v>
      </c>
      <c r="F595" s="26" t="s">
        <v>140</v>
      </c>
      <c r="G595" s="28">
        <v>2036080</v>
      </c>
      <c r="H595" s="26">
        <v>4</v>
      </c>
      <c r="I595" s="26" t="s">
        <v>57</v>
      </c>
      <c r="J595" s="26" t="b">
        <v>0</v>
      </c>
    </row>
    <row r="596" spans="1:10">
      <c r="A596" s="26" t="s">
        <v>685</v>
      </c>
      <c r="B596" s="26">
        <v>27</v>
      </c>
      <c r="C596" s="26" t="s">
        <v>59</v>
      </c>
      <c r="D596" s="26" t="s">
        <v>54</v>
      </c>
      <c r="E596" s="27" t="s">
        <v>78</v>
      </c>
      <c r="F596" s="26" t="s">
        <v>137</v>
      </c>
      <c r="G596" s="28">
        <v>4646125</v>
      </c>
      <c r="H596" s="26">
        <v>12</v>
      </c>
      <c r="I596" s="26" t="s">
        <v>67</v>
      </c>
      <c r="J596" s="26" t="b">
        <v>0</v>
      </c>
    </row>
    <row r="597" spans="1:10">
      <c r="A597" s="26" t="s">
        <v>686</v>
      </c>
      <c r="B597" s="26">
        <v>29</v>
      </c>
      <c r="C597" s="26" t="s">
        <v>59</v>
      </c>
      <c r="D597" s="26" t="s">
        <v>60</v>
      </c>
      <c r="E597" s="27" t="s">
        <v>55</v>
      </c>
      <c r="F597" s="26" t="s">
        <v>88</v>
      </c>
      <c r="G597" s="28">
        <v>4950390</v>
      </c>
      <c r="H597" s="26">
        <v>9</v>
      </c>
      <c r="I597" s="26" t="s">
        <v>67</v>
      </c>
      <c r="J597" s="26" t="b">
        <v>1</v>
      </c>
    </row>
    <row r="598" spans="1:10">
      <c r="A598" s="26" t="s">
        <v>687</v>
      </c>
      <c r="B598" s="26">
        <v>38</v>
      </c>
      <c r="C598" s="26" t="s">
        <v>59</v>
      </c>
      <c r="D598" s="26" t="s">
        <v>60</v>
      </c>
      <c r="E598" s="27" t="s">
        <v>73</v>
      </c>
      <c r="F598" s="26" t="s">
        <v>98</v>
      </c>
      <c r="G598" s="28">
        <v>7385440</v>
      </c>
      <c r="H598" s="26">
        <v>8</v>
      </c>
      <c r="I598" s="26" t="s">
        <v>57</v>
      </c>
      <c r="J598" s="26" t="b">
        <v>0</v>
      </c>
    </row>
    <row r="599" spans="1:10">
      <c r="A599" s="26" t="s">
        <v>688</v>
      </c>
      <c r="B599" s="26">
        <v>21</v>
      </c>
      <c r="C599" s="26" t="s">
        <v>59</v>
      </c>
      <c r="D599" s="26" t="s">
        <v>54</v>
      </c>
      <c r="E599" s="27" t="s">
        <v>65</v>
      </c>
      <c r="F599" s="26" t="s">
        <v>56</v>
      </c>
      <c r="G599" s="28">
        <v>4665655</v>
      </c>
      <c r="H599" s="26">
        <v>9</v>
      </c>
      <c r="I599" s="26" t="s">
        <v>60</v>
      </c>
      <c r="J599" s="26" t="b">
        <v>0</v>
      </c>
    </row>
    <row r="600" spans="1:10">
      <c r="A600" s="26" t="s">
        <v>689</v>
      </c>
      <c r="B600" s="26">
        <v>18</v>
      </c>
      <c r="C600" s="26" t="s">
        <v>59</v>
      </c>
      <c r="D600" s="26" t="s">
        <v>54</v>
      </c>
      <c r="E600" s="27" t="s">
        <v>65</v>
      </c>
      <c r="F600" s="26" t="s">
        <v>98</v>
      </c>
      <c r="G600" s="28">
        <v>5870005</v>
      </c>
      <c r="H600" s="26">
        <v>5</v>
      </c>
      <c r="I600" s="26" t="s">
        <v>63</v>
      </c>
      <c r="J600" s="26" t="b">
        <v>1</v>
      </c>
    </row>
    <row r="601" spans="1:10">
      <c r="A601" s="26" t="s">
        <v>690</v>
      </c>
      <c r="B601" s="26">
        <v>44</v>
      </c>
      <c r="C601" s="26" t="s">
        <v>53</v>
      </c>
      <c r="D601" s="26" t="s">
        <v>54</v>
      </c>
      <c r="E601" s="27" t="s">
        <v>65</v>
      </c>
      <c r="F601" s="26" t="s">
        <v>82</v>
      </c>
      <c r="G601" s="28">
        <v>4871960</v>
      </c>
      <c r="H601" s="26">
        <v>6</v>
      </c>
      <c r="I601" s="26" t="s">
        <v>60</v>
      </c>
      <c r="J601" s="26" t="b">
        <v>1</v>
      </c>
    </row>
    <row r="602" spans="1:10">
      <c r="A602" s="26" t="s">
        <v>691</v>
      </c>
      <c r="B602" s="26">
        <v>22</v>
      </c>
      <c r="C602" s="26" t="s">
        <v>59</v>
      </c>
      <c r="D602" s="26" t="s">
        <v>54</v>
      </c>
      <c r="E602" s="27" t="s">
        <v>85</v>
      </c>
      <c r="F602" s="26" t="s">
        <v>66</v>
      </c>
      <c r="G602" s="28">
        <v>3268950</v>
      </c>
      <c r="H602" s="26">
        <v>12</v>
      </c>
      <c r="I602" s="26" t="s">
        <v>57</v>
      </c>
      <c r="J602" s="26" t="b">
        <v>0</v>
      </c>
    </row>
    <row r="603" spans="1:10">
      <c r="A603" s="26" t="s">
        <v>692</v>
      </c>
      <c r="B603" s="26">
        <v>18</v>
      </c>
      <c r="C603" s="26" t="s">
        <v>53</v>
      </c>
      <c r="D603" s="26" t="s">
        <v>54</v>
      </c>
      <c r="E603" s="27" t="s">
        <v>78</v>
      </c>
      <c r="F603" s="26" t="s">
        <v>62</v>
      </c>
      <c r="G603" s="28">
        <v>3383030</v>
      </c>
      <c r="H603" s="26">
        <v>4</v>
      </c>
      <c r="I603" s="26" t="s">
        <v>67</v>
      </c>
      <c r="J603" s="26" t="b">
        <v>0</v>
      </c>
    </row>
    <row r="604" spans="1:10">
      <c r="A604" s="26" t="s">
        <v>693</v>
      </c>
      <c r="B604" s="26">
        <v>24</v>
      </c>
      <c r="C604" s="26" t="s">
        <v>53</v>
      </c>
      <c r="D604" s="26" t="s">
        <v>54</v>
      </c>
      <c r="E604" s="27" t="s">
        <v>78</v>
      </c>
      <c r="F604" s="26" t="s">
        <v>88</v>
      </c>
      <c r="G604" s="28">
        <v>6574790</v>
      </c>
      <c r="H604" s="26">
        <v>5</v>
      </c>
      <c r="I604" s="26" t="s">
        <v>57</v>
      </c>
      <c r="J604" s="26" t="b">
        <v>0</v>
      </c>
    </row>
    <row r="605" spans="1:10">
      <c r="A605" s="26" t="s">
        <v>694</v>
      </c>
      <c r="B605" s="26">
        <v>28</v>
      </c>
      <c r="C605" s="26" t="s">
        <v>59</v>
      </c>
      <c r="D605" s="26" t="s">
        <v>60</v>
      </c>
      <c r="E605" s="27" t="s">
        <v>65</v>
      </c>
      <c r="F605" s="26" t="s">
        <v>86</v>
      </c>
      <c r="G605" s="28">
        <v>6676625</v>
      </c>
      <c r="H605" s="26">
        <v>11</v>
      </c>
      <c r="I605" s="26" t="s">
        <v>67</v>
      </c>
      <c r="J605" s="26" t="b">
        <v>1</v>
      </c>
    </row>
    <row r="606" spans="1:10">
      <c r="A606" s="26" t="s">
        <v>695</v>
      </c>
      <c r="B606" s="26">
        <v>24</v>
      </c>
      <c r="C606" s="26" t="s">
        <v>59</v>
      </c>
      <c r="D606" s="26" t="s">
        <v>60</v>
      </c>
      <c r="E606" s="27" t="s">
        <v>85</v>
      </c>
      <c r="F606" s="26" t="s">
        <v>82</v>
      </c>
      <c r="G606" s="28">
        <v>2525725</v>
      </c>
      <c r="H606" s="26">
        <v>11</v>
      </c>
      <c r="I606" s="26" t="s">
        <v>60</v>
      </c>
      <c r="J606" s="26" t="b">
        <v>0</v>
      </c>
    </row>
    <row r="607" spans="1:10">
      <c r="A607" s="26" t="s">
        <v>696</v>
      </c>
      <c r="B607" s="26">
        <v>40</v>
      </c>
      <c r="C607" s="26" t="s">
        <v>53</v>
      </c>
      <c r="D607" s="26" t="s">
        <v>54</v>
      </c>
      <c r="E607" s="27" t="s">
        <v>85</v>
      </c>
      <c r="F607" s="26" t="s">
        <v>113</v>
      </c>
      <c r="G607" s="28">
        <v>3250040</v>
      </c>
      <c r="H607" s="26">
        <v>2</v>
      </c>
      <c r="I607" s="26" t="s">
        <v>57</v>
      </c>
      <c r="J607" s="26" t="b">
        <v>0</v>
      </c>
    </row>
    <row r="608" spans="1:10">
      <c r="A608" s="26" t="s">
        <v>697</v>
      </c>
      <c r="B608" s="26">
        <v>50</v>
      </c>
      <c r="C608" s="26" t="s">
        <v>59</v>
      </c>
      <c r="D608" s="26" t="s">
        <v>60</v>
      </c>
      <c r="E608" s="27" t="s">
        <v>61</v>
      </c>
      <c r="F608" s="26" t="s">
        <v>137</v>
      </c>
      <c r="G608" s="28">
        <v>1518535</v>
      </c>
      <c r="H608" s="26">
        <v>2</v>
      </c>
      <c r="I608" s="26" t="s">
        <v>67</v>
      </c>
      <c r="J608" s="26" t="b">
        <v>1</v>
      </c>
    </row>
    <row r="609" spans="1:10">
      <c r="A609" s="26" t="s">
        <v>698</v>
      </c>
      <c r="B609" s="26">
        <v>49</v>
      </c>
      <c r="C609" s="26" t="s">
        <v>59</v>
      </c>
      <c r="D609" s="26" t="s">
        <v>54</v>
      </c>
      <c r="E609" s="27" t="s">
        <v>78</v>
      </c>
      <c r="F609" s="26" t="s">
        <v>76</v>
      </c>
      <c r="G609" s="28">
        <v>2983905</v>
      </c>
      <c r="H609" s="26">
        <v>9</v>
      </c>
      <c r="I609" s="26" t="s">
        <v>63</v>
      </c>
      <c r="J609" s="26" t="b">
        <v>1</v>
      </c>
    </row>
    <row r="610" spans="1:10">
      <c r="A610" s="26" t="s">
        <v>699</v>
      </c>
      <c r="B610" s="26">
        <v>35</v>
      </c>
      <c r="C610" s="26" t="s">
        <v>59</v>
      </c>
      <c r="D610" s="26" t="s">
        <v>54</v>
      </c>
      <c r="E610" s="27" t="s">
        <v>55</v>
      </c>
      <c r="F610" s="26" t="s">
        <v>98</v>
      </c>
      <c r="G610" s="28">
        <v>2353055</v>
      </c>
      <c r="H610" s="26">
        <v>8</v>
      </c>
      <c r="I610" s="26" t="s">
        <v>63</v>
      </c>
      <c r="J610" s="26" t="b">
        <v>0</v>
      </c>
    </row>
    <row r="611" spans="1:10">
      <c r="A611" s="26" t="s">
        <v>700</v>
      </c>
      <c r="B611" s="26">
        <v>25</v>
      </c>
      <c r="C611" s="26" t="s">
        <v>53</v>
      </c>
      <c r="D611" s="26" t="s">
        <v>60</v>
      </c>
      <c r="E611" s="27" t="s">
        <v>55</v>
      </c>
      <c r="F611" s="26" t="s">
        <v>71</v>
      </c>
      <c r="G611" s="28">
        <v>3708840</v>
      </c>
      <c r="H611" s="26">
        <v>8</v>
      </c>
      <c r="I611" s="26" t="s">
        <v>63</v>
      </c>
      <c r="J611" s="26" t="b">
        <v>0</v>
      </c>
    </row>
    <row r="612" spans="1:10">
      <c r="A612" s="26" t="s">
        <v>701</v>
      </c>
      <c r="B612" s="26">
        <v>40</v>
      </c>
      <c r="C612" s="26" t="s">
        <v>53</v>
      </c>
      <c r="D612" s="26" t="s">
        <v>60</v>
      </c>
      <c r="E612" s="27" t="s">
        <v>55</v>
      </c>
      <c r="F612" s="26" t="s">
        <v>82</v>
      </c>
      <c r="G612" s="28">
        <v>4745635</v>
      </c>
      <c r="H612" s="26">
        <v>4</v>
      </c>
      <c r="I612" s="26" t="s">
        <v>63</v>
      </c>
      <c r="J612" s="26" t="b">
        <v>0</v>
      </c>
    </row>
    <row r="613" spans="1:10">
      <c r="A613" s="26" t="s">
        <v>702</v>
      </c>
      <c r="B613" s="26">
        <v>40</v>
      </c>
      <c r="C613" s="26" t="s">
        <v>53</v>
      </c>
      <c r="D613" s="26" t="s">
        <v>60</v>
      </c>
      <c r="E613" s="27" t="s">
        <v>78</v>
      </c>
      <c r="F613" s="26" t="s">
        <v>98</v>
      </c>
      <c r="G613" s="28">
        <v>5740890</v>
      </c>
      <c r="H613" s="26">
        <v>11</v>
      </c>
      <c r="I613" s="26" t="s">
        <v>57</v>
      </c>
      <c r="J613" s="26" t="b">
        <v>1</v>
      </c>
    </row>
    <row r="614" spans="1:10">
      <c r="A614" s="26" t="s">
        <v>703</v>
      </c>
      <c r="B614" s="26">
        <v>50</v>
      </c>
      <c r="C614" s="26" t="s">
        <v>59</v>
      </c>
      <c r="D614" s="26" t="s">
        <v>54</v>
      </c>
      <c r="E614" s="27" t="s">
        <v>61</v>
      </c>
      <c r="F614" s="26" t="s">
        <v>109</v>
      </c>
      <c r="G614" s="28">
        <v>5371990</v>
      </c>
      <c r="H614" s="26">
        <v>6</v>
      </c>
      <c r="I614" s="26" t="s">
        <v>60</v>
      </c>
      <c r="J614" s="26" t="b">
        <v>0</v>
      </c>
    </row>
    <row r="615" spans="1:10">
      <c r="A615" s="26" t="s">
        <v>704</v>
      </c>
      <c r="B615" s="26">
        <v>24</v>
      </c>
      <c r="C615" s="26" t="s">
        <v>59</v>
      </c>
      <c r="D615" s="26" t="s">
        <v>54</v>
      </c>
      <c r="E615" s="27" t="s">
        <v>61</v>
      </c>
      <c r="F615" s="26" t="s">
        <v>100</v>
      </c>
      <c r="G615" s="28">
        <v>4535920</v>
      </c>
      <c r="H615" s="26">
        <v>5</v>
      </c>
      <c r="I615" s="26" t="s">
        <v>57</v>
      </c>
      <c r="J615" s="26" t="b">
        <v>1</v>
      </c>
    </row>
    <row r="616" spans="1:10">
      <c r="A616" s="26" t="s">
        <v>705</v>
      </c>
      <c r="B616" s="26">
        <v>30</v>
      </c>
      <c r="C616" s="26" t="s">
        <v>53</v>
      </c>
      <c r="D616" s="26" t="s">
        <v>54</v>
      </c>
      <c r="E616" s="27" t="s">
        <v>55</v>
      </c>
      <c r="F616" s="26" t="s">
        <v>140</v>
      </c>
      <c r="G616" s="28">
        <v>1595105</v>
      </c>
      <c r="H616" s="26">
        <v>12</v>
      </c>
      <c r="I616" s="26" t="s">
        <v>63</v>
      </c>
      <c r="J616" s="26" t="b">
        <v>1</v>
      </c>
    </row>
    <row r="617" spans="1:10">
      <c r="A617" s="26" t="s">
        <v>706</v>
      </c>
      <c r="B617" s="26">
        <v>32</v>
      </c>
      <c r="C617" s="26" t="s">
        <v>53</v>
      </c>
      <c r="D617" s="26" t="s">
        <v>60</v>
      </c>
      <c r="E617" s="27" t="s">
        <v>73</v>
      </c>
      <c r="F617" s="26" t="s">
        <v>69</v>
      </c>
      <c r="G617" s="28">
        <v>4398590</v>
      </c>
      <c r="H617" s="26">
        <v>4</v>
      </c>
      <c r="I617" s="26" t="s">
        <v>57</v>
      </c>
      <c r="J617" s="26" t="b">
        <v>1</v>
      </c>
    </row>
    <row r="618" spans="1:10">
      <c r="A618" s="26" t="s">
        <v>707</v>
      </c>
      <c r="B618" s="26">
        <v>48</v>
      </c>
      <c r="C618" s="26" t="s">
        <v>53</v>
      </c>
      <c r="D618" s="26" t="s">
        <v>60</v>
      </c>
      <c r="E618" s="27" t="s">
        <v>65</v>
      </c>
      <c r="F618" s="26" t="s">
        <v>137</v>
      </c>
      <c r="G618" s="28">
        <v>797320</v>
      </c>
      <c r="H618" s="26"/>
      <c r="I618" s="26" t="s">
        <v>60</v>
      </c>
      <c r="J618" s="26" t="b">
        <v>1</v>
      </c>
    </row>
    <row r="619" spans="1:10">
      <c r="A619" s="26" t="s">
        <v>708</v>
      </c>
      <c r="B619" s="26">
        <v>44</v>
      </c>
      <c r="C619" s="26" t="s">
        <v>53</v>
      </c>
      <c r="D619" s="26" t="s">
        <v>60</v>
      </c>
      <c r="E619" s="27" t="s">
        <v>65</v>
      </c>
      <c r="F619" s="26" t="s">
        <v>86</v>
      </c>
      <c r="G619" s="28">
        <v>6288350</v>
      </c>
      <c r="H619" s="26">
        <v>12</v>
      </c>
      <c r="I619" s="26" t="s">
        <v>67</v>
      </c>
      <c r="J619" s="26" t="b">
        <v>1</v>
      </c>
    </row>
    <row r="620" spans="1:10">
      <c r="A620" s="26" t="s">
        <v>709</v>
      </c>
      <c r="B620" s="26">
        <v>19</v>
      </c>
      <c r="C620" s="26" t="s">
        <v>53</v>
      </c>
      <c r="D620" s="26" t="s">
        <v>60</v>
      </c>
      <c r="E620" s="27" t="s">
        <v>61</v>
      </c>
      <c r="F620" s="26" t="s">
        <v>121</v>
      </c>
      <c r="G620" s="28">
        <v>4831970</v>
      </c>
      <c r="H620" s="26">
        <v>11</v>
      </c>
      <c r="I620" s="26" t="s">
        <v>67</v>
      </c>
      <c r="J620" s="26" t="b">
        <v>1</v>
      </c>
    </row>
    <row r="621" spans="1:10">
      <c r="A621" s="26" t="s">
        <v>710</v>
      </c>
      <c r="B621" s="26">
        <v>39</v>
      </c>
      <c r="C621" s="26" t="s">
        <v>59</v>
      </c>
      <c r="D621" s="26" t="s">
        <v>54</v>
      </c>
      <c r="E621" s="27" t="s">
        <v>85</v>
      </c>
      <c r="F621" s="26" t="s">
        <v>134</v>
      </c>
      <c r="G621" s="28">
        <v>4548165</v>
      </c>
      <c r="H621" s="26">
        <v>9</v>
      </c>
      <c r="I621" s="26" t="s">
        <v>63</v>
      </c>
      <c r="J621" s="26" t="b">
        <v>0</v>
      </c>
    </row>
    <row r="622" spans="1:10">
      <c r="A622" s="26" t="s">
        <v>711</v>
      </c>
      <c r="B622" s="26">
        <v>35</v>
      </c>
      <c r="C622" s="26" t="s">
        <v>53</v>
      </c>
      <c r="D622" s="26" t="s">
        <v>60</v>
      </c>
      <c r="E622" s="27" t="s">
        <v>73</v>
      </c>
      <c r="F622" s="26" t="s">
        <v>102</v>
      </c>
      <c r="G622" s="28">
        <v>6486905</v>
      </c>
      <c r="H622" s="26">
        <v>6</v>
      </c>
      <c r="I622" s="26" t="s">
        <v>67</v>
      </c>
      <c r="J622" s="26" t="b">
        <v>0</v>
      </c>
    </row>
    <row r="623" spans="1:10">
      <c r="A623" s="26" t="s">
        <v>712</v>
      </c>
      <c r="B623" s="26">
        <v>39</v>
      </c>
      <c r="C623" s="26" t="s">
        <v>59</v>
      </c>
      <c r="D623" s="26" t="s">
        <v>54</v>
      </c>
      <c r="E623" s="27" t="s">
        <v>78</v>
      </c>
      <c r="F623" s="26" t="s">
        <v>90</v>
      </c>
      <c r="G623" s="28">
        <v>1317965</v>
      </c>
      <c r="H623" s="26">
        <v>9</v>
      </c>
      <c r="I623" s="26" t="s">
        <v>63</v>
      </c>
      <c r="J623" s="26" t="b">
        <v>1</v>
      </c>
    </row>
    <row r="624" spans="1:10">
      <c r="A624" s="26" t="s">
        <v>713</v>
      </c>
      <c r="B624" s="26">
        <v>31</v>
      </c>
      <c r="C624" s="26" t="s">
        <v>59</v>
      </c>
      <c r="D624" s="26" t="s">
        <v>54</v>
      </c>
      <c r="E624" s="27" t="s">
        <v>55</v>
      </c>
      <c r="F624" s="26" t="s">
        <v>82</v>
      </c>
      <c r="G624" s="28">
        <v>2556570</v>
      </c>
      <c r="H624" s="26">
        <v>4</v>
      </c>
      <c r="I624" s="26" t="s">
        <v>60</v>
      </c>
      <c r="J624" s="26" t="b">
        <v>1</v>
      </c>
    </row>
    <row r="625" spans="1:10">
      <c r="A625" s="26" t="s">
        <v>714</v>
      </c>
      <c r="B625" s="26">
        <v>38</v>
      </c>
      <c r="C625" s="26" t="s">
        <v>53</v>
      </c>
      <c r="D625" s="26" t="s">
        <v>60</v>
      </c>
      <c r="E625" s="27" t="s">
        <v>55</v>
      </c>
      <c r="F625" s="26" t="s">
        <v>121</v>
      </c>
      <c r="G625" s="28">
        <v>1384460</v>
      </c>
      <c r="H625" s="26">
        <v>11</v>
      </c>
      <c r="I625" s="26" t="s">
        <v>67</v>
      </c>
      <c r="J625" s="26" t="b">
        <v>1</v>
      </c>
    </row>
    <row r="626" spans="1:10">
      <c r="A626" s="26" t="s">
        <v>715</v>
      </c>
      <c r="B626" s="26">
        <v>33</v>
      </c>
      <c r="C626" s="26" t="s">
        <v>59</v>
      </c>
      <c r="D626" s="26" t="s">
        <v>54</v>
      </c>
      <c r="E626" s="27" t="s">
        <v>85</v>
      </c>
      <c r="F626" s="26" t="s">
        <v>134</v>
      </c>
      <c r="G626" s="28">
        <v>6018030</v>
      </c>
      <c r="H626" s="26">
        <v>2</v>
      </c>
      <c r="I626" s="26" t="s">
        <v>60</v>
      </c>
      <c r="J626" s="26" t="b">
        <v>0</v>
      </c>
    </row>
    <row r="627" spans="1:10">
      <c r="A627" s="26" t="s">
        <v>716</v>
      </c>
      <c r="B627" s="26">
        <v>33</v>
      </c>
      <c r="C627" s="26" t="s">
        <v>59</v>
      </c>
      <c r="D627" s="26" t="s">
        <v>54</v>
      </c>
      <c r="E627" s="27" t="s">
        <v>85</v>
      </c>
      <c r="F627" s="26" t="s">
        <v>167</v>
      </c>
      <c r="G627" s="28">
        <v>1653695</v>
      </c>
      <c r="H627" s="26">
        <v>5</v>
      </c>
      <c r="I627" s="26" t="s">
        <v>63</v>
      </c>
      <c r="J627" s="26" t="b">
        <v>0</v>
      </c>
    </row>
    <row r="628" spans="1:10">
      <c r="A628" s="26" t="s">
        <v>717</v>
      </c>
      <c r="B628" s="26">
        <v>42</v>
      </c>
      <c r="C628" s="26" t="s">
        <v>53</v>
      </c>
      <c r="D628" s="26" t="s">
        <v>54</v>
      </c>
      <c r="E628" s="27" t="s">
        <v>85</v>
      </c>
      <c r="F628" s="26" t="s">
        <v>96</v>
      </c>
      <c r="G628" s="28">
        <v>4667980</v>
      </c>
      <c r="H628" s="26">
        <v>10</v>
      </c>
      <c r="I628" s="26" t="s">
        <v>57</v>
      </c>
      <c r="J628" s="26" t="b">
        <v>0</v>
      </c>
    </row>
    <row r="629" spans="1:10">
      <c r="A629" s="26" t="s">
        <v>718</v>
      </c>
      <c r="B629" s="26">
        <v>49</v>
      </c>
      <c r="C629" s="26" t="s">
        <v>59</v>
      </c>
      <c r="D629" s="26" t="s">
        <v>54</v>
      </c>
      <c r="E629" s="27" t="s">
        <v>85</v>
      </c>
      <c r="F629" s="26" t="s">
        <v>92</v>
      </c>
      <c r="G629" s="28">
        <v>956505</v>
      </c>
      <c r="H629" s="26">
        <v>6</v>
      </c>
      <c r="I629" s="26" t="s">
        <v>67</v>
      </c>
      <c r="J629" s="26" t="b">
        <v>0</v>
      </c>
    </row>
    <row r="630" spans="1:10">
      <c r="A630" s="26" t="s">
        <v>719</v>
      </c>
      <c r="B630" s="26">
        <v>46</v>
      </c>
      <c r="C630" s="26" t="s">
        <v>53</v>
      </c>
      <c r="D630" s="26" t="s">
        <v>54</v>
      </c>
      <c r="E630" s="27" t="s">
        <v>55</v>
      </c>
      <c r="F630" s="26" t="s">
        <v>80</v>
      </c>
      <c r="G630" s="28">
        <v>1291615</v>
      </c>
      <c r="H630" s="26">
        <v>11</v>
      </c>
      <c r="I630" s="26" t="s">
        <v>63</v>
      </c>
      <c r="J630" s="26" t="b">
        <v>1</v>
      </c>
    </row>
    <row r="631" spans="1:10">
      <c r="A631" s="26" t="s">
        <v>720</v>
      </c>
      <c r="B631" s="26">
        <v>42</v>
      </c>
      <c r="C631" s="26" t="s">
        <v>59</v>
      </c>
      <c r="D631" s="26" t="s">
        <v>60</v>
      </c>
      <c r="E631" s="27" t="s">
        <v>73</v>
      </c>
      <c r="F631" s="26" t="s">
        <v>76</v>
      </c>
      <c r="G631" s="28">
        <v>6383055</v>
      </c>
      <c r="H631" s="26">
        <v>4</v>
      </c>
      <c r="I631" s="26" t="s">
        <v>60</v>
      </c>
      <c r="J631" s="26" t="b">
        <v>1</v>
      </c>
    </row>
    <row r="632" spans="1:10">
      <c r="A632" s="26" t="s">
        <v>721</v>
      </c>
      <c r="B632" s="26">
        <v>44</v>
      </c>
      <c r="C632" s="26" t="s">
        <v>53</v>
      </c>
      <c r="D632" s="26" t="s">
        <v>54</v>
      </c>
      <c r="E632" s="27" t="s">
        <v>55</v>
      </c>
      <c r="F632" s="26" t="s">
        <v>86</v>
      </c>
      <c r="G632" s="28">
        <v>1781415</v>
      </c>
      <c r="H632" s="26">
        <v>3</v>
      </c>
      <c r="I632" s="26" t="s">
        <v>60</v>
      </c>
      <c r="J632" s="26" t="b">
        <v>1</v>
      </c>
    </row>
    <row r="633" spans="1:10">
      <c r="A633" s="26" t="s">
        <v>722</v>
      </c>
      <c r="B633" s="26">
        <v>33</v>
      </c>
      <c r="C633" s="26" t="s">
        <v>53</v>
      </c>
      <c r="D633" s="26" t="s">
        <v>60</v>
      </c>
      <c r="E633" s="27" t="s">
        <v>85</v>
      </c>
      <c r="F633" s="26" t="s">
        <v>167</v>
      </c>
      <c r="G633" s="28">
        <v>6795510</v>
      </c>
      <c r="H633" s="26">
        <v>11</v>
      </c>
      <c r="I633" s="26" t="s">
        <v>63</v>
      </c>
      <c r="J633" s="26" t="b">
        <v>1</v>
      </c>
    </row>
    <row r="634" spans="1:10">
      <c r="A634" s="26" t="s">
        <v>723</v>
      </c>
      <c r="B634" s="26">
        <v>36</v>
      </c>
      <c r="C634" s="26" t="s">
        <v>59</v>
      </c>
      <c r="D634" s="26" t="s">
        <v>54</v>
      </c>
      <c r="E634" s="27" t="s">
        <v>78</v>
      </c>
      <c r="F634" s="26" t="s">
        <v>86</v>
      </c>
      <c r="G634" s="28">
        <v>2944535</v>
      </c>
      <c r="H634" s="26">
        <v>2</v>
      </c>
      <c r="I634" s="26" t="s">
        <v>60</v>
      </c>
      <c r="J634" s="26" t="b">
        <v>1</v>
      </c>
    </row>
    <row r="635" spans="1:10">
      <c r="A635" s="26" t="s">
        <v>724</v>
      </c>
      <c r="B635" s="26">
        <v>35</v>
      </c>
      <c r="C635" s="26" t="s">
        <v>59</v>
      </c>
      <c r="D635" s="26" t="s">
        <v>60</v>
      </c>
      <c r="E635" s="27" t="s">
        <v>61</v>
      </c>
      <c r="F635" s="26" t="s">
        <v>113</v>
      </c>
      <c r="G635" s="28">
        <v>3518965</v>
      </c>
      <c r="H635" s="26">
        <v>12</v>
      </c>
      <c r="I635" s="26" t="s">
        <v>60</v>
      </c>
      <c r="J635" s="26" t="b">
        <v>1</v>
      </c>
    </row>
    <row r="636" spans="1:10">
      <c r="A636" s="26" t="s">
        <v>725</v>
      </c>
      <c r="B636" s="26">
        <v>26</v>
      </c>
      <c r="C636" s="26" t="s">
        <v>59</v>
      </c>
      <c r="D636" s="26" t="s">
        <v>60</v>
      </c>
      <c r="E636" s="27" t="s">
        <v>73</v>
      </c>
      <c r="F636" s="26" t="s">
        <v>69</v>
      </c>
      <c r="G636" s="28">
        <v>4316595</v>
      </c>
      <c r="H636" s="26">
        <v>4</v>
      </c>
      <c r="I636" s="26" t="s">
        <v>67</v>
      </c>
      <c r="J636" s="26" t="b">
        <v>1</v>
      </c>
    </row>
    <row r="637" spans="1:10">
      <c r="A637" s="26" t="s">
        <v>726</v>
      </c>
      <c r="B637" s="26">
        <v>43</v>
      </c>
      <c r="C637" s="26" t="s">
        <v>53</v>
      </c>
      <c r="D637" s="26" t="s">
        <v>60</v>
      </c>
      <c r="E637" s="27" t="s">
        <v>65</v>
      </c>
      <c r="F637" s="26" t="s">
        <v>88</v>
      </c>
      <c r="G637" s="28">
        <v>1868680</v>
      </c>
      <c r="H637" s="26">
        <v>5</v>
      </c>
      <c r="I637" s="26" t="s">
        <v>57</v>
      </c>
      <c r="J637" s="26" t="b">
        <v>0</v>
      </c>
    </row>
    <row r="638" spans="1:10">
      <c r="A638" s="26" t="s">
        <v>727</v>
      </c>
      <c r="B638" s="26">
        <v>25</v>
      </c>
      <c r="C638" s="26" t="s">
        <v>59</v>
      </c>
      <c r="D638" s="26" t="s">
        <v>60</v>
      </c>
      <c r="E638" s="27" t="s">
        <v>73</v>
      </c>
      <c r="F638" s="26" t="s">
        <v>56</v>
      </c>
      <c r="G638" s="28">
        <v>4974570</v>
      </c>
      <c r="H638" s="26">
        <v>11</v>
      </c>
      <c r="I638" s="26" t="s">
        <v>60</v>
      </c>
      <c r="J638" s="26" t="b">
        <v>0</v>
      </c>
    </row>
    <row r="639" spans="1:10">
      <c r="A639" s="26" t="s">
        <v>728</v>
      </c>
      <c r="B639" s="26">
        <v>37</v>
      </c>
      <c r="C639" s="26" t="s">
        <v>53</v>
      </c>
      <c r="D639" s="26" t="s">
        <v>60</v>
      </c>
      <c r="E639" s="27" t="s">
        <v>55</v>
      </c>
      <c r="F639" s="26" t="s">
        <v>167</v>
      </c>
      <c r="G639" s="28">
        <v>3374660</v>
      </c>
      <c r="H639" s="26"/>
      <c r="I639" s="26" t="s">
        <v>63</v>
      </c>
      <c r="J639" s="26" t="b">
        <v>0</v>
      </c>
    </row>
    <row r="640" spans="1:10">
      <c r="A640" s="26" t="s">
        <v>729</v>
      </c>
      <c r="B640" s="26">
        <v>25</v>
      </c>
      <c r="C640" s="26" t="s">
        <v>59</v>
      </c>
      <c r="D640" s="26" t="s">
        <v>60</v>
      </c>
      <c r="E640" s="27" t="s">
        <v>65</v>
      </c>
      <c r="F640" s="26" t="s">
        <v>69</v>
      </c>
      <c r="G640" s="28">
        <v>3450455</v>
      </c>
      <c r="H640" s="26">
        <v>3</v>
      </c>
      <c r="I640" s="26" t="s">
        <v>63</v>
      </c>
      <c r="J640" s="26" t="b">
        <v>0</v>
      </c>
    </row>
    <row r="641" spans="1:10">
      <c r="A641" s="26" t="s">
        <v>730</v>
      </c>
      <c r="B641" s="26">
        <v>40</v>
      </c>
      <c r="C641" s="26" t="s">
        <v>53</v>
      </c>
      <c r="D641" s="26" t="s">
        <v>54</v>
      </c>
      <c r="E641" s="27" t="s">
        <v>55</v>
      </c>
      <c r="F641" s="26" t="s">
        <v>137</v>
      </c>
      <c r="G641" s="28">
        <v>1592315</v>
      </c>
      <c r="H641" s="26">
        <v>3</v>
      </c>
      <c r="I641" s="26" t="s">
        <v>57</v>
      </c>
      <c r="J641" s="26" t="b">
        <v>0</v>
      </c>
    </row>
    <row r="642" spans="1:10">
      <c r="A642" s="26" t="s">
        <v>731</v>
      </c>
      <c r="B642" s="26">
        <v>40</v>
      </c>
      <c r="C642" s="26" t="s">
        <v>53</v>
      </c>
      <c r="D642" s="26" t="s">
        <v>54</v>
      </c>
      <c r="E642" s="27" t="s">
        <v>55</v>
      </c>
      <c r="F642" s="26" t="s">
        <v>80</v>
      </c>
      <c r="G642" s="28">
        <v>6616485</v>
      </c>
      <c r="H642" s="26">
        <v>2</v>
      </c>
      <c r="I642" s="26" t="s">
        <v>57</v>
      </c>
      <c r="J642" s="26" t="b">
        <v>0</v>
      </c>
    </row>
    <row r="643" spans="1:10">
      <c r="A643" s="26" t="s">
        <v>732</v>
      </c>
      <c r="B643" s="26">
        <v>20</v>
      </c>
      <c r="C643" s="26" t="s">
        <v>53</v>
      </c>
      <c r="D643" s="26" t="s">
        <v>54</v>
      </c>
      <c r="E643" s="27" t="s">
        <v>73</v>
      </c>
      <c r="F643" s="26" t="s">
        <v>167</v>
      </c>
      <c r="G643" s="28">
        <v>7335840</v>
      </c>
      <c r="H643" s="26">
        <v>5</v>
      </c>
      <c r="I643" s="26" t="s">
        <v>63</v>
      </c>
      <c r="J643" s="26" t="b">
        <v>0</v>
      </c>
    </row>
    <row r="644" spans="1:10">
      <c r="A644" s="26" t="s">
        <v>733</v>
      </c>
      <c r="B644" s="26">
        <v>39</v>
      </c>
      <c r="C644" s="26" t="s">
        <v>59</v>
      </c>
      <c r="D644" s="26" t="s">
        <v>60</v>
      </c>
      <c r="E644" s="27" t="s">
        <v>78</v>
      </c>
      <c r="F644" s="26" t="s">
        <v>167</v>
      </c>
      <c r="G644" s="28">
        <v>6913465</v>
      </c>
      <c r="H644" s="26">
        <v>9</v>
      </c>
      <c r="I644" s="26" t="s">
        <v>67</v>
      </c>
      <c r="J644" s="26" t="b">
        <v>1</v>
      </c>
    </row>
    <row r="645" spans="1:10">
      <c r="A645" s="26" t="s">
        <v>734</v>
      </c>
      <c r="B645" s="26">
        <v>19</v>
      </c>
      <c r="C645" s="26" t="s">
        <v>53</v>
      </c>
      <c r="D645" s="26" t="s">
        <v>60</v>
      </c>
      <c r="E645" s="27" t="s">
        <v>61</v>
      </c>
      <c r="F645" s="26" t="s">
        <v>109</v>
      </c>
      <c r="G645" s="28">
        <v>4463225</v>
      </c>
      <c r="H645" s="26">
        <v>3</v>
      </c>
      <c r="I645" s="26" t="s">
        <v>57</v>
      </c>
      <c r="J645" s="26" t="b">
        <v>1</v>
      </c>
    </row>
    <row r="646" spans="1:10">
      <c r="A646" s="26" t="s">
        <v>735</v>
      </c>
      <c r="B646" s="26">
        <v>31</v>
      </c>
      <c r="C646" s="26" t="s">
        <v>53</v>
      </c>
      <c r="D646" s="26" t="s">
        <v>54</v>
      </c>
      <c r="E646" s="27" t="s">
        <v>73</v>
      </c>
      <c r="F646" s="26" t="s">
        <v>86</v>
      </c>
      <c r="G646" s="28">
        <v>2054060</v>
      </c>
      <c r="H646" s="26">
        <v>6</v>
      </c>
      <c r="I646" s="26" t="s">
        <v>63</v>
      </c>
      <c r="J646" s="26" t="b">
        <v>1</v>
      </c>
    </row>
    <row r="647" spans="1:10">
      <c r="A647" s="26" t="s">
        <v>736</v>
      </c>
      <c r="B647" s="26">
        <v>36</v>
      </c>
      <c r="C647" s="26" t="s">
        <v>53</v>
      </c>
      <c r="D647" s="26" t="s">
        <v>54</v>
      </c>
      <c r="E647" s="27" t="s">
        <v>61</v>
      </c>
      <c r="F647" s="26" t="s">
        <v>80</v>
      </c>
      <c r="G647" s="28">
        <v>5877600</v>
      </c>
      <c r="H647" s="26">
        <v>7</v>
      </c>
      <c r="I647" s="26" t="s">
        <v>63</v>
      </c>
      <c r="J647" s="26" t="b">
        <v>1</v>
      </c>
    </row>
    <row r="648" spans="1:10">
      <c r="A648" s="26" t="s">
        <v>737</v>
      </c>
      <c r="B648" s="26">
        <v>31</v>
      </c>
      <c r="C648" s="26" t="s">
        <v>53</v>
      </c>
      <c r="D648" s="26" t="s">
        <v>54</v>
      </c>
      <c r="E648" s="27" t="s">
        <v>55</v>
      </c>
      <c r="F648" s="26" t="s">
        <v>121</v>
      </c>
      <c r="G648" s="28">
        <v>6936715</v>
      </c>
      <c r="H648" s="26">
        <v>4</v>
      </c>
      <c r="I648" s="26" t="s">
        <v>60</v>
      </c>
      <c r="J648" s="26" t="b">
        <v>1</v>
      </c>
    </row>
    <row r="649" spans="1:10">
      <c r="A649" s="26" t="s">
        <v>738</v>
      </c>
      <c r="B649" s="26">
        <v>45</v>
      </c>
      <c r="C649" s="26" t="s">
        <v>53</v>
      </c>
      <c r="D649" s="26" t="s">
        <v>60</v>
      </c>
      <c r="E649" s="27" t="s">
        <v>85</v>
      </c>
      <c r="F649" s="26" t="s">
        <v>66</v>
      </c>
      <c r="G649" s="28">
        <v>2145820</v>
      </c>
      <c r="H649" s="26">
        <v>4</v>
      </c>
      <c r="I649" s="26" t="s">
        <v>57</v>
      </c>
      <c r="J649" s="26" t="b">
        <v>0</v>
      </c>
    </row>
    <row r="650" spans="1:10">
      <c r="A650" s="26" t="s">
        <v>739</v>
      </c>
      <c r="B650" s="26">
        <v>45</v>
      </c>
      <c r="C650" s="26" t="s">
        <v>53</v>
      </c>
      <c r="D650" s="26" t="s">
        <v>54</v>
      </c>
      <c r="E650" s="27" t="s">
        <v>61</v>
      </c>
      <c r="F650" s="26" t="s">
        <v>69</v>
      </c>
      <c r="G650" s="28">
        <v>6829610</v>
      </c>
      <c r="H650" s="26">
        <v>8</v>
      </c>
      <c r="I650" s="26" t="s">
        <v>57</v>
      </c>
      <c r="J650" s="26" t="b">
        <v>1</v>
      </c>
    </row>
    <row r="651" spans="1:10">
      <c r="A651" s="26" t="s">
        <v>740</v>
      </c>
      <c r="B651" s="26">
        <v>23</v>
      </c>
      <c r="C651" s="26" t="s">
        <v>53</v>
      </c>
      <c r="D651" s="26" t="s">
        <v>60</v>
      </c>
      <c r="E651" s="27" t="s">
        <v>61</v>
      </c>
      <c r="F651" s="26" t="s">
        <v>80</v>
      </c>
      <c r="G651" s="28">
        <v>2262690</v>
      </c>
      <c r="H651" s="26">
        <v>4</v>
      </c>
      <c r="I651" s="26" t="s">
        <v>67</v>
      </c>
      <c r="J651" s="26" t="b">
        <v>0</v>
      </c>
    </row>
    <row r="652" spans="1:10">
      <c r="A652" s="26" t="s">
        <v>741</v>
      </c>
      <c r="B652" s="26">
        <v>28</v>
      </c>
      <c r="C652" s="26" t="s">
        <v>59</v>
      </c>
      <c r="D652" s="26" t="s">
        <v>54</v>
      </c>
      <c r="E652" s="27" t="s">
        <v>85</v>
      </c>
      <c r="F652" s="26" t="s">
        <v>100</v>
      </c>
      <c r="G652" s="28">
        <v>6287730</v>
      </c>
      <c r="H652" s="26">
        <v>11</v>
      </c>
      <c r="I652" s="26" t="s">
        <v>63</v>
      </c>
      <c r="J652" s="26" t="b">
        <v>1</v>
      </c>
    </row>
    <row r="653" spans="1:10">
      <c r="A653" s="26" t="s">
        <v>742</v>
      </c>
      <c r="B653" s="26">
        <v>26</v>
      </c>
      <c r="C653" s="26" t="s">
        <v>53</v>
      </c>
      <c r="D653" s="26" t="s">
        <v>60</v>
      </c>
      <c r="E653" s="27" t="s">
        <v>55</v>
      </c>
      <c r="F653" s="26" t="s">
        <v>134</v>
      </c>
      <c r="G653" s="28">
        <v>6509690</v>
      </c>
      <c r="H653" s="26">
        <v>7</v>
      </c>
      <c r="I653" s="26" t="s">
        <v>57</v>
      </c>
      <c r="J653" s="26" t="b">
        <v>1</v>
      </c>
    </row>
    <row r="654" spans="1:10">
      <c r="A654" s="26" t="s">
        <v>743</v>
      </c>
      <c r="B654" s="26">
        <v>50</v>
      </c>
      <c r="C654" s="26" t="s">
        <v>53</v>
      </c>
      <c r="D654" s="26" t="s">
        <v>54</v>
      </c>
      <c r="E654" s="27" t="s">
        <v>78</v>
      </c>
      <c r="F654" s="26" t="s">
        <v>109</v>
      </c>
      <c r="G654" s="28">
        <v>4032170</v>
      </c>
      <c r="H654" s="26">
        <v>5</v>
      </c>
      <c r="I654" s="26" t="s">
        <v>57</v>
      </c>
      <c r="J654" s="26" t="b">
        <v>1</v>
      </c>
    </row>
    <row r="655" spans="1:10">
      <c r="A655" s="26" t="s">
        <v>744</v>
      </c>
      <c r="B655" s="26">
        <v>36</v>
      </c>
      <c r="C655" s="26" t="s">
        <v>53</v>
      </c>
      <c r="D655" s="26" t="s">
        <v>54</v>
      </c>
      <c r="E655" s="27" t="s">
        <v>65</v>
      </c>
      <c r="F655" s="26" t="s">
        <v>109</v>
      </c>
      <c r="G655" s="28">
        <v>5718105</v>
      </c>
      <c r="H655" s="26">
        <v>10</v>
      </c>
      <c r="I655" s="26" t="s">
        <v>60</v>
      </c>
      <c r="J655" s="26" t="b">
        <v>0</v>
      </c>
    </row>
    <row r="656" spans="1:10">
      <c r="A656" s="26" t="s">
        <v>745</v>
      </c>
      <c r="B656" s="26">
        <v>32</v>
      </c>
      <c r="C656" s="26" t="s">
        <v>59</v>
      </c>
      <c r="D656" s="26" t="s">
        <v>54</v>
      </c>
      <c r="E656" s="27" t="s">
        <v>55</v>
      </c>
      <c r="F656" s="26" t="s">
        <v>69</v>
      </c>
      <c r="G656" s="28">
        <v>1554960</v>
      </c>
      <c r="H656" s="26">
        <v>2</v>
      </c>
      <c r="I656" s="26" t="s">
        <v>67</v>
      </c>
      <c r="J656" s="26" t="b">
        <v>0</v>
      </c>
    </row>
    <row r="657" spans="1:10">
      <c r="A657" s="26" t="s">
        <v>746</v>
      </c>
      <c r="B657" s="26">
        <v>34</v>
      </c>
      <c r="C657" s="26" t="s">
        <v>59</v>
      </c>
      <c r="D657" s="26" t="s">
        <v>60</v>
      </c>
      <c r="E657" s="27" t="s">
        <v>73</v>
      </c>
      <c r="F657" s="26" t="s">
        <v>62</v>
      </c>
      <c r="G657" s="28">
        <v>1671210</v>
      </c>
      <c r="H657" s="26">
        <v>7</v>
      </c>
      <c r="I657" s="26" t="s">
        <v>60</v>
      </c>
      <c r="J657" s="26" t="b">
        <v>0</v>
      </c>
    </row>
    <row r="658" spans="1:10">
      <c r="A658" s="26" t="s">
        <v>747</v>
      </c>
      <c r="B658" s="26">
        <v>50</v>
      </c>
      <c r="C658" s="26" t="s">
        <v>59</v>
      </c>
      <c r="D658" s="26" t="s">
        <v>54</v>
      </c>
      <c r="E658" s="27" t="s">
        <v>73</v>
      </c>
      <c r="F658" s="26" t="s">
        <v>102</v>
      </c>
      <c r="G658" s="28">
        <v>1300140</v>
      </c>
      <c r="H658" s="26">
        <v>11</v>
      </c>
      <c r="I658" s="26" t="s">
        <v>63</v>
      </c>
      <c r="J658" s="26" t="b">
        <v>1</v>
      </c>
    </row>
    <row r="659" spans="1:10">
      <c r="A659" s="26" t="s">
        <v>748</v>
      </c>
      <c r="B659" s="26">
        <v>24</v>
      </c>
      <c r="C659" s="26" t="s">
        <v>53</v>
      </c>
      <c r="D659" s="26" t="s">
        <v>54</v>
      </c>
      <c r="E659" s="27" t="s">
        <v>55</v>
      </c>
      <c r="F659" s="26" t="s">
        <v>140</v>
      </c>
      <c r="G659" s="28">
        <v>1259375</v>
      </c>
      <c r="H659" s="26">
        <v>9</v>
      </c>
      <c r="I659" s="26" t="s">
        <v>67</v>
      </c>
      <c r="J659" s="26" t="b">
        <v>1</v>
      </c>
    </row>
    <row r="660" spans="1:10">
      <c r="A660" s="26" t="s">
        <v>749</v>
      </c>
      <c r="B660" s="26">
        <v>49</v>
      </c>
      <c r="C660" s="26" t="s">
        <v>59</v>
      </c>
      <c r="D660" s="26" t="s">
        <v>54</v>
      </c>
      <c r="E660" s="27" t="s">
        <v>61</v>
      </c>
      <c r="F660" s="26" t="s">
        <v>69</v>
      </c>
      <c r="G660" s="28">
        <v>1949900</v>
      </c>
      <c r="H660" s="26">
        <v>12</v>
      </c>
      <c r="I660" s="26" t="s">
        <v>57</v>
      </c>
      <c r="J660" s="26" t="b">
        <v>0</v>
      </c>
    </row>
    <row r="661" spans="1:10">
      <c r="A661" s="26" t="s">
        <v>750</v>
      </c>
      <c r="B661" s="26">
        <v>18</v>
      </c>
      <c r="C661" s="26" t="s">
        <v>53</v>
      </c>
      <c r="D661" s="26" t="s">
        <v>54</v>
      </c>
      <c r="E661" s="27" t="s">
        <v>85</v>
      </c>
      <c r="F661" s="26" t="s">
        <v>113</v>
      </c>
      <c r="G661" s="28">
        <v>3067450</v>
      </c>
      <c r="H661" s="26">
        <v>11</v>
      </c>
      <c r="I661" s="26" t="s">
        <v>63</v>
      </c>
      <c r="J661" s="26" t="b">
        <v>1</v>
      </c>
    </row>
    <row r="662" spans="1:10">
      <c r="A662" s="26" t="s">
        <v>751</v>
      </c>
      <c r="B662" s="26">
        <v>44</v>
      </c>
      <c r="C662" s="26" t="s">
        <v>59</v>
      </c>
      <c r="D662" s="26" t="s">
        <v>60</v>
      </c>
      <c r="E662" s="27" t="s">
        <v>61</v>
      </c>
      <c r="F662" s="26" t="s">
        <v>140</v>
      </c>
      <c r="G662" s="28">
        <v>4635895</v>
      </c>
      <c r="H662" s="26">
        <v>8</v>
      </c>
      <c r="I662" s="26" t="s">
        <v>60</v>
      </c>
      <c r="J662" s="26" t="b">
        <v>0</v>
      </c>
    </row>
    <row r="663" spans="1:10">
      <c r="A663" s="26" t="s">
        <v>752</v>
      </c>
      <c r="B663" s="26">
        <v>41</v>
      </c>
      <c r="C663" s="26" t="s">
        <v>59</v>
      </c>
      <c r="D663" s="26" t="s">
        <v>60</v>
      </c>
      <c r="E663" s="27" t="s">
        <v>55</v>
      </c>
      <c r="F663" s="26" t="s">
        <v>140</v>
      </c>
      <c r="G663" s="28">
        <v>1229150</v>
      </c>
      <c r="H663" s="26">
        <v>10</v>
      </c>
      <c r="I663" s="26" t="s">
        <v>67</v>
      </c>
      <c r="J663" s="26" t="b">
        <v>0</v>
      </c>
    </row>
    <row r="664" spans="1:10">
      <c r="A664" s="26" t="s">
        <v>753</v>
      </c>
      <c r="B664" s="26">
        <v>33</v>
      </c>
      <c r="C664" s="26" t="s">
        <v>59</v>
      </c>
      <c r="D664" s="26" t="s">
        <v>60</v>
      </c>
      <c r="E664" s="27" t="s">
        <v>61</v>
      </c>
      <c r="F664" s="26" t="s">
        <v>76</v>
      </c>
      <c r="G664" s="28">
        <v>863815</v>
      </c>
      <c r="H664" s="26">
        <v>12</v>
      </c>
      <c r="I664" s="26" t="s">
        <v>63</v>
      </c>
      <c r="J664" s="26" t="b">
        <v>0</v>
      </c>
    </row>
    <row r="665" spans="1:10">
      <c r="A665" s="26" t="s">
        <v>754</v>
      </c>
      <c r="B665" s="26">
        <v>46</v>
      </c>
      <c r="C665" s="26" t="s">
        <v>59</v>
      </c>
      <c r="D665" s="26" t="s">
        <v>60</v>
      </c>
      <c r="E665" s="27" t="s">
        <v>85</v>
      </c>
      <c r="F665" s="26" t="s">
        <v>100</v>
      </c>
      <c r="G665" s="28">
        <v>3974820</v>
      </c>
      <c r="H665" s="26">
        <v>8</v>
      </c>
      <c r="I665" s="26" t="s">
        <v>60</v>
      </c>
      <c r="J665" s="26" t="b">
        <v>0</v>
      </c>
    </row>
    <row r="666" spans="1:10">
      <c r="A666" s="26" t="s">
        <v>755</v>
      </c>
      <c r="B666" s="26">
        <v>23</v>
      </c>
      <c r="C666" s="26" t="s">
        <v>53</v>
      </c>
      <c r="D666" s="26" t="s">
        <v>60</v>
      </c>
      <c r="E666" s="27" t="s">
        <v>78</v>
      </c>
      <c r="F666" s="26" t="s">
        <v>104</v>
      </c>
      <c r="G666" s="28">
        <v>5226755</v>
      </c>
      <c r="H666" s="26">
        <v>12</v>
      </c>
      <c r="I666" s="26" t="s">
        <v>67</v>
      </c>
      <c r="J666" s="26" t="b">
        <v>1</v>
      </c>
    </row>
    <row r="667" spans="1:10">
      <c r="A667" s="26" t="s">
        <v>756</v>
      </c>
      <c r="B667" s="26">
        <v>35</v>
      </c>
      <c r="C667" s="26" t="s">
        <v>53</v>
      </c>
      <c r="D667" s="26" t="s">
        <v>60</v>
      </c>
      <c r="E667" s="27" t="s">
        <v>78</v>
      </c>
      <c r="F667" s="26" t="s">
        <v>100</v>
      </c>
      <c r="G667" s="28">
        <v>7672035</v>
      </c>
      <c r="H667" s="26">
        <v>12</v>
      </c>
      <c r="I667" s="26" t="s">
        <v>67</v>
      </c>
      <c r="J667" s="26" t="b">
        <v>0</v>
      </c>
    </row>
    <row r="668" spans="1:10">
      <c r="A668" s="26" t="s">
        <v>757</v>
      </c>
      <c r="B668" s="26">
        <v>31</v>
      </c>
      <c r="C668" s="26" t="s">
        <v>53</v>
      </c>
      <c r="D668" s="26" t="s">
        <v>54</v>
      </c>
      <c r="E668" s="27" t="s">
        <v>85</v>
      </c>
      <c r="F668" s="26" t="s">
        <v>109</v>
      </c>
      <c r="G668" s="28">
        <v>3697990</v>
      </c>
      <c r="H668" s="26">
        <v>6</v>
      </c>
      <c r="I668" s="26" t="s">
        <v>63</v>
      </c>
      <c r="J668" s="26" t="b">
        <v>1</v>
      </c>
    </row>
    <row r="669" spans="1:10">
      <c r="A669" s="26" t="s">
        <v>758</v>
      </c>
      <c r="B669" s="26">
        <v>20</v>
      </c>
      <c r="C669" s="26" t="s">
        <v>53</v>
      </c>
      <c r="D669" s="26" t="s">
        <v>60</v>
      </c>
      <c r="E669" s="27" t="s">
        <v>65</v>
      </c>
      <c r="F669" s="26" t="s">
        <v>80</v>
      </c>
      <c r="G669" s="28">
        <v>2044450</v>
      </c>
      <c r="H669" s="26">
        <v>8</v>
      </c>
      <c r="I669" s="26" t="s">
        <v>57</v>
      </c>
      <c r="J669" s="26" t="b">
        <v>1</v>
      </c>
    </row>
    <row r="670" spans="1:10">
      <c r="A670" s="26" t="s">
        <v>759</v>
      </c>
      <c r="B670" s="26">
        <v>49</v>
      </c>
      <c r="C670" s="26" t="s">
        <v>53</v>
      </c>
      <c r="D670" s="26" t="s">
        <v>54</v>
      </c>
      <c r="E670" s="27" t="s">
        <v>61</v>
      </c>
      <c r="F670" s="26" t="s">
        <v>62</v>
      </c>
      <c r="G670" s="28">
        <v>6246965</v>
      </c>
      <c r="H670" s="26">
        <v>12</v>
      </c>
      <c r="I670" s="26" t="s">
        <v>63</v>
      </c>
      <c r="J670" s="26" t="b">
        <v>1</v>
      </c>
    </row>
    <row r="671" spans="1:10">
      <c r="A671" s="26" t="s">
        <v>760</v>
      </c>
      <c r="B671" s="26">
        <v>26</v>
      </c>
      <c r="C671" s="26" t="s">
        <v>53</v>
      </c>
      <c r="D671" s="26" t="s">
        <v>60</v>
      </c>
      <c r="E671" s="27" t="s">
        <v>65</v>
      </c>
      <c r="F671" s="26" t="s">
        <v>113</v>
      </c>
      <c r="G671" s="28">
        <v>5248300</v>
      </c>
      <c r="H671" s="26">
        <v>10</v>
      </c>
      <c r="I671" s="26" t="s">
        <v>63</v>
      </c>
      <c r="J671" s="26" t="b">
        <v>0</v>
      </c>
    </row>
    <row r="672" spans="1:10">
      <c r="A672" s="26" t="s">
        <v>761</v>
      </c>
      <c r="B672" s="26">
        <v>36</v>
      </c>
      <c r="C672" s="26" t="s">
        <v>59</v>
      </c>
      <c r="D672" s="26" t="s">
        <v>54</v>
      </c>
      <c r="E672" s="27" t="s">
        <v>65</v>
      </c>
      <c r="F672" s="26" t="s">
        <v>71</v>
      </c>
      <c r="G672" s="28">
        <v>5663390</v>
      </c>
      <c r="H672" s="26"/>
      <c r="I672" s="26" t="s">
        <v>60</v>
      </c>
      <c r="J672" s="26" t="b">
        <v>0</v>
      </c>
    </row>
    <row r="673" spans="1:10">
      <c r="A673" s="26" t="s">
        <v>762</v>
      </c>
      <c r="B673" s="26">
        <v>21</v>
      </c>
      <c r="C673" s="26" t="s">
        <v>59</v>
      </c>
      <c r="D673" s="26" t="s">
        <v>54</v>
      </c>
      <c r="E673" s="27" t="s">
        <v>85</v>
      </c>
      <c r="F673" s="26" t="s">
        <v>80</v>
      </c>
      <c r="G673" s="28">
        <v>6726845</v>
      </c>
      <c r="H673" s="26">
        <v>11</v>
      </c>
      <c r="I673" s="26" t="s">
        <v>60</v>
      </c>
      <c r="J673" s="26" t="b">
        <v>0</v>
      </c>
    </row>
    <row r="674" spans="1:10">
      <c r="A674" s="26" t="s">
        <v>763</v>
      </c>
      <c r="B674" s="26">
        <v>35</v>
      </c>
      <c r="C674" s="26" t="s">
        <v>53</v>
      </c>
      <c r="D674" s="26" t="s">
        <v>54</v>
      </c>
      <c r="E674" s="27" t="s">
        <v>55</v>
      </c>
      <c r="F674" s="26" t="s">
        <v>90</v>
      </c>
      <c r="G674" s="28">
        <v>7687225</v>
      </c>
      <c r="H674" s="26">
        <v>5</v>
      </c>
      <c r="I674" s="26" t="s">
        <v>60</v>
      </c>
      <c r="J674" s="26" t="b">
        <v>0</v>
      </c>
    </row>
    <row r="675" spans="1:10">
      <c r="A675" s="26" t="s">
        <v>764</v>
      </c>
      <c r="B675" s="26">
        <v>41</v>
      </c>
      <c r="C675" s="26" t="s">
        <v>59</v>
      </c>
      <c r="D675" s="26" t="s">
        <v>60</v>
      </c>
      <c r="E675" s="27" t="s">
        <v>73</v>
      </c>
      <c r="F675" s="26" t="s">
        <v>102</v>
      </c>
      <c r="G675" s="28">
        <v>5521410</v>
      </c>
      <c r="H675" s="26">
        <v>7</v>
      </c>
      <c r="I675" s="26" t="s">
        <v>63</v>
      </c>
      <c r="J675" s="26" t="b">
        <v>0</v>
      </c>
    </row>
    <row r="676" spans="1:10">
      <c r="A676" s="26" t="s">
        <v>765</v>
      </c>
      <c r="B676" s="26">
        <v>22</v>
      </c>
      <c r="C676" s="26" t="s">
        <v>59</v>
      </c>
      <c r="D676" s="26" t="s">
        <v>60</v>
      </c>
      <c r="E676" s="27" t="s">
        <v>55</v>
      </c>
      <c r="F676" s="26" t="s">
        <v>113</v>
      </c>
      <c r="G676" s="28">
        <v>2424200</v>
      </c>
      <c r="H676" s="26">
        <v>7</v>
      </c>
      <c r="I676" s="26" t="s">
        <v>67</v>
      </c>
      <c r="J676" s="26" t="b">
        <v>0</v>
      </c>
    </row>
    <row r="677" spans="1:10">
      <c r="A677" s="26" t="s">
        <v>766</v>
      </c>
      <c r="B677" s="26">
        <v>42</v>
      </c>
      <c r="C677" s="26" t="s">
        <v>59</v>
      </c>
      <c r="D677" s="26" t="s">
        <v>54</v>
      </c>
      <c r="E677" s="27" t="s">
        <v>78</v>
      </c>
      <c r="F677" s="26" t="s">
        <v>80</v>
      </c>
      <c r="G677" s="28">
        <v>7042580</v>
      </c>
      <c r="H677" s="26">
        <v>3</v>
      </c>
      <c r="I677" s="26" t="s">
        <v>67</v>
      </c>
      <c r="J677" s="26" t="b">
        <v>1</v>
      </c>
    </row>
    <row r="678" spans="1:10">
      <c r="A678" s="26" t="s">
        <v>767</v>
      </c>
      <c r="B678" s="26">
        <v>50</v>
      </c>
      <c r="C678" s="26" t="s">
        <v>59</v>
      </c>
      <c r="D678" s="26" t="s">
        <v>60</v>
      </c>
      <c r="E678" s="27" t="s">
        <v>61</v>
      </c>
      <c r="F678" s="26" t="s">
        <v>100</v>
      </c>
      <c r="G678" s="28">
        <v>7534085</v>
      </c>
      <c r="H678" s="26">
        <v>11</v>
      </c>
      <c r="I678" s="26" t="s">
        <v>63</v>
      </c>
      <c r="J678" s="26" t="b">
        <v>0</v>
      </c>
    </row>
    <row r="679" spans="1:10">
      <c r="A679" s="26" t="s">
        <v>768</v>
      </c>
      <c r="B679" s="26">
        <v>30</v>
      </c>
      <c r="C679" s="26" t="s">
        <v>53</v>
      </c>
      <c r="D679" s="26" t="s">
        <v>60</v>
      </c>
      <c r="E679" s="27" t="s">
        <v>61</v>
      </c>
      <c r="F679" s="26" t="s">
        <v>96</v>
      </c>
      <c r="G679" s="28">
        <v>6631830</v>
      </c>
      <c r="H679" s="26">
        <v>11</v>
      </c>
      <c r="I679" s="26" t="s">
        <v>63</v>
      </c>
      <c r="J679" s="26" t="b">
        <v>1</v>
      </c>
    </row>
    <row r="680" spans="1:10">
      <c r="A680" s="26" t="s">
        <v>769</v>
      </c>
      <c r="B680" s="26">
        <v>49</v>
      </c>
      <c r="C680" s="26" t="s">
        <v>53</v>
      </c>
      <c r="D680" s="26" t="s">
        <v>60</v>
      </c>
      <c r="E680" s="27" t="s">
        <v>55</v>
      </c>
      <c r="F680" s="26" t="s">
        <v>137</v>
      </c>
      <c r="G680" s="28">
        <v>3644515</v>
      </c>
      <c r="H680" s="26">
        <v>10</v>
      </c>
      <c r="I680" s="26" t="s">
        <v>63</v>
      </c>
      <c r="J680" s="26" t="b">
        <v>1</v>
      </c>
    </row>
    <row r="681" spans="1:10">
      <c r="A681" s="26" t="s">
        <v>770</v>
      </c>
      <c r="B681" s="26">
        <v>40</v>
      </c>
      <c r="C681" s="26" t="s">
        <v>53</v>
      </c>
      <c r="D681" s="26" t="s">
        <v>54</v>
      </c>
      <c r="E681" s="27" t="s">
        <v>78</v>
      </c>
      <c r="F681" s="26" t="s">
        <v>121</v>
      </c>
      <c r="G681" s="28">
        <v>5599685</v>
      </c>
      <c r="H681" s="26">
        <v>4</v>
      </c>
      <c r="I681" s="26" t="s">
        <v>57</v>
      </c>
      <c r="J681" s="26" t="b">
        <v>1</v>
      </c>
    </row>
    <row r="682" spans="1:10">
      <c r="A682" s="26" t="s">
        <v>771</v>
      </c>
      <c r="B682" s="26">
        <v>38</v>
      </c>
      <c r="C682" s="26" t="s">
        <v>53</v>
      </c>
      <c r="D682" s="26" t="s">
        <v>54</v>
      </c>
      <c r="E682" s="27" t="s">
        <v>65</v>
      </c>
      <c r="F682" s="26" t="s">
        <v>71</v>
      </c>
      <c r="G682" s="28">
        <v>3035365</v>
      </c>
      <c r="H682" s="26">
        <v>10</v>
      </c>
      <c r="I682" s="26" t="s">
        <v>57</v>
      </c>
      <c r="J682" s="26" t="b">
        <v>1</v>
      </c>
    </row>
    <row r="683" spans="1:10">
      <c r="A683" s="26" t="s">
        <v>772</v>
      </c>
      <c r="B683" s="26">
        <v>21</v>
      </c>
      <c r="C683" s="26" t="s">
        <v>59</v>
      </c>
      <c r="D683" s="26" t="s">
        <v>60</v>
      </c>
      <c r="E683" s="27" t="s">
        <v>85</v>
      </c>
      <c r="F683" s="26" t="s">
        <v>80</v>
      </c>
      <c r="G683" s="28">
        <v>5274805</v>
      </c>
      <c r="H683" s="26">
        <v>10</v>
      </c>
      <c r="I683" s="26" t="s">
        <v>67</v>
      </c>
      <c r="J683" s="26" t="b">
        <v>0</v>
      </c>
    </row>
    <row r="684" spans="1:10">
      <c r="A684" s="26" t="s">
        <v>773</v>
      </c>
      <c r="B684" s="26">
        <v>40</v>
      </c>
      <c r="C684" s="26" t="s">
        <v>59</v>
      </c>
      <c r="D684" s="26" t="s">
        <v>60</v>
      </c>
      <c r="E684" s="27" t="s">
        <v>85</v>
      </c>
      <c r="F684" s="26" t="s">
        <v>88</v>
      </c>
      <c r="G684" s="28">
        <v>7589885</v>
      </c>
      <c r="H684" s="26">
        <v>5</v>
      </c>
      <c r="I684" s="26" t="s">
        <v>57</v>
      </c>
      <c r="J684" s="26" t="b">
        <v>0</v>
      </c>
    </row>
    <row r="685" spans="1:10">
      <c r="A685" s="26" t="s">
        <v>774</v>
      </c>
      <c r="B685" s="26">
        <v>26</v>
      </c>
      <c r="C685" s="26" t="s">
        <v>59</v>
      </c>
      <c r="D685" s="26" t="s">
        <v>60</v>
      </c>
      <c r="E685" s="27" t="s">
        <v>85</v>
      </c>
      <c r="F685" s="26" t="s">
        <v>82</v>
      </c>
      <c r="G685" s="28">
        <v>7478750</v>
      </c>
      <c r="H685" s="26">
        <v>11</v>
      </c>
      <c r="I685" s="26" t="s">
        <v>57</v>
      </c>
      <c r="J685" s="26" t="b">
        <v>1</v>
      </c>
    </row>
    <row r="686" spans="1:10">
      <c r="A686" s="26" t="s">
        <v>775</v>
      </c>
      <c r="B686" s="26">
        <v>32</v>
      </c>
      <c r="C686" s="26" t="s">
        <v>53</v>
      </c>
      <c r="D686" s="26" t="s">
        <v>54</v>
      </c>
      <c r="E686" s="27" t="s">
        <v>55</v>
      </c>
      <c r="F686" s="26" t="s">
        <v>167</v>
      </c>
      <c r="G686" s="28">
        <v>6713670</v>
      </c>
      <c r="H686" s="26">
        <v>10</v>
      </c>
      <c r="I686" s="26" t="s">
        <v>63</v>
      </c>
      <c r="J686" s="26" t="b">
        <v>0</v>
      </c>
    </row>
    <row r="687" spans="1:10">
      <c r="A687" s="26" t="s">
        <v>776</v>
      </c>
      <c r="B687" s="26">
        <v>47</v>
      </c>
      <c r="C687" s="26" t="s">
        <v>53</v>
      </c>
      <c r="D687" s="26" t="s">
        <v>54</v>
      </c>
      <c r="E687" s="27" t="s">
        <v>78</v>
      </c>
      <c r="F687" s="26" t="s">
        <v>167</v>
      </c>
      <c r="G687" s="28">
        <v>5823350</v>
      </c>
      <c r="H687" s="26">
        <v>6</v>
      </c>
      <c r="I687" s="26" t="s">
        <v>67</v>
      </c>
      <c r="J687" s="26" t="b">
        <v>1</v>
      </c>
    </row>
    <row r="688" spans="1:10">
      <c r="A688" s="26" t="s">
        <v>777</v>
      </c>
      <c r="B688" s="26">
        <v>21</v>
      </c>
      <c r="C688" s="26" t="s">
        <v>59</v>
      </c>
      <c r="D688" s="26" t="s">
        <v>54</v>
      </c>
      <c r="E688" s="27" t="s">
        <v>65</v>
      </c>
      <c r="F688" s="26" t="s">
        <v>140</v>
      </c>
      <c r="G688" s="28">
        <v>5910150</v>
      </c>
      <c r="H688" s="26">
        <v>12</v>
      </c>
      <c r="I688" s="26" t="s">
        <v>60</v>
      </c>
      <c r="J688" s="26" t="b">
        <v>0</v>
      </c>
    </row>
    <row r="689" spans="1:10">
      <c r="A689" s="26" t="s">
        <v>778</v>
      </c>
      <c r="B689" s="26">
        <v>34</v>
      </c>
      <c r="C689" s="26" t="s">
        <v>59</v>
      </c>
      <c r="D689" s="26" t="s">
        <v>60</v>
      </c>
      <c r="E689" s="27" t="s">
        <v>61</v>
      </c>
      <c r="F689" s="26" t="s">
        <v>98</v>
      </c>
      <c r="G689" s="28">
        <v>3258255</v>
      </c>
      <c r="H689" s="26">
        <v>4</v>
      </c>
      <c r="I689" s="26" t="s">
        <v>60</v>
      </c>
      <c r="J689" s="26" t="b">
        <v>0</v>
      </c>
    </row>
    <row r="690" spans="1:10">
      <c r="A690" s="26" t="s">
        <v>779</v>
      </c>
      <c r="B690" s="26">
        <v>29</v>
      </c>
      <c r="C690" s="26" t="s">
        <v>59</v>
      </c>
      <c r="D690" s="26" t="s">
        <v>54</v>
      </c>
      <c r="E690" s="27" t="s">
        <v>85</v>
      </c>
      <c r="F690" s="26" t="s">
        <v>113</v>
      </c>
      <c r="G690" s="28">
        <v>6336555</v>
      </c>
      <c r="H690" s="26">
        <v>8</v>
      </c>
      <c r="I690" s="26" t="s">
        <v>67</v>
      </c>
      <c r="J690" s="26" t="b">
        <v>0</v>
      </c>
    </row>
    <row r="691" spans="1:10">
      <c r="A691" s="26" t="s">
        <v>780</v>
      </c>
      <c r="B691" s="26">
        <v>20</v>
      </c>
      <c r="C691" s="26" t="s">
        <v>53</v>
      </c>
      <c r="D691" s="26" t="s">
        <v>54</v>
      </c>
      <c r="E691" s="27" t="s">
        <v>61</v>
      </c>
      <c r="F691" s="26" t="s">
        <v>167</v>
      </c>
      <c r="G691" s="28">
        <v>1839075</v>
      </c>
      <c r="H691" s="26">
        <v>10</v>
      </c>
      <c r="I691" s="26" t="s">
        <v>67</v>
      </c>
      <c r="J691" s="26" t="b">
        <v>1</v>
      </c>
    </row>
    <row r="692" spans="1:10">
      <c r="A692" s="26" t="s">
        <v>781</v>
      </c>
      <c r="B692" s="26">
        <v>50</v>
      </c>
      <c r="C692" s="26" t="s">
        <v>59</v>
      </c>
      <c r="D692" s="26" t="s">
        <v>60</v>
      </c>
      <c r="E692" s="27" t="s">
        <v>55</v>
      </c>
      <c r="F692" s="26" t="s">
        <v>100</v>
      </c>
      <c r="G692" s="28">
        <v>2579975</v>
      </c>
      <c r="H692" s="26">
        <v>7</v>
      </c>
      <c r="I692" s="26" t="s">
        <v>67</v>
      </c>
      <c r="J692" s="26" t="b">
        <v>1</v>
      </c>
    </row>
    <row r="693" spans="1:10">
      <c r="A693" s="26" t="s">
        <v>782</v>
      </c>
      <c r="B693" s="26">
        <v>29</v>
      </c>
      <c r="C693" s="26" t="s">
        <v>53</v>
      </c>
      <c r="D693" s="26" t="s">
        <v>54</v>
      </c>
      <c r="E693" s="27" t="s">
        <v>78</v>
      </c>
      <c r="F693" s="26" t="s">
        <v>140</v>
      </c>
      <c r="G693" s="28">
        <v>5972460</v>
      </c>
      <c r="H693" s="26">
        <v>10</v>
      </c>
      <c r="I693" s="26" t="s">
        <v>67</v>
      </c>
      <c r="J693" s="26" t="b">
        <v>1</v>
      </c>
    </row>
    <row r="694" spans="1:10">
      <c r="A694" s="26" t="s">
        <v>783</v>
      </c>
      <c r="B694" s="26">
        <v>25</v>
      </c>
      <c r="C694" s="26" t="s">
        <v>53</v>
      </c>
      <c r="D694" s="26" t="s">
        <v>54</v>
      </c>
      <c r="E694" s="27" t="s">
        <v>61</v>
      </c>
      <c r="F694" s="26" t="s">
        <v>82</v>
      </c>
      <c r="G694" s="28">
        <v>4556845</v>
      </c>
      <c r="H694" s="26">
        <v>10</v>
      </c>
      <c r="I694" s="26" t="s">
        <v>57</v>
      </c>
      <c r="J694" s="26" t="b">
        <v>0</v>
      </c>
    </row>
    <row r="695" spans="1:10">
      <c r="A695" s="26" t="s">
        <v>784</v>
      </c>
      <c r="B695" s="26">
        <v>37</v>
      </c>
      <c r="C695" s="26" t="s">
        <v>59</v>
      </c>
      <c r="D695" s="26" t="s">
        <v>54</v>
      </c>
      <c r="E695" s="27" t="s">
        <v>61</v>
      </c>
      <c r="F695" s="26" t="s">
        <v>104</v>
      </c>
      <c r="G695" s="28">
        <v>2501855</v>
      </c>
      <c r="H695" s="26">
        <v>9</v>
      </c>
      <c r="I695" s="26" t="s">
        <v>67</v>
      </c>
      <c r="J695" s="26" t="b">
        <v>1</v>
      </c>
    </row>
    <row r="696" spans="1:10">
      <c r="A696" s="26" t="s">
        <v>785</v>
      </c>
      <c r="B696" s="26">
        <v>39</v>
      </c>
      <c r="C696" s="26" t="s">
        <v>59</v>
      </c>
      <c r="D696" s="26" t="s">
        <v>54</v>
      </c>
      <c r="E696" s="27" t="s">
        <v>78</v>
      </c>
      <c r="F696" s="26" t="s">
        <v>121</v>
      </c>
      <c r="G696" s="28">
        <v>2029260</v>
      </c>
      <c r="H696" s="26">
        <v>2</v>
      </c>
      <c r="I696" s="26" t="s">
        <v>60</v>
      </c>
      <c r="J696" s="26" t="b">
        <v>1</v>
      </c>
    </row>
    <row r="697" spans="1:10">
      <c r="A697" s="26" t="s">
        <v>786</v>
      </c>
      <c r="B697" s="26">
        <v>48</v>
      </c>
      <c r="C697" s="26" t="s">
        <v>53</v>
      </c>
      <c r="D697" s="26" t="s">
        <v>54</v>
      </c>
      <c r="E697" s="27" t="s">
        <v>65</v>
      </c>
      <c r="F697" s="26" t="s">
        <v>104</v>
      </c>
      <c r="G697" s="28">
        <v>7263300</v>
      </c>
      <c r="H697" s="26">
        <v>4</v>
      </c>
      <c r="I697" s="26" t="s">
        <v>63</v>
      </c>
      <c r="J697" s="26" t="b">
        <v>0</v>
      </c>
    </row>
    <row r="698" spans="1:10">
      <c r="A698" s="26" t="s">
        <v>787</v>
      </c>
      <c r="B698" s="26">
        <v>47</v>
      </c>
      <c r="C698" s="26" t="s">
        <v>59</v>
      </c>
      <c r="D698" s="26" t="s">
        <v>60</v>
      </c>
      <c r="E698" s="27" t="s">
        <v>61</v>
      </c>
      <c r="F698" s="26" t="s">
        <v>104</v>
      </c>
      <c r="G698" s="28">
        <v>3682335</v>
      </c>
      <c r="H698" s="26"/>
      <c r="I698" s="26" t="s">
        <v>63</v>
      </c>
      <c r="J698" s="26" t="b">
        <v>1</v>
      </c>
    </row>
    <row r="699" spans="1:10">
      <c r="A699" s="26" t="s">
        <v>788</v>
      </c>
      <c r="B699" s="26">
        <v>50</v>
      </c>
      <c r="C699" s="26" t="s">
        <v>53</v>
      </c>
      <c r="D699" s="26" t="s">
        <v>54</v>
      </c>
      <c r="E699" s="27" t="s">
        <v>61</v>
      </c>
      <c r="F699" s="26" t="s">
        <v>71</v>
      </c>
      <c r="G699" s="28">
        <v>6125290</v>
      </c>
      <c r="H699" s="26">
        <v>5</v>
      </c>
      <c r="I699" s="26" t="s">
        <v>57</v>
      </c>
      <c r="J699" s="26" t="b">
        <v>1</v>
      </c>
    </row>
    <row r="700" spans="1:10">
      <c r="A700" s="26" t="s">
        <v>789</v>
      </c>
      <c r="B700" s="26">
        <v>42</v>
      </c>
      <c r="C700" s="26" t="s">
        <v>59</v>
      </c>
      <c r="D700" s="26" t="s">
        <v>60</v>
      </c>
      <c r="E700" s="27" t="s">
        <v>78</v>
      </c>
      <c r="F700" s="26" t="s">
        <v>98</v>
      </c>
      <c r="G700" s="28">
        <v>6633070</v>
      </c>
      <c r="H700" s="26">
        <v>12</v>
      </c>
      <c r="I700" s="26" t="s">
        <v>60</v>
      </c>
      <c r="J700" s="26" t="b">
        <v>0</v>
      </c>
    </row>
    <row r="701" spans="1:10">
      <c r="A701" s="26" t="s">
        <v>790</v>
      </c>
      <c r="B701" s="26">
        <v>28</v>
      </c>
      <c r="C701" s="26" t="s">
        <v>53</v>
      </c>
      <c r="D701" s="26" t="s">
        <v>60</v>
      </c>
      <c r="E701" s="27" t="s">
        <v>65</v>
      </c>
      <c r="F701" s="26" t="s">
        <v>92</v>
      </c>
      <c r="G701" s="28">
        <v>1259065</v>
      </c>
      <c r="H701" s="26">
        <v>9</v>
      </c>
      <c r="I701" s="26" t="s">
        <v>60</v>
      </c>
      <c r="J701" s="26" t="b">
        <v>0</v>
      </c>
    </row>
    <row r="702" spans="1:10">
      <c r="A702" s="26" t="s">
        <v>791</v>
      </c>
      <c r="B702" s="26">
        <v>23</v>
      </c>
      <c r="C702" s="26" t="s">
        <v>59</v>
      </c>
      <c r="D702" s="26" t="s">
        <v>54</v>
      </c>
      <c r="E702" s="27" t="s">
        <v>55</v>
      </c>
      <c r="F702" s="26" t="s">
        <v>92</v>
      </c>
      <c r="G702" s="28">
        <v>3990165</v>
      </c>
      <c r="H702" s="26">
        <v>5</v>
      </c>
      <c r="I702" s="26" t="s">
        <v>67</v>
      </c>
      <c r="J702" s="26" t="b">
        <v>1</v>
      </c>
    </row>
    <row r="703" spans="1:10">
      <c r="A703" s="26" t="s">
        <v>792</v>
      </c>
      <c r="B703" s="26">
        <v>42</v>
      </c>
      <c r="C703" s="26" t="s">
        <v>59</v>
      </c>
      <c r="D703" s="26" t="s">
        <v>60</v>
      </c>
      <c r="E703" s="27" t="s">
        <v>73</v>
      </c>
      <c r="F703" s="26" t="s">
        <v>109</v>
      </c>
      <c r="G703" s="28">
        <v>4738815</v>
      </c>
      <c r="H703" s="26">
        <v>7</v>
      </c>
      <c r="I703" s="26" t="s">
        <v>63</v>
      </c>
      <c r="J703" s="26" t="b">
        <v>1</v>
      </c>
    </row>
    <row r="704" spans="1:10">
      <c r="A704" s="26" t="s">
        <v>793</v>
      </c>
      <c r="B704" s="26">
        <v>32</v>
      </c>
      <c r="C704" s="26" t="s">
        <v>59</v>
      </c>
      <c r="D704" s="26" t="s">
        <v>60</v>
      </c>
      <c r="E704" s="27" t="s">
        <v>55</v>
      </c>
      <c r="F704" s="26" t="s">
        <v>104</v>
      </c>
      <c r="G704" s="28">
        <v>3872210</v>
      </c>
      <c r="H704" s="26">
        <v>10</v>
      </c>
      <c r="I704" s="26" t="s">
        <v>60</v>
      </c>
      <c r="J704" s="26" t="b">
        <v>1</v>
      </c>
    </row>
    <row r="705" spans="1:10">
      <c r="A705" s="26" t="s">
        <v>794</v>
      </c>
      <c r="B705" s="26">
        <v>33</v>
      </c>
      <c r="C705" s="26" t="s">
        <v>59</v>
      </c>
      <c r="D705" s="26" t="s">
        <v>54</v>
      </c>
      <c r="E705" s="27" t="s">
        <v>78</v>
      </c>
      <c r="F705" s="26" t="s">
        <v>88</v>
      </c>
      <c r="G705" s="28">
        <v>5158245</v>
      </c>
      <c r="H705" s="26">
        <v>11</v>
      </c>
      <c r="I705" s="26" t="s">
        <v>57</v>
      </c>
      <c r="J705" s="26" t="b">
        <v>0</v>
      </c>
    </row>
    <row r="706" spans="1:10">
      <c r="A706" s="26" t="s">
        <v>795</v>
      </c>
      <c r="B706" s="26">
        <v>32</v>
      </c>
      <c r="C706" s="26" t="s">
        <v>59</v>
      </c>
      <c r="D706" s="26" t="s">
        <v>60</v>
      </c>
      <c r="E706" s="27" t="s">
        <v>73</v>
      </c>
      <c r="F706" s="26" t="s">
        <v>109</v>
      </c>
      <c r="G706" s="28">
        <v>1222950</v>
      </c>
      <c r="H706" s="26">
        <v>3</v>
      </c>
      <c r="I706" s="26" t="s">
        <v>67</v>
      </c>
      <c r="J706" s="26" t="b">
        <v>0</v>
      </c>
    </row>
    <row r="707" spans="1:10">
      <c r="A707" s="26" t="s">
        <v>796</v>
      </c>
      <c r="B707" s="26">
        <v>29</v>
      </c>
      <c r="C707" s="26" t="s">
        <v>59</v>
      </c>
      <c r="D707" s="26" t="s">
        <v>60</v>
      </c>
      <c r="E707" s="27" t="s">
        <v>61</v>
      </c>
      <c r="F707" s="26" t="s">
        <v>90</v>
      </c>
      <c r="G707" s="28">
        <v>1899525</v>
      </c>
      <c r="H707" s="26">
        <v>9</v>
      </c>
      <c r="I707" s="26" t="s">
        <v>67</v>
      </c>
      <c r="J707" s="26" t="b">
        <v>0</v>
      </c>
    </row>
    <row r="708" spans="1:10">
      <c r="A708" s="26" t="s">
        <v>797</v>
      </c>
      <c r="B708" s="26">
        <v>25</v>
      </c>
      <c r="C708" s="26" t="s">
        <v>53</v>
      </c>
      <c r="D708" s="26" t="s">
        <v>60</v>
      </c>
      <c r="E708" s="27" t="s">
        <v>65</v>
      </c>
      <c r="F708" s="26" t="s">
        <v>82</v>
      </c>
      <c r="G708" s="28">
        <v>4767955</v>
      </c>
      <c r="H708" s="26">
        <v>6</v>
      </c>
      <c r="I708" s="26" t="s">
        <v>67</v>
      </c>
      <c r="J708" s="26" t="b">
        <v>1</v>
      </c>
    </row>
    <row r="709" spans="1:10">
      <c r="A709" s="26" t="s">
        <v>798</v>
      </c>
      <c r="B709" s="26">
        <v>41</v>
      </c>
      <c r="C709" s="26" t="s">
        <v>53</v>
      </c>
      <c r="D709" s="26" t="s">
        <v>60</v>
      </c>
      <c r="E709" s="27" t="s">
        <v>73</v>
      </c>
      <c r="F709" s="26" t="s">
        <v>100</v>
      </c>
      <c r="G709" s="28">
        <v>2361115</v>
      </c>
      <c r="H709" s="26">
        <v>2</v>
      </c>
      <c r="I709" s="26" t="s">
        <v>57</v>
      </c>
      <c r="J709" s="26" t="b">
        <v>0</v>
      </c>
    </row>
    <row r="710" spans="1:10">
      <c r="A710" s="26" t="s">
        <v>799</v>
      </c>
      <c r="B710" s="26">
        <v>24</v>
      </c>
      <c r="C710" s="26" t="s">
        <v>53</v>
      </c>
      <c r="D710" s="26" t="s">
        <v>54</v>
      </c>
      <c r="E710" s="27" t="s">
        <v>85</v>
      </c>
      <c r="F710" s="26" t="s">
        <v>82</v>
      </c>
      <c r="G710" s="28">
        <v>7208585</v>
      </c>
      <c r="H710" s="26">
        <v>8</v>
      </c>
      <c r="I710" s="26" t="s">
        <v>63</v>
      </c>
      <c r="J710" s="26" t="b">
        <v>0</v>
      </c>
    </row>
    <row r="711" spans="1:10">
      <c r="A711" s="26" t="s">
        <v>800</v>
      </c>
      <c r="B711" s="26">
        <v>32</v>
      </c>
      <c r="C711" s="26" t="s">
        <v>53</v>
      </c>
      <c r="D711" s="26" t="s">
        <v>60</v>
      </c>
      <c r="E711" s="27" t="s">
        <v>65</v>
      </c>
      <c r="F711" s="26" t="s">
        <v>80</v>
      </c>
      <c r="G711" s="28">
        <v>7722565</v>
      </c>
      <c r="H711" s="26">
        <v>10</v>
      </c>
      <c r="I711" s="26" t="s">
        <v>57</v>
      </c>
      <c r="J711" s="26" t="b">
        <v>1</v>
      </c>
    </row>
    <row r="712" spans="1:10">
      <c r="A712" s="26" t="s">
        <v>801</v>
      </c>
      <c r="B712" s="26">
        <v>41</v>
      </c>
      <c r="C712" s="26" t="s">
        <v>53</v>
      </c>
      <c r="D712" s="26" t="s">
        <v>54</v>
      </c>
      <c r="E712" s="27" t="s">
        <v>61</v>
      </c>
      <c r="F712" s="26" t="s">
        <v>86</v>
      </c>
      <c r="G712" s="28">
        <v>7613290</v>
      </c>
      <c r="H712" s="26">
        <v>3</v>
      </c>
      <c r="I712" s="26" t="s">
        <v>60</v>
      </c>
      <c r="J712" s="26" t="b">
        <v>0</v>
      </c>
    </row>
    <row r="713" spans="1:10">
      <c r="A713" s="26" t="s">
        <v>802</v>
      </c>
      <c r="B713" s="26">
        <v>18</v>
      </c>
      <c r="C713" s="26" t="s">
        <v>59</v>
      </c>
      <c r="D713" s="26" t="s">
        <v>54</v>
      </c>
      <c r="E713" s="27" t="s">
        <v>85</v>
      </c>
      <c r="F713" s="26" t="s">
        <v>90</v>
      </c>
      <c r="G713" s="28">
        <v>2316010</v>
      </c>
      <c r="H713" s="26">
        <v>3</v>
      </c>
      <c r="I713" s="26" t="s">
        <v>63</v>
      </c>
      <c r="J713" s="26" t="b">
        <v>1</v>
      </c>
    </row>
    <row r="714" spans="1:10">
      <c r="A714" s="26" t="s">
        <v>803</v>
      </c>
      <c r="B714" s="26">
        <v>25</v>
      </c>
      <c r="C714" s="26" t="s">
        <v>59</v>
      </c>
      <c r="D714" s="26" t="s">
        <v>54</v>
      </c>
      <c r="E714" s="27" t="s">
        <v>78</v>
      </c>
      <c r="F714" s="26" t="s">
        <v>71</v>
      </c>
      <c r="G714" s="28">
        <v>1273015</v>
      </c>
      <c r="H714" s="26">
        <v>9</v>
      </c>
      <c r="I714" s="26" t="s">
        <v>63</v>
      </c>
      <c r="J714" s="26" t="b">
        <v>1</v>
      </c>
    </row>
    <row r="715" spans="1:10">
      <c r="A715" s="26" t="s">
        <v>804</v>
      </c>
      <c r="B715" s="26">
        <v>49</v>
      </c>
      <c r="C715" s="26" t="s">
        <v>59</v>
      </c>
      <c r="D715" s="26" t="s">
        <v>54</v>
      </c>
      <c r="E715" s="27" t="s">
        <v>85</v>
      </c>
      <c r="F715" s="26" t="s">
        <v>80</v>
      </c>
      <c r="G715" s="28">
        <v>6590290</v>
      </c>
      <c r="H715" s="26">
        <v>4</v>
      </c>
      <c r="I715" s="26" t="s">
        <v>63</v>
      </c>
      <c r="J715" s="26" t="b">
        <v>1</v>
      </c>
    </row>
    <row r="716" spans="1:10">
      <c r="A716" s="26" t="s">
        <v>805</v>
      </c>
      <c r="B716" s="26">
        <v>39</v>
      </c>
      <c r="C716" s="26" t="s">
        <v>59</v>
      </c>
      <c r="D716" s="26" t="s">
        <v>60</v>
      </c>
      <c r="E716" s="27" t="s">
        <v>61</v>
      </c>
      <c r="F716" s="26" t="s">
        <v>109</v>
      </c>
      <c r="G716" s="28">
        <v>2729860</v>
      </c>
      <c r="H716" s="26">
        <v>8</v>
      </c>
      <c r="I716" s="26" t="s">
        <v>63</v>
      </c>
      <c r="J716" s="26" t="b">
        <v>1</v>
      </c>
    </row>
    <row r="717" spans="1:10">
      <c r="A717" s="26" t="s">
        <v>806</v>
      </c>
      <c r="B717" s="26">
        <v>47</v>
      </c>
      <c r="C717" s="26" t="s">
        <v>53</v>
      </c>
      <c r="D717" s="26" t="s">
        <v>60</v>
      </c>
      <c r="E717" s="27" t="s">
        <v>61</v>
      </c>
      <c r="F717" s="26" t="s">
        <v>167</v>
      </c>
      <c r="G717" s="28">
        <v>1089650</v>
      </c>
      <c r="H717" s="26">
        <v>6</v>
      </c>
      <c r="I717" s="26" t="s">
        <v>57</v>
      </c>
      <c r="J717" s="26" t="b">
        <v>1</v>
      </c>
    </row>
    <row r="718" spans="1:10">
      <c r="A718" s="26" t="s">
        <v>807</v>
      </c>
      <c r="B718" s="26">
        <v>43</v>
      </c>
      <c r="C718" s="26" t="s">
        <v>59</v>
      </c>
      <c r="D718" s="26" t="s">
        <v>54</v>
      </c>
      <c r="E718" s="27" t="s">
        <v>65</v>
      </c>
      <c r="F718" s="26" t="s">
        <v>86</v>
      </c>
      <c r="G718" s="28">
        <v>4950545</v>
      </c>
      <c r="H718" s="26">
        <v>7</v>
      </c>
      <c r="I718" s="26" t="s">
        <v>57</v>
      </c>
      <c r="J718" s="26" t="b">
        <v>0</v>
      </c>
    </row>
    <row r="719" spans="1:10">
      <c r="A719" s="26" t="s">
        <v>808</v>
      </c>
      <c r="B719" s="26">
        <v>38</v>
      </c>
      <c r="C719" s="26" t="s">
        <v>53</v>
      </c>
      <c r="D719" s="26" t="s">
        <v>60</v>
      </c>
      <c r="E719" s="27" t="s">
        <v>55</v>
      </c>
      <c r="F719" s="26" t="s">
        <v>69</v>
      </c>
      <c r="G719" s="28">
        <v>1759405</v>
      </c>
      <c r="H719" s="26">
        <v>11</v>
      </c>
      <c r="I719" s="26" t="s">
        <v>60</v>
      </c>
      <c r="J719" s="26" t="b">
        <v>1</v>
      </c>
    </row>
    <row r="720" spans="1:10">
      <c r="A720" s="26" t="s">
        <v>809</v>
      </c>
      <c r="B720" s="26">
        <v>40</v>
      </c>
      <c r="C720" s="26" t="s">
        <v>53</v>
      </c>
      <c r="D720" s="26" t="s">
        <v>60</v>
      </c>
      <c r="E720" s="27" t="s">
        <v>85</v>
      </c>
      <c r="F720" s="26" t="s">
        <v>88</v>
      </c>
      <c r="G720" s="28">
        <v>7637470</v>
      </c>
      <c r="H720" s="26">
        <v>2</v>
      </c>
      <c r="I720" s="26" t="s">
        <v>67</v>
      </c>
      <c r="J720" s="26" t="b">
        <v>1</v>
      </c>
    </row>
    <row r="721" spans="1:10">
      <c r="A721" s="26" t="s">
        <v>810</v>
      </c>
      <c r="B721" s="26">
        <v>33</v>
      </c>
      <c r="C721" s="26" t="s">
        <v>59</v>
      </c>
      <c r="D721" s="26" t="s">
        <v>54</v>
      </c>
      <c r="E721" s="27" t="s">
        <v>78</v>
      </c>
      <c r="F721" s="26" t="s">
        <v>71</v>
      </c>
      <c r="G721" s="28">
        <v>2228900</v>
      </c>
      <c r="H721" s="26">
        <v>9</v>
      </c>
      <c r="I721" s="26" t="s">
        <v>67</v>
      </c>
      <c r="J721" s="26" t="b">
        <v>1</v>
      </c>
    </row>
    <row r="722" spans="1:10">
      <c r="A722" s="26" t="s">
        <v>811</v>
      </c>
      <c r="B722" s="26">
        <v>18</v>
      </c>
      <c r="C722" s="26" t="s">
        <v>53</v>
      </c>
      <c r="D722" s="26" t="s">
        <v>54</v>
      </c>
      <c r="E722" s="27" t="s">
        <v>55</v>
      </c>
      <c r="F722" s="26" t="s">
        <v>109</v>
      </c>
      <c r="G722" s="28">
        <v>2457370</v>
      </c>
      <c r="H722" s="26">
        <v>5</v>
      </c>
      <c r="I722" s="26" t="s">
        <v>67</v>
      </c>
      <c r="J722" s="26" t="b">
        <v>0</v>
      </c>
    </row>
    <row r="723" spans="1:10">
      <c r="A723" s="26" t="s">
        <v>812</v>
      </c>
      <c r="B723" s="26">
        <v>39</v>
      </c>
      <c r="C723" s="26" t="s">
        <v>53</v>
      </c>
      <c r="D723" s="26" t="s">
        <v>60</v>
      </c>
      <c r="E723" s="27" t="s">
        <v>78</v>
      </c>
      <c r="F723" s="26" t="s">
        <v>71</v>
      </c>
      <c r="G723" s="28">
        <v>3307545</v>
      </c>
      <c r="H723" s="26">
        <v>6</v>
      </c>
      <c r="I723" s="26" t="s">
        <v>63</v>
      </c>
      <c r="J723" s="26" t="b">
        <v>0</v>
      </c>
    </row>
    <row r="724" spans="1:10">
      <c r="A724" s="26" t="s">
        <v>813</v>
      </c>
      <c r="B724" s="26">
        <v>31</v>
      </c>
      <c r="C724" s="26" t="s">
        <v>59</v>
      </c>
      <c r="D724" s="26" t="s">
        <v>54</v>
      </c>
      <c r="E724" s="27" t="s">
        <v>78</v>
      </c>
      <c r="F724" s="26" t="s">
        <v>113</v>
      </c>
      <c r="G724" s="28">
        <v>1971290</v>
      </c>
      <c r="H724" s="26">
        <v>2</v>
      </c>
      <c r="I724" s="26" t="s">
        <v>63</v>
      </c>
      <c r="J724" s="26" t="b">
        <v>0</v>
      </c>
    </row>
    <row r="725" spans="1:10">
      <c r="A725" s="26" t="s">
        <v>814</v>
      </c>
      <c r="B725" s="26">
        <v>27</v>
      </c>
      <c r="C725" s="26" t="s">
        <v>59</v>
      </c>
      <c r="D725" s="26" t="s">
        <v>54</v>
      </c>
      <c r="E725" s="27" t="s">
        <v>55</v>
      </c>
      <c r="F725" s="26" t="s">
        <v>86</v>
      </c>
      <c r="G725" s="28">
        <v>7387765</v>
      </c>
      <c r="H725" s="26"/>
      <c r="I725" s="26" t="s">
        <v>63</v>
      </c>
      <c r="J725" s="26" t="b">
        <v>1</v>
      </c>
    </row>
    <row r="726" spans="1:10">
      <c r="A726" s="26" t="s">
        <v>815</v>
      </c>
      <c r="B726" s="26">
        <v>31</v>
      </c>
      <c r="C726" s="26" t="s">
        <v>53</v>
      </c>
      <c r="D726" s="26" t="s">
        <v>60</v>
      </c>
      <c r="E726" s="27" t="s">
        <v>73</v>
      </c>
      <c r="F726" s="26" t="s">
        <v>88</v>
      </c>
      <c r="G726" s="28">
        <v>868310</v>
      </c>
      <c r="H726" s="26">
        <v>3</v>
      </c>
      <c r="I726" s="26" t="s">
        <v>57</v>
      </c>
      <c r="J726" s="26" t="b">
        <v>0</v>
      </c>
    </row>
    <row r="727" spans="1:10">
      <c r="A727" s="26" t="s">
        <v>816</v>
      </c>
      <c r="B727" s="26">
        <v>36</v>
      </c>
      <c r="C727" s="26" t="s">
        <v>53</v>
      </c>
      <c r="D727" s="26" t="s">
        <v>60</v>
      </c>
      <c r="E727" s="27" t="s">
        <v>61</v>
      </c>
      <c r="F727" s="26" t="s">
        <v>98</v>
      </c>
      <c r="G727" s="28">
        <v>6184035</v>
      </c>
      <c r="H727" s="26">
        <v>3</v>
      </c>
      <c r="I727" s="26" t="s">
        <v>60</v>
      </c>
      <c r="J727" s="26" t="b">
        <v>0</v>
      </c>
    </row>
    <row r="728" spans="1:10">
      <c r="A728" s="26" t="s">
        <v>817</v>
      </c>
      <c r="B728" s="26">
        <v>27</v>
      </c>
      <c r="C728" s="26" t="s">
        <v>53</v>
      </c>
      <c r="D728" s="26" t="s">
        <v>54</v>
      </c>
      <c r="E728" s="27" t="s">
        <v>65</v>
      </c>
      <c r="F728" s="26" t="s">
        <v>121</v>
      </c>
      <c r="G728" s="28">
        <v>828475</v>
      </c>
      <c r="H728" s="26">
        <v>6</v>
      </c>
      <c r="I728" s="26" t="s">
        <v>60</v>
      </c>
      <c r="J728" s="26" t="b">
        <v>0</v>
      </c>
    </row>
    <row r="729" spans="1:10">
      <c r="A729" s="26" t="s">
        <v>818</v>
      </c>
      <c r="B729" s="26">
        <v>21</v>
      </c>
      <c r="C729" s="26" t="s">
        <v>53</v>
      </c>
      <c r="D729" s="26" t="s">
        <v>54</v>
      </c>
      <c r="E729" s="27" t="s">
        <v>85</v>
      </c>
      <c r="F729" s="26" t="s">
        <v>121</v>
      </c>
      <c r="G729" s="28">
        <v>948445</v>
      </c>
      <c r="H729" s="26">
        <v>2</v>
      </c>
      <c r="I729" s="26" t="s">
        <v>57</v>
      </c>
      <c r="J729" s="26" t="b">
        <v>1</v>
      </c>
    </row>
    <row r="730" spans="1:10">
      <c r="A730" s="26" t="s">
        <v>819</v>
      </c>
      <c r="B730" s="26">
        <v>50</v>
      </c>
      <c r="C730" s="26" t="s">
        <v>53</v>
      </c>
      <c r="D730" s="26" t="s">
        <v>54</v>
      </c>
      <c r="E730" s="27" t="s">
        <v>55</v>
      </c>
      <c r="F730" s="26" t="s">
        <v>86</v>
      </c>
      <c r="G730" s="28">
        <v>7305305</v>
      </c>
      <c r="H730" s="26">
        <v>4</v>
      </c>
      <c r="I730" s="26" t="s">
        <v>60</v>
      </c>
      <c r="J730" s="26" t="b">
        <v>0</v>
      </c>
    </row>
    <row r="731" spans="1:10">
      <c r="A731" s="26" t="s">
        <v>820</v>
      </c>
      <c r="B731" s="26">
        <v>49</v>
      </c>
      <c r="C731" s="26" t="s">
        <v>53</v>
      </c>
      <c r="D731" s="26" t="s">
        <v>60</v>
      </c>
      <c r="E731" s="27" t="s">
        <v>73</v>
      </c>
      <c r="F731" s="26" t="s">
        <v>90</v>
      </c>
      <c r="G731" s="28">
        <v>2777445</v>
      </c>
      <c r="H731" s="26">
        <v>10</v>
      </c>
      <c r="I731" s="26" t="s">
        <v>67</v>
      </c>
      <c r="J731" s="26" t="b">
        <v>0</v>
      </c>
    </row>
    <row r="732" spans="1:10">
      <c r="A732" s="26" t="s">
        <v>821</v>
      </c>
      <c r="B732" s="26">
        <v>43</v>
      </c>
      <c r="C732" s="26" t="s">
        <v>53</v>
      </c>
      <c r="D732" s="26" t="s">
        <v>60</v>
      </c>
      <c r="E732" s="27" t="s">
        <v>55</v>
      </c>
      <c r="F732" s="26" t="s">
        <v>62</v>
      </c>
      <c r="G732" s="28">
        <v>4566455</v>
      </c>
      <c r="H732" s="26"/>
      <c r="I732" s="26" t="s">
        <v>57</v>
      </c>
      <c r="J732" s="26" t="b">
        <v>0</v>
      </c>
    </row>
    <row r="733" spans="1:10">
      <c r="A733" s="26" t="s">
        <v>822</v>
      </c>
      <c r="B733" s="26">
        <v>35</v>
      </c>
      <c r="C733" s="26" t="s">
        <v>53</v>
      </c>
      <c r="D733" s="26" t="s">
        <v>60</v>
      </c>
      <c r="E733" s="27" t="s">
        <v>55</v>
      </c>
      <c r="F733" s="26" t="s">
        <v>90</v>
      </c>
      <c r="G733" s="28">
        <v>5819475</v>
      </c>
      <c r="H733" s="26">
        <v>6</v>
      </c>
      <c r="I733" s="26" t="s">
        <v>60</v>
      </c>
      <c r="J733" s="26" t="b">
        <v>0</v>
      </c>
    </row>
    <row r="734" spans="1:10">
      <c r="A734" s="26" t="s">
        <v>823</v>
      </c>
      <c r="B734" s="26">
        <v>21</v>
      </c>
      <c r="C734" s="26" t="s">
        <v>59</v>
      </c>
      <c r="D734" s="26" t="s">
        <v>54</v>
      </c>
      <c r="E734" s="27" t="s">
        <v>78</v>
      </c>
      <c r="F734" s="26" t="s">
        <v>98</v>
      </c>
      <c r="G734" s="28">
        <v>1294250</v>
      </c>
      <c r="H734" s="26">
        <v>12</v>
      </c>
      <c r="I734" s="26" t="s">
        <v>57</v>
      </c>
      <c r="J734" s="26" t="b">
        <v>1</v>
      </c>
    </row>
    <row r="735" spans="1:10">
      <c r="A735" s="26" t="s">
        <v>824</v>
      </c>
      <c r="B735" s="26">
        <v>34</v>
      </c>
      <c r="C735" s="26" t="s">
        <v>59</v>
      </c>
      <c r="D735" s="26" t="s">
        <v>60</v>
      </c>
      <c r="E735" s="27" t="s">
        <v>78</v>
      </c>
      <c r="F735" s="26" t="s">
        <v>69</v>
      </c>
      <c r="G735" s="28">
        <v>1703140</v>
      </c>
      <c r="H735" s="26">
        <v>7</v>
      </c>
      <c r="I735" s="26" t="s">
        <v>67</v>
      </c>
      <c r="J735" s="26" t="b">
        <v>0</v>
      </c>
    </row>
    <row r="736" spans="1:10">
      <c r="A736" s="26" t="s">
        <v>825</v>
      </c>
      <c r="B736" s="26">
        <v>21</v>
      </c>
      <c r="C736" s="26" t="s">
        <v>53</v>
      </c>
      <c r="D736" s="26" t="s">
        <v>60</v>
      </c>
      <c r="E736" s="27" t="s">
        <v>65</v>
      </c>
      <c r="F736" s="26" t="s">
        <v>66</v>
      </c>
      <c r="G736" s="28">
        <v>2829370</v>
      </c>
      <c r="H736" s="26">
        <v>11</v>
      </c>
      <c r="I736" s="26" t="s">
        <v>63</v>
      </c>
      <c r="J736" s="26" t="b">
        <v>0</v>
      </c>
    </row>
    <row r="737" spans="1:10">
      <c r="A737" s="26" t="s">
        <v>826</v>
      </c>
      <c r="B737" s="26">
        <v>23</v>
      </c>
      <c r="C737" s="26" t="s">
        <v>53</v>
      </c>
      <c r="D737" s="26" t="s">
        <v>60</v>
      </c>
      <c r="E737" s="27" t="s">
        <v>55</v>
      </c>
      <c r="F737" s="26" t="s">
        <v>71</v>
      </c>
      <c r="G737" s="28">
        <v>7214940</v>
      </c>
      <c r="H737" s="26">
        <v>3</v>
      </c>
      <c r="I737" s="26" t="s">
        <v>63</v>
      </c>
      <c r="J737" s="26" t="b">
        <v>0</v>
      </c>
    </row>
    <row r="738" spans="1:10">
      <c r="A738" s="26" t="s">
        <v>827</v>
      </c>
      <c r="B738" s="26">
        <v>31</v>
      </c>
      <c r="C738" s="26" t="s">
        <v>53</v>
      </c>
      <c r="D738" s="26" t="s">
        <v>54</v>
      </c>
      <c r="E738" s="27" t="s">
        <v>78</v>
      </c>
      <c r="F738" s="26" t="s">
        <v>90</v>
      </c>
      <c r="G738" s="28">
        <v>3480060</v>
      </c>
      <c r="H738" s="26">
        <v>8</v>
      </c>
      <c r="I738" s="26" t="s">
        <v>67</v>
      </c>
      <c r="J738" s="26" t="b">
        <v>1</v>
      </c>
    </row>
    <row r="739" spans="1:10">
      <c r="A739" s="26" t="s">
        <v>828</v>
      </c>
      <c r="B739" s="26">
        <v>21</v>
      </c>
      <c r="C739" s="26" t="s">
        <v>59</v>
      </c>
      <c r="D739" s="26" t="s">
        <v>60</v>
      </c>
      <c r="E739" s="27" t="s">
        <v>61</v>
      </c>
      <c r="F739" s="26" t="s">
        <v>137</v>
      </c>
      <c r="G739" s="28">
        <v>4361235</v>
      </c>
      <c r="H739" s="26">
        <v>12</v>
      </c>
      <c r="I739" s="26" t="s">
        <v>67</v>
      </c>
      <c r="J739" s="26" t="b">
        <v>0</v>
      </c>
    </row>
    <row r="740" spans="1:10">
      <c r="A740" s="26" t="s">
        <v>829</v>
      </c>
      <c r="B740" s="26">
        <v>22</v>
      </c>
      <c r="C740" s="26" t="s">
        <v>53</v>
      </c>
      <c r="D740" s="26" t="s">
        <v>54</v>
      </c>
      <c r="E740" s="27" t="s">
        <v>65</v>
      </c>
      <c r="F740" s="26" t="s">
        <v>66</v>
      </c>
      <c r="G740" s="28">
        <v>1948040</v>
      </c>
      <c r="H740" s="26">
        <v>2</v>
      </c>
      <c r="I740" s="26" t="s">
        <v>57</v>
      </c>
      <c r="J740" s="26" t="b">
        <v>1</v>
      </c>
    </row>
    <row r="741" spans="1:10">
      <c r="A741" s="26" t="s">
        <v>830</v>
      </c>
      <c r="B741" s="26">
        <v>38</v>
      </c>
      <c r="C741" s="26" t="s">
        <v>53</v>
      </c>
      <c r="D741" s="26" t="s">
        <v>60</v>
      </c>
      <c r="E741" s="27" t="s">
        <v>73</v>
      </c>
      <c r="F741" s="26" t="s">
        <v>137</v>
      </c>
      <c r="G741" s="28">
        <v>2762255</v>
      </c>
      <c r="H741" s="26">
        <v>7</v>
      </c>
      <c r="I741" s="26" t="s">
        <v>67</v>
      </c>
      <c r="J741" s="26" t="b">
        <v>0</v>
      </c>
    </row>
    <row r="742" spans="1:10">
      <c r="A742" s="26" t="s">
        <v>831</v>
      </c>
      <c r="B742" s="26">
        <v>27</v>
      </c>
      <c r="C742" s="26" t="s">
        <v>59</v>
      </c>
      <c r="D742" s="26" t="s">
        <v>60</v>
      </c>
      <c r="E742" s="27" t="s">
        <v>55</v>
      </c>
      <c r="F742" s="26" t="s">
        <v>90</v>
      </c>
      <c r="G742" s="28">
        <v>7490065</v>
      </c>
      <c r="H742" s="26">
        <v>7</v>
      </c>
      <c r="I742" s="26" t="s">
        <v>63</v>
      </c>
      <c r="J742" s="26" t="b">
        <v>1</v>
      </c>
    </row>
    <row r="743" spans="1:10">
      <c r="A743" s="26" t="s">
        <v>832</v>
      </c>
      <c r="B743" s="26">
        <v>18</v>
      </c>
      <c r="C743" s="26" t="s">
        <v>59</v>
      </c>
      <c r="D743" s="26" t="s">
        <v>54</v>
      </c>
      <c r="E743" s="27" t="s">
        <v>78</v>
      </c>
      <c r="F743" s="26" t="s">
        <v>69</v>
      </c>
      <c r="G743" s="28">
        <v>6437150</v>
      </c>
      <c r="H743" s="26">
        <v>11</v>
      </c>
      <c r="I743" s="26" t="s">
        <v>67</v>
      </c>
      <c r="J743" s="26" t="b">
        <v>0</v>
      </c>
    </row>
    <row r="744" spans="1:10">
      <c r="A744" s="26" t="s">
        <v>833</v>
      </c>
      <c r="B744" s="26">
        <v>36</v>
      </c>
      <c r="C744" s="26" t="s">
        <v>59</v>
      </c>
      <c r="D744" s="26" t="s">
        <v>60</v>
      </c>
      <c r="E744" s="27" t="s">
        <v>55</v>
      </c>
      <c r="F744" s="26" t="s">
        <v>98</v>
      </c>
      <c r="G744" s="28">
        <v>1325560</v>
      </c>
      <c r="H744" s="26">
        <v>7</v>
      </c>
      <c r="I744" s="26" t="s">
        <v>63</v>
      </c>
      <c r="J744" s="26" t="b">
        <v>0</v>
      </c>
    </row>
    <row r="745" spans="1:10">
      <c r="A745" s="26" t="s">
        <v>834</v>
      </c>
      <c r="B745" s="26">
        <v>44</v>
      </c>
      <c r="C745" s="26" t="s">
        <v>53</v>
      </c>
      <c r="D745" s="26" t="s">
        <v>54</v>
      </c>
      <c r="E745" s="27" t="s">
        <v>78</v>
      </c>
      <c r="F745" s="26" t="s">
        <v>96</v>
      </c>
      <c r="G745" s="28">
        <v>6545805</v>
      </c>
      <c r="H745" s="26">
        <v>2</v>
      </c>
      <c r="I745" s="26" t="s">
        <v>63</v>
      </c>
      <c r="J745" s="26" t="b">
        <v>1</v>
      </c>
    </row>
    <row r="746" spans="1:10">
      <c r="A746" s="26" t="s">
        <v>835</v>
      </c>
      <c r="B746" s="26">
        <v>48</v>
      </c>
      <c r="C746" s="26" t="s">
        <v>53</v>
      </c>
      <c r="D746" s="26" t="s">
        <v>60</v>
      </c>
      <c r="E746" s="27" t="s">
        <v>78</v>
      </c>
      <c r="F746" s="26" t="s">
        <v>109</v>
      </c>
      <c r="G746" s="28">
        <v>1091510</v>
      </c>
      <c r="H746" s="26">
        <v>11</v>
      </c>
      <c r="I746" s="26" t="s">
        <v>60</v>
      </c>
      <c r="J746" s="26" t="b">
        <v>0</v>
      </c>
    </row>
    <row r="747" spans="1:10">
      <c r="A747" s="26" t="s">
        <v>836</v>
      </c>
      <c r="B747" s="26">
        <v>23</v>
      </c>
      <c r="C747" s="26" t="s">
        <v>53</v>
      </c>
      <c r="D747" s="26" t="s">
        <v>54</v>
      </c>
      <c r="E747" s="27" t="s">
        <v>85</v>
      </c>
      <c r="F747" s="26" t="s">
        <v>104</v>
      </c>
      <c r="G747" s="28">
        <v>6779700</v>
      </c>
      <c r="H747" s="26"/>
      <c r="I747" s="26" t="s">
        <v>60</v>
      </c>
      <c r="J747" s="26" t="b">
        <v>0</v>
      </c>
    </row>
    <row r="748" spans="1:10">
      <c r="A748" s="26" t="s">
        <v>837</v>
      </c>
      <c r="B748" s="26">
        <v>35</v>
      </c>
      <c r="C748" s="26" t="s">
        <v>59</v>
      </c>
      <c r="D748" s="26" t="s">
        <v>54</v>
      </c>
      <c r="E748" s="27" t="s">
        <v>55</v>
      </c>
      <c r="F748" s="26" t="s">
        <v>167</v>
      </c>
      <c r="G748" s="28">
        <v>3210205</v>
      </c>
      <c r="H748" s="26">
        <v>4</v>
      </c>
      <c r="I748" s="26" t="s">
        <v>60</v>
      </c>
      <c r="J748" s="26" t="b">
        <v>1</v>
      </c>
    </row>
    <row r="749" spans="1:10">
      <c r="A749" s="26" t="s">
        <v>838</v>
      </c>
      <c r="B749" s="26">
        <v>50</v>
      </c>
      <c r="C749" s="26" t="s">
        <v>53</v>
      </c>
      <c r="D749" s="26" t="s">
        <v>60</v>
      </c>
      <c r="E749" s="27" t="s">
        <v>61</v>
      </c>
      <c r="F749" s="26" t="s">
        <v>88</v>
      </c>
      <c r="G749" s="28">
        <v>5872485</v>
      </c>
      <c r="H749" s="26">
        <v>2</v>
      </c>
      <c r="I749" s="26" t="s">
        <v>57</v>
      </c>
      <c r="J749" s="26" t="b">
        <v>1</v>
      </c>
    </row>
    <row r="750" spans="1:10">
      <c r="A750" s="26" t="s">
        <v>839</v>
      </c>
      <c r="B750" s="26">
        <v>30</v>
      </c>
      <c r="C750" s="26" t="s">
        <v>53</v>
      </c>
      <c r="D750" s="26" t="s">
        <v>60</v>
      </c>
      <c r="E750" s="27" t="s">
        <v>61</v>
      </c>
      <c r="F750" s="26" t="s">
        <v>102</v>
      </c>
      <c r="G750" s="28">
        <v>5409500</v>
      </c>
      <c r="H750" s="26">
        <v>10</v>
      </c>
      <c r="I750" s="26" t="s">
        <v>67</v>
      </c>
      <c r="J750" s="26" t="b">
        <v>0</v>
      </c>
    </row>
    <row r="751" spans="1:10">
      <c r="A751" s="26" t="s">
        <v>840</v>
      </c>
      <c r="B751" s="26">
        <v>38</v>
      </c>
      <c r="C751" s="26" t="s">
        <v>59</v>
      </c>
      <c r="D751" s="26" t="s">
        <v>54</v>
      </c>
      <c r="E751" s="27" t="s">
        <v>55</v>
      </c>
      <c r="F751" s="26" t="s">
        <v>92</v>
      </c>
      <c r="G751" s="28">
        <v>5119185</v>
      </c>
      <c r="H751" s="26">
        <v>3</v>
      </c>
      <c r="I751" s="26" t="s">
        <v>60</v>
      </c>
      <c r="J751" s="26" t="b">
        <v>1</v>
      </c>
    </row>
    <row r="752" spans="1:10">
      <c r="A752" s="26" t="s">
        <v>841</v>
      </c>
      <c r="B752" s="26">
        <v>42</v>
      </c>
      <c r="C752" s="26" t="s">
        <v>59</v>
      </c>
      <c r="D752" s="26" t="s">
        <v>54</v>
      </c>
      <c r="E752" s="27" t="s">
        <v>61</v>
      </c>
      <c r="F752" s="26" t="s">
        <v>113</v>
      </c>
      <c r="G752" s="28">
        <v>6359495</v>
      </c>
      <c r="H752" s="26">
        <v>10</v>
      </c>
      <c r="I752" s="26" t="s">
        <v>67</v>
      </c>
      <c r="J752" s="26" t="b">
        <v>1</v>
      </c>
    </row>
    <row r="753" spans="1:10">
      <c r="A753" s="26" t="s">
        <v>842</v>
      </c>
      <c r="B753" s="26">
        <v>24</v>
      </c>
      <c r="C753" s="26" t="s">
        <v>53</v>
      </c>
      <c r="D753" s="26" t="s">
        <v>60</v>
      </c>
      <c r="E753" s="27" t="s">
        <v>73</v>
      </c>
      <c r="F753" s="26" t="s">
        <v>92</v>
      </c>
      <c r="G753" s="28">
        <v>6213330</v>
      </c>
      <c r="H753" s="26">
        <v>7</v>
      </c>
      <c r="I753" s="26" t="s">
        <v>60</v>
      </c>
      <c r="J753" s="26" t="b">
        <v>1</v>
      </c>
    </row>
    <row r="754" spans="1:10">
      <c r="A754" s="26" t="s">
        <v>843</v>
      </c>
      <c r="B754" s="26">
        <v>27</v>
      </c>
      <c r="C754" s="26" t="s">
        <v>53</v>
      </c>
      <c r="D754" s="26" t="s">
        <v>60</v>
      </c>
      <c r="E754" s="27" t="s">
        <v>73</v>
      </c>
      <c r="F754" s="26" t="s">
        <v>137</v>
      </c>
      <c r="G754" s="28">
        <v>3489360</v>
      </c>
      <c r="H754" s="26">
        <v>11</v>
      </c>
      <c r="I754" s="26" t="s">
        <v>63</v>
      </c>
      <c r="J754" s="26" t="b">
        <v>1</v>
      </c>
    </row>
    <row r="755" spans="1:10">
      <c r="A755" s="26" t="s">
        <v>844</v>
      </c>
      <c r="B755" s="26">
        <v>36</v>
      </c>
      <c r="C755" s="26" t="s">
        <v>53</v>
      </c>
      <c r="D755" s="26" t="s">
        <v>60</v>
      </c>
      <c r="E755" s="27" t="s">
        <v>73</v>
      </c>
      <c r="F755" s="26" t="s">
        <v>137</v>
      </c>
      <c r="G755" s="28">
        <v>4238940</v>
      </c>
      <c r="H755" s="26">
        <v>12</v>
      </c>
      <c r="I755" s="26" t="s">
        <v>67</v>
      </c>
      <c r="J755" s="26" t="b">
        <v>1</v>
      </c>
    </row>
    <row r="756" spans="1:10">
      <c r="A756" s="26" t="s">
        <v>845</v>
      </c>
      <c r="B756" s="26">
        <v>19</v>
      </c>
      <c r="C756" s="26" t="s">
        <v>53</v>
      </c>
      <c r="D756" s="26" t="s">
        <v>60</v>
      </c>
      <c r="E756" s="27" t="s">
        <v>61</v>
      </c>
      <c r="F756" s="26" t="s">
        <v>71</v>
      </c>
      <c r="G756" s="28">
        <v>5639520</v>
      </c>
      <c r="H756" s="26">
        <v>11</v>
      </c>
      <c r="I756" s="26" t="s">
        <v>67</v>
      </c>
      <c r="J756" s="26" t="b">
        <v>1</v>
      </c>
    </row>
    <row r="757" spans="1:10">
      <c r="A757" s="26" t="s">
        <v>846</v>
      </c>
      <c r="B757" s="26">
        <v>24</v>
      </c>
      <c r="C757" s="26" t="s">
        <v>53</v>
      </c>
      <c r="D757" s="26" t="s">
        <v>60</v>
      </c>
      <c r="E757" s="27" t="s">
        <v>61</v>
      </c>
      <c r="F757" s="26" t="s">
        <v>96</v>
      </c>
      <c r="G757" s="28">
        <v>4690300</v>
      </c>
      <c r="H757" s="26">
        <v>9</v>
      </c>
      <c r="I757" s="26" t="s">
        <v>63</v>
      </c>
      <c r="J757" s="26" t="b">
        <v>0</v>
      </c>
    </row>
    <row r="758" spans="1:10">
      <c r="A758" s="26" t="s">
        <v>847</v>
      </c>
      <c r="B758" s="26">
        <v>35</v>
      </c>
      <c r="C758" s="26" t="s">
        <v>59</v>
      </c>
      <c r="D758" s="26" t="s">
        <v>60</v>
      </c>
      <c r="E758" s="27" t="s">
        <v>78</v>
      </c>
      <c r="F758" s="26" t="s">
        <v>88</v>
      </c>
      <c r="G758" s="28">
        <v>4914895</v>
      </c>
      <c r="H758" s="26">
        <v>6</v>
      </c>
      <c r="I758" s="26" t="s">
        <v>60</v>
      </c>
      <c r="J758" s="26" t="b">
        <v>1</v>
      </c>
    </row>
    <row r="759" spans="1:10">
      <c r="A759" s="26" t="s">
        <v>848</v>
      </c>
      <c r="B759" s="26">
        <v>38</v>
      </c>
      <c r="C759" s="26" t="s">
        <v>53</v>
      </c>
      <c r="D759" s="26" t="s">
        <v>60</v>
      </c>
      <c r="E759" s="27" t="s">
        <v>61</v>
      </c>
      <c r="F759" s="26" t="s">
        <v>137</v>
      </c>
      <c r="G759" s="28">
        <v>2996460</v>
      </c>
      <c r="H759" s="26">
        <v>9</v>
      </c>
      <c r="I759" s="26" t="s">
        <v>57</v>
      </c>
      <c r="J759" s="26" t="b">
        <v>0</v>
      </c>
    </row>
    <row r="760" spans="1:10">
      <c r="A760" s="26" t="s">
        <v>849</v>
      </c>
      <c r="B760" s="26">
        <v>34</v>
      </c>
      <c r="C760" s="26" t="s">
        <v>59</v>
      </c>
      <c r="D760" s="26" t="s">
        <v>60</v>
      </c>
      <c r="E760" s="27" t="s">
        <v>73</v>
      </c>
      <c r="F760" s="26" t="s">
        <v>100</v>
      </c>
      <c r="G760" s="28">
        <v>4374720</v>
      </c>
      <c r="H760" s="26">
        <v>6</v>
      </c>
      <c r="I760" s="26" t="s">
        <v>57</v>
      </c>
      <c r="J760" s="26" t="b">
        <v>1</v>
      </c>
    </row>
    <row r="761" spans="1:10">
      <c r="A761" s="26" t="s">
        <v>850</v>
      </c>
      <c r="B761" s="26">
        <v>29</v>
      </c>
      <c r="C761" s="26" t="s">
        <v>53</v>
      </c>
      <c r="D761" s="26" t="s">
        <v>60</v>
      </c>
      <c r="E761" s="27" t="s">
        <v>65</v>
      </c>
      <c r="F761" s="26" t="s">
        <v>92</v>
      </c>
      <c r="G761" s="28">
        <v>2389945</v>
      </c>
      <c r="H761" s="26">
        <v>6</v>
      </c>
      <c r="I761" s="26" t="s">
        <v>63</v>
      </c>
      <c r="J761" s="26" t="b">
        <v>1</v>
      </c>
    </row>
    <row r="762" spans="1:10">
      <c r="A762" s="26" t="s">
        <v>851</v>
      </c>
      <c r="B762" s="26">
        <v>41</v>
      </c>
      <c r="C762" s="26" t="s">
        <v>53</v>
      </c>
      <c r="D762" s="26" t="s">
        <v>54</v>
      </c>
      <c r="E762" s="27" t="s">
        <v>55</v>
      </c>
      <c r="F762" s="26" t="s">
        <v>71</v>
      </c>
      <c r="G762" s="28">
        <v>1304325</v>
      </c>
      <c r="H762" s="26">
        <v>10</v>
      </c>
      <c r="I762" s="26" t="s">
        <v>60</v>
      </c>
      <c r="J762" s="26" t="b">
        <v>1</v>
      </c>
    </row>
    <row r="763" spans="1:10">
      <c r="A763" s="26" t="s">
        <v>852</v>
      </c>
      <c r="B763" s="26">
        <v>41</v>
      </c>
      <c r="C763" s="26" t="s">
        <v>59</v>
      </c>
      <c r="D763" s="26" t="s">
        <v>54</v>
      </c>
      <c r="E763" s="27" t="s">
        <v>65</v>
      </c>
      <c r="F763" s="26" t="s">
        <v>113</v>
      </c>
      <c r="G763" s="28">
        <v>3327695</v>
      </c>
      <c r="H763" s="26">
        <v>7</v>
      </c>
      <c r="I763" s="26" t="s">
        <v>63</v>
      </c>
      <c r="J763" s="26" t="b">
        <v>1</v>
      </c>
    </row>
    <row r="764" spans="1:10">
      <c r="A764" s="26" t="s">
        <v>853</v>
      </c>
      <c r="B764" s="26">
        <v>32</v>
      </c>
      <c r="C764" s="26" t="s">
        <v>59</v>
      </c>
      <c r="D764" s="26" t="s">
        <v>60</v>
      </c>
      <c r="E764" s="27" t="s">
        <v>55</v>
      </c>
      <c r="F764" s="26" t="s">
        <v>88</v>
      </c>
      <c r="G764" s="28">
        <v>948755</v>
      </c>
      <c r="H764" s="26">
        <v>12</v>
      </c>
      <c r="I764" s="26" t="s">
        <v>57</v>
      </c>
      <c r="J764" s="26" t="b">
        <v>1</v>
      </c>
    </row>
    <row r="765" spans="1:10">
      <c r="A765" s="26" t="s">
        <v>854</v>
      </c>
      <c r="B765" s="26">
        <v>36</v>
      </c>
      <c r="C765" s="26" t="s">
        <v>53</v>
      </c>
      <c r="D765" s="26" t="s">
        <v>54</v>
      </c>
      <c r="E765" s="27" t="s">
        <v>55</v>
      </c>
      <c r="F765" s="26" t="s">
        <v>96</v>
      </c>
      <c r="G765" s="28">
        <v>7168440</v>
      </c>
      <c r="H765" s="26">
        <v>11</v>
      </c>
      <c r="I765" s="26" t="s">
        <v>63</v>
      </c>
      <c r="J765" s="26" t="b">
        <v>0</v>
      </c>
    </row>
    <row r="766" spans="1:10">
      <c r="A766" s="26" t="s">
        <v>855</v>
      </c>
      <c r="B766" s="26">
        <v>33</v>
      </c>
      <c r="C766" s="26" t="s">
        <v>59</v>
      </c>
      <c r="D766" s="26" t="s">
        <v>54</v>
      </c>
      <c r="E766" s="27" t="s">
        <v>55</v>
      </c>
      <c r="F766" s="26" t="s">
        <v>100</v>
      </c>
      <c r="G766" s="28">
        <v>6962290</v>
      </c>
      <c r="H766" s="26">
        <v>3</v>
      </c>
      <c r="I766" s="26" t="s">
        <v>63</v>
      </c>
      <c r="J766" s="26" t="b">
        <v>1</v>
      </c>
    </row>
    <row r="767" spans="1:10">
      <c r="A767" s="26" t="s">
        <v>856</v>
      </c>
      <c r="B767" s="26">
        <v>25</v>
      </c>
      <c r="C767" s="26" t="s">
        <v>53</v>
      </c>
      <c r="D767" s="26" t="s">
        <v>54</v>
      </c>
      <c r="E767" s="27" t="s">
        <v>55</v>
      </c>
      <c r="F767" s="26" t="s">
        <v>82</v>
      </c>
      <c r="G767" s="28">
        <v>4872580</v>
      </c>
      <c r="H767" s="26">
        <v>7</v>
      </c>
      <c r="I767" s="26" t="s">
        <v>63</v>
      </c>
      <c r="J767" s="26" t="b">
        <v>1</v>
      </c>
    </row>
    <row r="768" spans="1:10">
      <c r="A768" s="26" t="s">
        <v>857</v>
      </c>
      <c r="B768" s="26">
        <v>46</v>
      </c>
      <c r="C768" s="26" t="s">
        <v>53</v>
      </c>
      <c r="D768" s="26" t="s">
        <v>54</v>
      </c>
      <c r="E768" s="27" t="s">
        <v>65</v>
      </c>
      <c r="F768" s="26" t="s">
        <v>167</v>
      </c>
      <c r="G768" s="28">
        <v>5699350</v>
      </c>
      <c r="H768" s="26">
        <v>3</v>
      </c>
      <c r="I768" s="26" t="s">
        <v>57</v>
      </c>
      <c r="J768" s="26" t="b">
        <v>1</v>
      </c>
    </row>
    <row r="769" spans="1:10">
      <c r="A769" s="26" t="s">
        <v>858</v>
      </c>
      <c r="B769" s="26">
        <v>41</v>
      </c>
      <c r="C769" s="26" t="s">
        <v>53</v>
      </c>
      <c r="D769" s="26" t="s">
        <v>60</v>
      </c>
      <c r="E769" s="27" t="s">
        <v>55</v>
      </c>
      <c r="F769" s="26" t="s">
        <v>80</v>
      </c>
      <c r="G769" s="28">
        <v>3564535</v>
      </c>
      <c r="H769" s="26">
        <v>7</v>
      </c>
      <c r="I769" s="26" t="s">
        <v>57</v>
      </c>
      <c r="J769" s="26" t="b">
        <v>0</v>
      </c>
    </row>
    <row r="770" spans="1:10">
      <c r="A770" s="26" t="s">
        <v>859</v>
      </c>
      <c r="B770" s="26">
        <v>28</v>
      </c>
      <c r="C770" s="26" t="s">
        <v>53</v>
      </c>
      <c r="D770" s="26" t="s">
        <v>54</v>
      </c>
      <c r="E770" s="27" t="s">
        <v>55</v>
      </c>
      <c r="F770" s="26" t="s">
        <v>69</v>
      </c>
      <c r="G770" s="28">
        <v>3511215</v>
      </c>
      <c r="H770" s="26">
        <v>3</v>
      </c>
      <c r="I770" s="26" t="s">
        <v>60</v>
      </c>
      <c r="J770" s="26" t="b">
        <v>1</v>
      </c>
    </row>
    <row r="771" spans="1:10">
      <c r="A771" s="26" t="s">
        <v>860</v>
      </c>
      <c r="B771" s="26">
        <v>23</v>
      </c>
      <c r="C771" s="26" t="s">
        <v>59</v>
      </c>
      <c r="D771" s="26" t="s">
        <v>60</v>
      </c>
      <c r="E771" s="27" t="s">
        <v>78</v>
      </c>
      <c r="F771" s="26" t="s">
        <v>100</v>
      </c>
      <c r="G771" s="28">
        <v>3383960</v>
      </c>
      <c r="H771" s="26">
        <v>2</v>
      </c>
      <c r="I771" s="26" t="s">
        <v>60</v>
      </c>
      <c r="J771" s="26" t="b">
        <v>0</v>
      </c>
    </row>
    <row r="772" spans="1:10">
      <c r="A772" s="26" t="s">
        <v>861</v>
      </c>
      <c r="B772" s="26">
        <v>48</v>
      </c>
      <c r="C772" s="26" t="s">
        <v>53</v>
      </c>
      <c r="D772" s="26" t="s">
        <v>60</v>
      </c>
      <c r="E772" s="27" t="s">
        <v>73</v>
      </c>
      <c r="F772" s="26" t="s">
        <v>71</v>
      </c>
      <c r="G772" s="28">
        <v>2056385</v>
      </c>
      <c r="H772" s="26">
        <v>7</v>
      </c>
      <c r="I772" s="26" t="s">
        <v>67</v>
      </c>
      <c r="J772" s="26" t="b">
        <v>1</v>
      </c>
    </row>
    <row r="773" spans="1:10">
      <c r="A773" s="26" t="s">
        <v>862</v>
      </c>
      <c r="B773" s="26">
        <v>26</v>
      </c>
      <c r="C773" s="26" t="s">
        <v>59</v>
      </c>
      <c r="D773" s="26" t="s">
        <v>60</v>
      </c>
      <c r="E773" s="27" t="s">
        <v>85</v>
      </c>
      <c r="F773" s="26" t="s">
        <v>109</v>
      </c>
      <c r="G773" s="28">
        <v>6462880</v>
      </c>
      <c r="H773" s="26">
        <v>7</v>
      </c>
      <c r="I773" s="26" t="s">
        <v>60</v>
      </c>
      <c r="J773" s="26" t="b">
        <v>0</v>
      </c>
    </row>
    <row r="774" spans="1:10">
      <c r="A774" s="26" t="s">
        <v>863</v>
      </c>
      <c r="B774" s="26">
        <v>39</v>
      </c>
      <c r="C774" s="26" t="s">
        <v>53</v>
      </c>
      <c r="D774" s="26" t="s">
        <v>60</v>
      </c>
      <c r="E774" s="27" t="s">
        <v>65</v>
      </c>
      <c r="F774" s="26" t="s">
        <v>109</v>
      </c>
      <c r="G774" s="28">
        <v>7122405</v>
      </c>
      <c r="H774" s="26">
        <v>7</v>
      </c>
      <c r="I774" s="26" t="s">
        <v>60</v>
      </c>
      <c r="J774" s="26" t="b">
        <v>1</v>
      </c>
    </row>
    <row r="775" spans="1:10">
      <c r="A775" s="26" t="s">
        <v>864</v>
      </c>
      <c r="B775" s="26">
        <v>45</v>
      </c>
      <c r="C775" s="26" t="s">
        <v>59</v>
      </c>
      <c r="D775" s="26" t="s">
        <v>54</v>
      </c>
      <c r="E775" s="27" t="s">
        <v>78</v>
      </c>
      <c r="F775" s="26" t="s">
        <v>80</v>
      </c>
      <c r="G775" s="28">
        <v>7563380</v>
      </c>
      <c r="H775" s="26">
        <v>2</v>
      </c>
      <c r="I775" s="26" t="s">
        <v>67</v>
      </c>
      <c r="J775" s="26" t="b">
        <v>1</v>
      </c>
    </row>
    <row r="776" spans="1:10">
      <c r="A776" s="26" t="s">
        <v>865</v>
      </c>
      <c r="B776" s="26">
        <v>22</v>
      </c>
      <c r="C776" s="26" t="s">
        <v>59</v>
      </c>
      <c r="D776" s="26" t="s">
        <v>54</v>
      </c>
      <c r="E776" s="27" t="s">
        <v>61</v>
      </c>
      <c r="F776" s="26" t="s">
        <v>104</v>
      </c>
      <c r="G776" s="28">
        <v>2326705</v>
      </c>
      <c r="H776" s="26">
        <v>7</v>
      </c>
      <c r="I776" s="26" t="s">
        <v>67</v>
      </c>
      <c r="J776" s="26" t="b">
        <v>1</v>
      </c>
    </row>
    <row r="777" spans="1:10">
      <c r="A777" s="26" t="s">
        <v>866</v>
      </c>
      <c r="B777" s="26">
        <v>36</v>
      </c>
      <c r="C777" s="26" t="s">
        <v>59</v>
      </c>
      <c r="D777" s="26" t="s">
        <v>60</v>
      </c>
      <c r="E777" s="27" t="s">
        <v>55</v>
      </c>
      <c r="F777" s="26" t="s">
        <v>92</v>
      </c>
      <c r="G777" s="28">
        <v>3392485</v>
      </c>
      <c r="H777" s="26">
        <v>5</v>
      </c>
      <c r="I777" s="26" t="s">
        <v>63</v>
      </c>
      <c r="J777" s="26" t="b">
        <v>1</v>
      </c>
    </row>
    <row r="778" spans="1:10">
      <c r="A778" s="26" t="s">
        <v>867</v>
      </c>
      <c r="B778" s="26">
        <v>29</v>
      </c>
      <c r="C778" s="26" t="s">
        <v>53</v>
      </c>
      <c r="D778" s="26" t="s">
        <v>54</v>
      </c>
      <c r="E778" s="27" t="s">
        <v>78</v>
      </c>
      <c r="F778" s="26" t="s">
        <v>82</v>
      </c>
      <c r="G778" s="28">
        <v>6774430</v>
      </c>
      <c r="H778" s="26">
        <v>7</v>
      </c>
      <c r="I778" s="26" t="s">
        <v>67</v>
      </c>
      <c r="J778" s="26" t="b">
        <v>0</v>
      </c>
    </row>
    <row r="779" spans="1:10">
      <c r="A779" s="26" t="s">
        <v>868</v>
      </c>
      <c r="B779" s="26">
        <v>33</v>
      </c>
      <c r="C779" s="26" t="s">
        <v>59</v>
      </c>
      <c r="D779" s="26" t="s">
        <v>60</v>
      </c>
      <c r="E779" s="27" t="s">
        <v>61</v>
      </c>
      <c r="F779" s="26" t="s">
        <v>137</v>
      </c>
      <c r="G779" s="28">
        <v>1899990</v>
      </c>
      <c r="H779" s="26">
        <v>2</v>
      </c>
      <c r="I779" s="26" t="s">
        <v>67</v>
      </c>
      <c r="J779" s="26" t="b">
        <v>1</v>
      </c>
    </row>
    <row r="780" spans="1:10">
      <c r="A780" s="26" t="s">
        <v>869</v>
      </c>
      <c r="B780" s="26">
        <v>35</v>
      </c>
      <c r="C780" s="26" t="s">
        <v>59</v>
      </c>
      <c r="D780" s="26" t="s">
        <v>60</v>
      </c>
      <c r="E780" s="27" t="s">
        <v>65</v>
      </c>
      <c r="F780" s="26" t="s">
        <v>62</v>
      </c>
      <c r="G780" s="28">
        <v>3023585</v>
      </c>
      <c r="H780" s="26">
        <v>8</v>
      </c>
      <c r="I780" s="26" t="s">
        <v>60</v>
      </c>
      <c r="J780" s="26" t="b">
        <v>0</v>
      </c>
    </row>
    <row r="781" spans="1:10">
      <c r="A781" s="26" t="s">
        <v>870</v>
      </c>
      <c r="B781" s="26">
        <v>39</v>
      </c>
      <c r="C781" s="26" t="s">
        <v>53</v>
      </c>
      <c r="D781" s="26" t="s">
        <v>54</v>
      </c>
      <c r="E781" s="27" t="s">
        <v>85</v>
      </c>
      <c r="F781" s="26" t="s">
        <v>76</v>
      </c>
      <c r="G781" s="28">
        <v>2945930</v>
      </c>
      <c r="H781" s="26">
        <v>9</v>
      </c>
      <c r="I781" s="26" t="s">
        <v>57</v>
      </c>
      <c r="J781" s="26" t="b">
        <v>1</v>
      </c>
    </row>
    <row r="782" spans="1:10">
      <c r="A782" s="26" t="s">
        <v>871</v>
      </c>
      <c r="B782" s="26">
        <v>38</v>
      </c>
      <c r="C782" s="26" t="s">
        <v>53</v>
      </c>
      <c r="D782" s="26" t="s">
        <v>54</v>
      </c>
      <c r="E782" s="27" t="s">
        <v>65</v>
      </c>
      <c r="F782" s="26" t="s">
        <v>121</v>
      </c>
      <c r="G782" s="28">
        <v>7529280</v>
      </c>
      <c r="H782" s="26">
        <v>10</v>
      </c>
      <c r="I782" s="26" t="s">
        <v>63</v>
      </c>
      <c r="J782" s="26" t="b">
        <v>1</v>
      </c>
    </row>
    <row r="783" spans="1:10">
      <c r="A783" s="26" t="s">
        <v>872</v>
      </c>
      <c r="B783" s="26">
        <v>27</v>
      </c>
      <c r="C783" s="26" t="s">
        <v>53</v>
      </c>
      <c r="D783" s="26" t="s">
        <v>60</v>
      </c>
      <c r="E783" s="27" t="s">
        <v>61</v>
      </c>
      <c r="F783" s="26" t="s">
        <v>76</v>
      </c>
      <c r="G783" s="28">
        <v>3759835</v>
      </c>
      <c r="H783" s="26">
        <v>7</v>
      </c>
      <c r="I783" s="26" t="s">
        <v>67</v>
      </c>
      <c r="J783" s="26" t="b">
        <v>1</v>
      </c>
    </row>
    <row r="784" spans="1:10">
      <c r="A784" s="26" t="s">
        <v>873</v>
      </c>
      <c r="B784" s="26">
        <v>35</v>
      </c>
      <c r="C784" s="26" t="s">
        <v>59</v>
      </c>
      <c r="D784" s="26" t="s">
        <v>54</v>
      </c>
      <c r="E784" s="27" t="s">
        <v>65</v>
      </c>
      <c r="F784" s="26" t="s">
        <v>109</v>
      </c>
      <c r="G784" s="28">
        <v>4698515</v>
      </c>
      <c r="H784" s="26">
        <v>2</v>
      </c>
      <c r="I784" s="26" t="s">
        <v>60</v>
      </c>
      <c r="J784" s="26" t="b">
        <v>0</v>
      </c>
    </row>
    <row r="785" spans="1:10">
      <c r="A785" s="26" t="s">
        <v>874</v>
      </c>
      <c r="B785" s="26">
        <v>43</v>
      </c>
      <c r="C785" s="26" t="s">
        <v>53</v>
      </c>
      <c r="D785" s="26" t="s">
        <v>54</v>
      </c>
      <c r="E785" s="27" t="s">
        <v>78</v>
      </c>
      <c r="F785" s="26" t="s">
        <v>104</v>
      </c>
      <c r="G785" s="28">
        <v>2109550</v>
      </c>
      <c r="H785" s="26">
        <v>5</v>
      </c>
      <c r="I785" s="26" t="s">
        <v>67</v>
      </c>
      <c r="J785" s="26" t="b">
        <v>0</v>
      </c>
    </row>
    <row r="786" spans="1:10">
      <c r="A786" s="26" t="s">
        <v>875</v>
      </c>
      <c r="B786" s="26">
        <v>40</v>
      </c>
      <c r="C786" s="26" t="s">
        <v>53</v>
      </c>
      <c r="D786" s="26" t="s">
        <v>60</v>
      </c>
      <c r="E786" s="27" t="s">
        <v>78</v>
      </c>
      <c r="F786" s="26" t="s">
        <v>98</v>
      </c>
      <c r="G786" s="28">
        <v>3859810</v>
      </c>
      <c r="H786" s="26">
        <v>11</v>
      </c>
      <c r="I786" s="26" t="s">
        <v>63</v>
      </c>
      <c r="J786" s="26" t="b">
        <v>1</v>
      </c>
    </row>
    <row r="787" spans="1:10">
      <c r="A787" s="26" t="s">
        <v>876</v>
      </c>
      <c r="B787" s="26">
        <v>19</v>
      </c>
      <c r="C787" s="26" t="s">
        <v>59</v>
      </c>
      <c r="D787" s="26" t="s">
        <v>54</v>
      </c>
      <c r="E787" s="27" t="s">
        <v>78</v>
      </c>
      <c r="F787" s="26" t="s">
        <v>66</v>
      </c>
      <c r="G787" s="28">
        <v>7234470</v>
      </c>
      <c r="H787" s="26">
        <v>7</v>
      </c>
      <c r="I787" s="26" t="s">
        <v>63</v>
      </c>
      <c r="J787" s="26" t="b">
        <v>1</v>
      </c>
    </row>
    <row r="788" spans="1:10">
      <c r="A788" s="26" t="s">
        <v>877</v>
      </c>
      <c r="B788" s="26">
        <v>46</v>
      </c>
      <c r="C788" s="26" t="s">
        <v>53</v>
      </c>
      <c r="D788" s="26" t="s">
        <v>60</v>
      </c>
      <c r="E788" s="27" t="s">
        <v>78</v>
      </c>
      <c r="F788" s="26" t="s">
        <v>88</v>
      </c>
      <c r="G788" s="28">
        <v>3554150</v>
      </c>
      <c r="H788" s="26">
        <v>6</v>
      </c>
      <c r="I788" s="26" t="s">
        <v>57</v>
      </c>
      <c r="J788" s="26" t="b">
        <v>0</v>
      </c>
    </row>
    <row r="789" spans="1:10">
      <c r="A789" s="26" t="s">
        <v>878</v>
      </c>
      <c r="B789" s="26">
        <v>30</v>
      </c>
      <c r="C789" s="26" t="s">
        <v>53</v>
      </c>
      <c r="D789" s="26" t="s">
        <v>60</v>
      </c>
      <c r="E789" s="27" t="s">
        <v>61</v>
      </c>
      <c r="F789" s="26" t="s">
        <v>96</v>
      </c>
      <c r="G789" s="28">
        <v>6983060</v>
      </c>
      <c r="H789" s="26">
        <v>8</v>
      </c>
      <c r="I789" s="26" t="s">
        <v>60</v>
      </c>
      <c r="J789" s="26" t="b">
        <v>1</v>
      </c>
    </row>
    <row r="790" spans="1:10">
      <c r="A790" s="26" t="s">
        <v>879</v>
      </c>
      <c r="B790" s="26">
        <v>35</v>
      </c>
      <c r="C790" s="26" t="s">
        <v>59</v>
      </c>
      <c r="D790" s="26" t="s">
        <v>60</v>
      </c>
      <c r="E790" s="27" t="s">
        <v>85</v>
      </c>
      <c r="F790" s="26" t="s">
        <v>121</v>
      </c>
      <c r="G790" s="28">
        <v>3819820</v>
      </c>
      <c r="H790" s="26">
        <v>4</v>
      </c>
      <c r="I790" s="26" t="s">
        <v>63</v>
      </c>
      <c r="J790" s="26" t="b">
        <v>0</v>
      </c>
    </row>
    <row r="791" spans="1:10">
      <c r="A791" s="26" t="s">
        <v>880</v>
      </c>
      <c r="B791" s="26">
        <v>34</v>
      </c>
      <c r="C791" s="26" t="s">
        <v>59</v>
      </c>
      <c r="D791" s="26" t="s">
        <v>60</v>
      </c>
      <c r="E791" s="27" t="s">
        <v>78</v>
      </c>
      <c r="F791" s="26" t="s">
        <v>69</v>
      </c>
      <c r="G791" s="28">
        <v>1449560</v>
      </c>
      <c r="H791" s="26">
        <v>2</v>
      </c>
      <c r="I791" s="26" t="s">
        <v>57</v>
      </c>
      <c r="J791" s="26" t="b">
        <v>0</v>
      </c>
    </row>
    <row r="792" spans="1:10">
      <c r="A792" s="26" t="s">
        <v>881</v>
      </c>
      <c r="B792" s="26">
        <v>28</v>
      </c>
      <c r="C792" s="26" t="s">
        <v>53</v>
      </c>
      <c r="D792" s="26" t="s">
        <v>54</v>
      </c>
      <c r="E792" s="27" t="s">
        <v>85</v>
      </c>
      <c r="F792" s="26" t="s">
        <v>121</v>
      </c>
      <c r="G792" s="28">
        <v>2135125</v>
      </c>
      <c r="H792" s="26">
        <v>6</v>
      </c>
      <c r="I792" s="26" t="s">
        <v>60</v>
      </c>
      <c r="J792" s="26" t="b">
        <v>0</v>
      </c>
    </row>
    <row r="793" spans="1:10">
      <c r="A793" s="26" t="s">
        <v>882</v>
      </c>
      <c r="B793" s="26">
        <v>44</v>
      </c>
      <c r="C793" s="26" t="s">
        <v>53</v>
      </c>
      <c r="D793" s="26" t="s">
        <v>54</v>
      </c>
      <c r="E793" s="27" t="s">
        <v>61</v>
      </c>
      <c r="F793" s="26" t="s">
        <v>69</v>
      </c>
      <c r="G793" s="28">
        <v>1218920</v>
      </c>
      <c r="H793" s="26">
        <v>5</v>
      </c>
      <c r="I793" s="26" t="s">
        <v>60</v>
      </c>
      <c r="J793" s="26" t="b">
        <v>1</v>
      </c>
    </row>
    <row r="794" spans="1:10">
      <c r="A794" s="26" t="s">
        <v>883</v>
      </c>
      <c r="B794" s="26">
        <v>25</v>
      </c>
      <c r="C794" s="26" t="s">
        <v>59</v>
      </c>
      <c r="D794" s="26" t="s">
        <v>60</v>
      </c>
      <c r="E794" s="27" t="s">
        <v>78</v>
      </c>
      <c r="F794" s="26" t="s">
        <v>100</v>
      </c>
      <c r="G794" s="28">
        <v>3329710</v>
      </c>
      <c r="H794" s="26">
        <v>9</v>
      </c>
      <c r="I794" s="26" t="s">
        <v>57</v>
      </c>
      <c r="J794" s="26" t="b">
        <v>1</v>
      </c>
    </row>
    <row r="795" spans="1:10">
      <c r="A795" s="26" t="s">
        <v>884</v>
      </c>
      <c r="B795" s="26">
        <v>45</v>
      </c>
      <c r="C795" s="26" t="s">
        <v>59</v>
      </c>
      <c r="D795" s="26" t="s">
        <v>54</v>
      </c>
      <c r="E795" s="27" t="s">
        <v>55</v>
      </c>
      <c r="F795" s="26" t="s">
        <v>82</v>
      </c>
      <c r="G795" s="28">
        <v>889545</v>
      </c>
      <c r="H795" s="26">
        <v>3</v>
      </c>
      <c r="I795" s="26" t="s">
        <v>57</v>
      </c>
      <c r="J795" s="26" t="b">
        <v>0</v>
      </c>
    </row>
    <row r="796" spans="1:10">
      <c r="A796" s="26" t="s">
        <v>885</v>
      </c>
      <c r="B796" s="26">
        <v>47</v>
      </c>
      <c r="C796" s="26" t="s">
        <v>53</v>
      </c>
      <c r="D796" s="26" t="s">
        <v>60</v>
      </c>
      <c r="E796" s="27" t="s">
        <v>85</v>
      </c>
      <c r="F796" s="26" t="s">
        <v>137</v>
      </c>
      <c r="G796" s="28">
        <v>5640605</v>
      </c>
      <c r="H796" s="26">
        <v>10</v>
      </c>
      <c r="I796" s="26" t="s">
        <v>63</v>
      </c>
      <c r="J796" s="26" t="b">
        <v>1</v>
      </c>
    </row>
    <row r="797" spans="1:10">
      <c r="A797" s="26" t="s">
        <v>886</v>
      </c>
      <c r="B797" s="26">
        <v>39</v>
      </c>
      <c r="C797" s="26" t="s">
        <v>59</v>
      </c>
      <c r="D797" s="26" t="s">
        <v>54</v>
      </c>
      <c r="E797" s="27" t="s">
        <v>85</v>
      </c>
      <c r="F797" s="26" t="s">
        <v>140</v>
      </c>
      <c r="G797" s="28">
        <v>4724245</v>
      </c>
      <c r="H797" s="26">
        <v>12</v>
      </c>
      <c r="I797" s="26" t="s">
        <v>67</v>
      </c>
      <c r="J797" s="26" t="b">
        <v>1</v>
      </c>
    </row>
    <row r="798" spans="1:10">
      <c r="A798" s="26" t="s">
        <v>887</v>
      </c>
      <c r="B798" s="26">
        <v>32</v>
      </c>
      <c r="C798" s="26" t="s">
        <v>59</v>
      </c>
      <c r="D798" s="26" t="s">
        <v>60</v>
      </c>
      <c r="E798" s="27" t="s">
        <v>85</v>
      </c>
      <c r="F798" s="26" t="s">
        <v>167</v>
      </c>
      <c r="G798" s="28">
        <v>5641690</v>
      </c>
      <c r="H798" s="26">
        <v>4</v>
      </c>
      <c r="I798" s="26" t="s">
        <v>57</v>
      </c>
      <c r="J798" s="26" t="b">
        <v>1</v>
      </c>
    </row>
    <row r="799" spans="1:10">
      <c r="A799" s="26" t="s">
        <v>888</v>
      </c>
      <c r="B799" s="26">
        <v>47</v>
      </c>
      <c r="C799" s="26" t="s">
        <v>59</v>
      </c>
      <c r="D799" s="26" t="s">
        <v>54</v>
      </c>
      <c r="E799" s="27" t="s">
        <v>55</v>
      </c>
      <c r="F799" s="26" t="s">
        <v>76</v>
      </c>
      <c r="G799" s="28">
        <v>3868800</v>
      </c>
      <c r="H799" s="26">
        <v>7</v>
      </c>
      <c r="I799" s="26" t="s">
        <v>67</v>
      </c>
      <c r="J799" s="26" t="b">
        <v>1</v>
      </c>
    </row>
    <row r="800" spans="1:10">
      <c r="A800" s="26" t="s">
        <v>889</v>
      </c>
      <c r="B800" s="26">
        <v>19</v>
      </c>
      <c r="C800" s="26" t="s">
        <v>59</v>
      </c>
      <c r="D800" s="26" t="s">
        <v>60</v>
      </c>
      <c r="E800" s="27" t="s">
        <v>61</v>
      </c>
      <c r="F800" s="26" t="s">
        <v>98</v>
      </c>
      <c r="G800" s="28">
        <v>5348120</v>
      </c>
      <c r="H800" s="26">
        <v>12</v>
      </c>
      <c r="I800" s="26" t="s">
        <v>67</v>
      </c>
      <c r="J800" s="26" t="b">
        <v>1</v>
      </c>
    </row>
    <row r="801" spans="1:10">
      <c r="A801" s="26" t="s">
        <v>890</v>
      </c>
      <c r="B801" s="26">
        <v>48</v>
      </c>
      <c r="C801" s="26" t="s">
        <v>53</v>
      </c>
      <c r="D801" s="26" t="s">
        <v>54</v>
      </c>
      <c r="E801" s="27" t="s">
        <v>73</v>
      </c>
      <c r="F801" s="26" t="s">
        <v>109</v>
      </c>
      <c r="G801" s="28">
        <v>916825</v>
      </c>
      <c r="H801" s="26"/>
      <c r="I801" s="26" t="s">
        <v>57</v>
      </c>
      <c r="J801" s="26" t="b">
        <v>0</v>
      </c>
    </row>
    <row r="802" spans="1:10">
      <c r="A802" s="26" t="s">
        <v>891</v>
      </c>
      <c r="B802" s="26">
        <v>27</v>
      </c>
      <c r="C802" s="26" t="s">
        <v>59</v>
      </c>
      <c r="D802" s="26" t="s">
        <v>60</v>
      </c>
      <c r="E802" s="27" t="s">
        <v>61</v>
      </c>
      <c r="F802" s="26" t="s">
        <v>69</v>
      </c>
      <c r="G802" s="28">
        <v>7158055</v>
      </c>
      <c r="H802" s="26">
        <v>12</v>
      </c>
      <c r="I802" s="26" t="s">
        <v>63</v>
      </c>
      <c r="J802" s="26" t="b">
        <v>1</v>
      </c>
    </row>
    <row r="803" spans="1:10">
      <c r="A803" s="26" t="s">
        <v>892</v>
      </c>
      <c r="B803" s="26">
        <v>31</v>
      </c>
      <c r="C803" s="26" t="s">
        <v>53</v>
      </c>
      <c r="D803" s="26" t="s">
        <v>60</v>
      </c>
      <c r="E803" s="27" t="s">
        <v>85</v>
      </c>
      <c r="F803" s="26" t="s">
        <v>90</v>
      </c>
      <c r="G803" s="28">
        <v>4353640</v>
      </c>
      <c r="H803" s="26">
        <v>4</v>
      </c>
      <c r="I803" s="26" t="s">
        <v>60</v>
      </c>
      <c r="J803" s="26" t="b">
        <v>1</v>
      </c>
    </row>
    <row r="804" spans="1:10">
      <c r="A804" s="26" t="s">
        <v>893</v>
      </c>
      <c r="B804" s="26">
        <v>44</v>
      </c>
      <c r="C804" s="26" t="s">
        <v>59</v>
      </c>
      <c r="D804" s="26" t="s">
        <v>54</v>
      </c>
      <c r="E804" s="27" t="s">
        <v>61</v>
      </c>
      <c r="F804" s="26" t="s">
        <v>86</v>
      </c>
      <c r="G804" s="28">
        <v>4397350</v>
      </c>
      <c r="H804" s="26">
        <v>8</v>
      </c>
      <c r="I804" s="26" t="s">
        <v>63</v>
      </c>
      <c r="J804" s="26" t="b">
        <v>0</v>
      </c>
    </row>
    <row r="805" spans="1:10">
      <c r="A805" s="26" t="s">
        <v>894</v>
      </c>
      <c r="B805" s="26">
        <v>24</v>
      </c>
      <c r="C805" s="26" t="s">
        <v>53</v>
      </c>
      <c r="D805" s="26" t="s">
        <v>60</v>
      </c>
      <c r="E805" s="27" t="s">
        <v>65</v>
      </c>
      <c r="F805" s="26" t="s">
        <v>86</v>
      </c>
      <c r="G805" s="28">
        <v>6385225</v>
      </c>
      <c r="H805" s="26">
        <v>10</v>
      </c>
      <c r="I805" s="26" t="s">
        <v>57</v>
      </c>
      <c r="J805" s="26" t="b">
        <v>1</v>
      </c>
    </row>
    <row r="806" spans="1:10">
      <c r="A806" s="26" t="s">
        <v>895</v>
      </c>
      <c r="B806" s="26">
        <v>32</v>
      </c>
      <c r="C806" s="26" t="s">
        <v>53</v>
      </c>
      <c r="D806" s="26" t="s">
        <v>54</v>
      </c>
      <c r="E806" s="27" t="s">
        <v>61</v>
      </c>
      <c r="F806" s="26" t="s">
        <v>56</v>
      </c>
      <c r="G806" s="28">
        <v>7379705</v>
      </c>
      <c r="H806" s="26">
        <v>5</v>
      </c>
      <c r="I806" s="26" t="s">
        <v>57</v>
      </c>
      <c r="J806" s="26" t="b">
        <v>1</v>
      </c>
    </row>
    <row r="807" spans="1:10">
      <c r="A807" s="26" t="s">
        <v>896</v>
      </c>
      <c r="B807" s="26">
        <v>28</v>
      </c>
      <c r="C807" s="26" t="s">
        <v>53</v>
      </c>
      <c r="D807" s="26" t="s">
        <v>54</v>
      </c>
      <c r="E807" s="27" t="s">
        <v>85</v>
      </c>
      <c r="F807" s="26" t="s">
        <v>56</v>
      </c>
      <c r="G807" s="28">
        <v>6188220</v>
      </c>
      <c r="H807" s="26">
        <v>7</v>
      </c>
      <c r="I807" s="26" t="s">
        <v>63</v>
      </c>
      <c r="J807" s="26" t="b">
        <v>0</v>
      </c>
    </row>
    <row r="808" spans="1:10">
      <c r="A808" s="26" t="s">
        <v>897</v>
      </c>
      <c r="B808" s="26">
        <v>26</v>
      </c>
      <c r="C808" s="26" t="s">
        <v>59</v>
      </c>
      <c r="D808" s="26" t="s">
        <v>54</v>
      </c>
      <c r="E808" s="27" t="s">
        <v>73</v>
      </c>
      <c r="F808" s="26" t="s">
        <v>167</v>
      </c>
      <c r="G808" s="28">
        <v>1407245</v>
      </c>
      <c r="H808" s="26">
        <v>12</v>
      </c>
      <c r="I808" s="26" t="s">
        <v>63</v>
      </c>
      <c r="J808" s="26" t="b">
        <v>0</v>
      </c>
    </row>
    <row r="809" spans="1:10">
      <c r="A809" s="26" t="s">
        <v>898</v>
      </c>
      <c r="B809" s="26">
        <v>38</v>
      </c>
      <c r="C809" s="26" t="s">
        <v>53</v>
      </c>
      <c r="D809" s="26" t="s">
        <v>54</v>
      </c>
      <c r="E809" s="27" t="s">
        <v>78</v>
      </c>
      <c r="F809" s="26" t="s">
        <v>88</v>
      </c>
      <c r="G809" s="28">
        <v>3558180</v>
      </c>
      <c r="H809" s="26">
        <v>9</v>
      </c>
      <c r="I809" s="26" t="s">
        <v>57</v>
      </c>
      <c r="J809" s="26" t="b">
        <v>1</v>
      </c>
    </row>
    <row r="810" spans="1:10">
      <c r="A810" s="26" t="s">
        <v>899</v>
      </c>
      <c r="B810" s="26">
        <v>28</v>
      </c>
      <c r="C810" s="26" t="s">
        <v>53</v>
      </c>
      <c r="D810" s="26" t="s">
        <v>54</v>
      </c>
      <c r="E810" s="27" t="s">
        <v>85</v>
      </c>
      <c r="F810" s="26" t="s">
        <v>80</v>
      </c>
      <c r="G810" s="28">
        <v>2487285</v>
      </c>
      <c r="H810" s="26">
        <v>7</v>
      </c>
      <c r="I810" s="26" t="s">
        <v>57</v>
      </c>
      <c r="J810" s="26" t="b">
        <v>1</v>
      </c>
    </row>
    <row r="811" spans="1:10">
      <c r="A811" s="26" t="s">
        <v>900</v>
      </c>
      <c r="B811" s="26">
        <v>30</v>
      </c>
      <c r="C811" s="26" t="s">
        <v>59</v>
      </c>
      <c r="D811" s="26" t="s">
        <v>60</v>
      </c>
      <c r="E811" s="27" t="s">
        <v>65</v>
      </c>
      <c r="F811" s="26" t="s">
        <v>100</v>
      </c>
      <c r="G811" s="28">
        <v>1623470</v>
      </c>
      <c r="H811" s="26">
        <v>6</v>
      </c>
      <c r="I811" s="26" t="s">
        <v>57</v>
      </c>
      <c r="J811" s="26" t="b">
        <v>0</v>
      </c>
    </row>
    <row r="812" spans="1:10">
      <c r="A812" s="26" t="s">
        <v>901</v>
      </c>
      <c r="B812" s="26">
        <v>37</v>
      </c>
      <c r="C812" s="26" t="s">
        <v>53</v>
      </c>
      <c r="D812" s="26" t="s">
        <v>60</v>
      </c>
      <c r="E812" s="27" t="s">
        <v>65</v>
      </c>
      <c r="F812" s="26" t="s">
        <v>62</v>
      </c>
      <c r="G812" s="28">
        <v>6199225</v>
      </c>
      <c r="H812" s="26">
        <v>10</v>
      </c>
      <c r="I812" s="26" t="s">
        <v>67</v>
      </c>
      <c r="J812" s="26" t="b">
        <v>1</v>
      </c>
    </row>
    <row r="813" spans="1:10">
      <c r="A813" s="26" t="s">
        <v>902</v>
      </c>
      <c r="B813" s="26">
        <v>47</v>
      </c>
      <c r="C813" s="26" t="s">
        <v>53</v>
      </c>
      <c r="D813" s="26" t="s">
        <v>60</v>
      </c>
      <c r="E813" s="27" t="s">
        <v>85</v>
      </c>
      <c r="F813" s="26" t="s">
        <v>102</v>
      </c>
      <c r="G813" s="28">
        <v>5228615</v>
      </c>
      <c r="H813" s="26">
        <v>8</v>
      </c>
      <c r="I813" s="26" t="s">
        <v>57</v>
      </c>
      <c r="J813" s="26" t="b">
        <v>0</v>
      </c>
    </row>
    <row r="814" spans="1:10">
      <c r="A814" s="26" t="s">
        <v>903</v>
      </c>
      <c r="B814" s="26">
        <v>41</v>
      </c>
      <c r="C814" s="26" t="s">
        <v>53</v>
      </c>
      <c r="D814" s="26" t="s">
        <v>60</v>
      </c>
      <c r="E814" s="27" t="s">
        <v>61</v>
      </c>
      <c r="F814" s="26" t="s">
        <v>167</v>
      </c>
      <c r="G814" s="28">
        <v>3174865</v>
      </c>
      <c r="H814" s="26">
        <v>6</v>
      </c>
      <c r="I814" s="26" t="s">
        <v>60</v>
      </c>
      <c r="J814" s="26" t="b">
        <v>1</v>
      </c>
    </row>
    <row r="815" spans="1:10">
      <c r="A815" s="26" t="s">
        <v>904</v>
      </c>
      <c r="B815" s="26">
        <v>22</v>
      </c>
      <c r="C815" s="26" t="s">
        <v>53</v>
      </c>
      <c r="D815" s="26" t="s">
        <v>54</v>
      </c>
      <c r="E815" s="27" t="s">
        <v>78</v>
      </c>
      <c r="F815" s="26" t="s">
        <v>96</v>
      </c>
      <c r="G815" s="28">
        <v>3006070</v>
      </c>
      <c r="H815" s="26">
        <v>11</v>
      </c>
      <c r="I815" s="26" t="s">
        <v>57</v>
      </c>
      <c r="J815" s="26" t="b">
        <v>0</v>
      </c>
    </row>
    <row r="816" spans="1:10">
      <c r="A816" s="26" t="s">
        <v>905</v>
      </c>
      <c r="B816" s="26">
        <v>46</v>
      </c>
      <c r="C816" s="26" t="s">
        <v>59</v>
      </c>
      <c r="D816" s="26" t="s">
        <v>60</v>
      </c>
      <c r="E816" s="27" t="s">
        <v>73</v>
      </c>
      <c r="F816" s="26" t="s">
        <v>82</v>
      </c>
      <c r="G816" s="28">
        <v>7135735</v>
      </c>
      <c r="H816" s="26">
        <v>10</v>
      </c>
      <c r="I816" s="26" t="s">
        <v>67</v>
      </c>
      <c r="J816" s="26" t="b">
        <v>1</v>
      </c>
    </row>
    <row r="817" spans="1:10">
      <c r="A817" s="26" t="s">
        <v>906</v>
      </c>
      <c r="B817" s="26">
        <v>34</v>
      </c>
      <c r="C817" s="26" t="s">
        <v>53</v>
      </c>
      <c r="D817" s="26" t="s">
        <v>54</v>
      </c>
      <c r="E817" s="27" t="s">
        <v>65</v>
      </c>
      <c r="F817" s="26" t="s">
        <v>109</v>
      </c>
      <c r="G817" s="28">
        <v>4607995</v>
      </c>
      <c r="H817" s="26">
        <v>9</v>
      </c>
      <c r="I817" s="26" t="s">
        <v>57</v>
      </c>
      <c r="J817" s="26" t="b">
        <v>1</v>
      </c>
    </row>
    <row r="818" spans="1:10">
      <c r="A818" s="26" t="s">
        <v>907</v>
      </c>
      <c r="B818" s="26">
        <v>31</v>
      </c>
      <c r="C818" s="26" t="s">
        <v>59</v>
      </c>
      <c r="D818" s="26" t="s">
        <v>54</v>
      </c>
      <c r="E818" s="27" t="s">
        <v>65</v>
      </c>
      <c r="F818" s="26" t="s">
        <v>76</v>
      </c>
      <c r="G818" s="28">
        <v>6036785</v>
      </c>
      <c r="H818" s="26">
        <v>4</v>
      </c>
      <c r="I818" s="26" t="s">
        <v>67</v>
      </c>
      <c r="J818" s="26" t="b">
        <v>1</v>
      </c>
    </row>
    <row r="819" spans="1:10">
      <c r="A819" s="26" t="s">
        <v>902</v>
      </c>
      <c r="B819" s="26">
        <v>47</v>
      </c>
      <c r="C819" s="26" t="s">
        <v>53</v>
      </c>
      <c r="D819" s="26" t="s">
        <v>60</v>
      </c>
      <c r="E819" s="27" t="s">
        <v>85</v>
      </c>
      <c r="F819" s="26" t="s">
        <v>102</v>
      </c>
      <c r="G819" s="28">
        <v>5228615</v>
      </c>
      <c r="H819" s="26">
        <v>8</v>
      </c>
      <c r="I819" s="26" t="s">
        <v>57</v>
      </c>
      <c r="J819" s="26" t="b">
        <v>0</v>
      </c>
    </row>
    <row r="820" spans="1:10">
      <c r="A820" s="26" t="s">
        <v>908</v>
      </c>
      <c r="B820" s="26">
        <v>38</v>
      </c>
      <c r="C820" s="26" t="s">
        <v>59</v>
      </c>
      <c r="D820" s="26" t="s">
        <v>60</v>
      </c>
      <c r="E820" s="27" t="s">
        <v>85</v>
      </c>
      <c r="F820" s="26" t="s">
        <v>69</v>
      </c>
      <c r="G820" s="28">
        <v>5735775</v>
      </c>
      <c r="H820" s="26">
        <v>11</v>
      </c>
      <c r="I820" s="26" t="s">
        <v>63</v>
      </c>
      <c r="J820" s="26" t="b">
        <v>1</v>
      </c>
    </row>
    <row r="821" spans="1:10">
      <c r="A821" s="26" t="s">
        <v>909</v>
      </c>
      <c r="B821" s="26">
        <v>45</v>
      </c>
      <c r="C821" s="26" t="s">
        <v>59</v>
      </c>
      <c r="D821" s="26" t="s">
        <v>60</v>
      </c>
      <c r="E821" s="27" t="s">
        <v>65</v>
      </c>
      <c r="F821" s="26" t="s">
        <v>167</v>
      </c>
      <c r="G821" s="28">
        <v>7164720</v>
      </c>
      <c r="H821" s="26">
        <v>2</v>
      </c>
      <c r="I821" s="26" t="s">
        <v>67</v>
      </c>
      <c r="J821" s="26" t="b">
        <v>1</v>
      </c>
    </row>
    <row r="822" spans="1:10">
      <c r="A822" s="26" t="s">
        <v>910</v>
      </c>
      <c r="B822" s="26">
        <v>30</v>
      </c>
      <c r="C822" s="26" t="s">
        <v>53</v>
      </c>
      <c r="D822" s="26" t="s">
        <v>60</v>
      </c>
      <c r="E822" s="27" t="s">
        <v>78</v>
      </c>
      <c r="F822" s="26" t="s">
        <v>62</v>
      </c>
      <c r="G822" s="28">
        <v>7324215</v>
      </c>
      <c r="H822" s="26">
        <v>11</v>
      </c>
      <c r="I822" s="26" t="s">
        <v>63</v>
      </c>
      <c r="J822" s="26" t="b">
        <v>0</v>
      </c>
    </row>
    <row r="823" spans="1:10">
      <c r="A823" s="26" t="s">
        <v>911</v>
      </c>
      <c r="B823" s="26">
        <v>45</v>
      </c>
      <c r="C823" s="26" t="s">
        <v>53</v>
      </c>
      <c r="D823" s="26" t="s">
        <v>54</v>
      </c>
      <c r="E823" s="27" t="s">
        <v>55</v>
      </c>
      <c r="F823" s="26" t="s">
        <v>69</v>
      </c>
      <c r="G823" s="28">
        <v>6312995</v>
      </c>
      <c r="H823" s="26">
        <v>3</v>
      </c>
      <c r="I823" s="26" t="s">
        <v>67</v>
      </c>
      <c r="J823" s="26" t="b">
        <v>0</v>
      </c>
    </row>
    <row r="824" spans="1:10">
      <c r="A824" s="26" t="s">
        <v>912</v>
      </c>
      <c r="B824" s="26">
        <v>18</v>
      </c>
      <c r="C824" s="26" t="s">
        <v>59</v>
      </c>
      <c r="D824" s="26" t="s">
        <v>60</v>
      </c>
      <c r="E824" s="27" t="s">
        <v>61</v>
      </c>
      <c r="F824" s="26" t="s">
        <v>82</v>
      </c>
      <c r="G824" s="28">
        <v>2102575</v>
      </c>
      <c r="H824" s="26">
        <v>8</v>
      </c>
      <c r="I824" s="26" t="s">
        <v>67</v>
      </c>
      <c r="J824" s="26" t="b">
        <v>0</v>
      </c>
    </row>
    <row r="825" spans="1:10">
      <c r="A825" s="26" t="s">
        <v>913</v>
      </c>
      <c r="B825" s="26">
        <v>36</v>
      </c>
      <c r="C825" s="26" t="s">
        <v>59</v>
      </c>
      <c r="D825" s="26" t="s">
        <v>60</v>
      </c>
      <c r="E825" s="27" t="s">
        <v>55</v>
      </c>
      <c r="F825" s="26" t="s">
        <v>88</v>
      </c>
      <c r="G825" s="28">
        <v>5461425</v>
      </c>
      <c r="H825" s="26">
        <v>4</v>
      </c>
      <c r="I825" s="26" t="s">
        <v>67</v>
      </c>
      <c r="J825" s="26" t="b">
        <v>0</v>
      </c>
    </row>
    <row r="826" spans="1:10">
      <c r="A826" s="26" t="s">
        <v>914</v>
      </c>
      <c r="B826" s="26">
        <v>25</v>
      </c>
      <c r="C826" s="26" t="s">
        <v>53</v>
      </c>
      <c r="D826" s="26" t="s">
        <v>60</v>
      </c>
      <c r="E826" s="27" t="s">
        <v>73</v>
      </c>
      <c r="F826" s="26" t="s">
        <v>76</v>
      </c>
      <c r="G826" s="28">
        <v>6846815</v>
      </c>
      <c r="H826" s="26">
        <v>12</v>
      </c>
      <c r="I826" s="26" t="s">
        <v>67</v>
      </c>
      <c r="J826" s="26" t="b">
        <v>1</v>
      </c>
    </row>
    <row r="827" spans="1:10">
      <c r="A827" s="26" t="s">
        <v>915</v>
      </c>
      <c r="B827" s="26">
        <v>21</v>
      </c>
      <c r="C827" s="26" t="s">
        <v>53</v>
      </c>
      <c r="D827" s="26" t="s">
        <v>60</v>
      </c>
      <c r="E827" s="27" t="s">
        <v>73</v>
      </c>
      <c r="F827" s="26" t="s">
        <v>86</v>
      </c>
      <c r="G827" s="28">
        <v>1642225</v>
      </c>
      <c r="H827" s="26">
        <v>12</v>
      </c>
      <c r="I827" s="26" t="s">
        <v>67</v>
      </c>
      <c r="J827" s="26" t="b">
        <v>0</v>
      </c>
    </row>
    <row r="828" spans="1:10">
      <c r="A828" s="26" t="s">
        <v>916</v>
      </c>
      <c r="B828" s="26">
        <v>26</v>
      </c>
      <c r="C828" s="26" t="s">
        <v>59</v>
      </c>
      <c r="D828" s="26" t="s">
        <v>60</v>
      </c>
      <c r="E828" s="27" t="s">
        <v>78</v>
      </c>
      <c r="F828" s="26" t="s">
        <v>121</v>
      </c>
      <c r="G828" s="28">
        <v>5448870</v>
      </c>
      <c r="H828" s="26">
        <v>11</v>
      </c>
      <c r="I828" s="26" t="s">
        <v>57</v>
      </c>
      <c r="J828" s="26" t="b">
        <v>1</v>
      </c>
    </row>
    <row r="829" spans="1:10">
      <c r="A829" s="26" t="s">
        <v>917</v>
      </c>
      <c r="B829" s="26">
        <v>40</v>
      </c>
      <c r="C829" s="26" t="s">
        <v>59</v>
      </c>
      <c r="D829" s="26" t="s">
        <v>60</v>
      </c>
      <c r="E829" s="27" t="s">
        <v>73</v>
      </c>
      <c r="F829" s="26" t="s">
        <v>69</v>
      </c>
      <c r="G829" s="28">
        <v>4979530</v>
      </c>
      <c r="H829" s="26">
        <v>12</v>
      </c>
      <c r="I829" s="26" t="s">
        <v>57</v>
      </c>
      <c r="J829" s="26" t="b">
        <v>0</v>
      </c>
    </row>
    <row r="830" spans="1:10">
      <c r="A830" s="26" t="s">
        <v>918</v>
      </c>
      <c r="B830" s="26">
        <v>47</v>
      </c>
      <c r="C830" s="26" t="s">
        <v>53</v>
      </c>
      <c r="D830" s="26" t="s">
        <v>60</v>
      </c>
      <c r="E830" s="27" t="s">
        <v>61</v>
      </c>
      <c r="F830" s="26" t="s">
        <v>88</v>
      </c>
      <c r="G830" s="28">
        <v>6533250</v>
      </c>
      <c r="H830" s="26">
        <v>11</v>
      </c>
      <c r="I830" s="26" t="s">
        <v>67</v>
      </c>
      <c r="J830" s="26" t="b">
        <v>1</v>
      </c>
    </row>
    <row r="831" spans="1:10">
      <c r="A831" s="26" t="s">
        <v>919</v>
      </c>
      <c r="B831" s="26">
        <v>27</v>
      </c>
      <c r="C831" s="26" t="s">
        <v>53</v>
      </c>
      <c r="D831" s="26" t="s">
        <v>60</v>
      </c>
      <c r="E831" s="27" t="s">
        <v>85</v>
      </c>
      <c r="F831" s="26" t="s">
        <v>62</v>
      </c>
      <c r="G831" s="28">
        <v>3925995</v>
      </c>
      <c r="H831" s="26">
        <v>6</v>
      </c>
      <c r="I831" s="26" t="s">
        <v>57</v>
      </c>
      <c r="J831" s="26" t="b">
        <v>1</v>
      </c>
    </row>
    <row r="832" spans="1:10">
      <c r="A832" s="26" t="s">
        <v>920</v>
      </c>
      <c r="B832" s="26">
        <v>29</v>
      </c>
      <c r="C832" s="26" t="s">
        <v>53</v>
      </c>
      <c r="D832" s="26" t="s">
        <v>54</v>
      </c>
      <c r="E832" s="27" t="s">
        <v>73</v>
      </c>
      <c r="F832" s="26" t="s">
        <v>167</v>
      </c>
      <c r="G832" s="28">
        <v>3373110</v>
      </c>
      <c r="H832" s="26">
        <v>3</v>
      </c>
      <c r="I832" s="26" t="s">
        <v>60</v>
      </c>
      <c r="J832" s="26" t="b">
        <v>0</v>
      </c>
    </row>
    <row r="833" spans="1:10">
      <c r="A833" s="26" t="s">
        <v>921</v>
      </c>
      <c r="B833" s="26">
        <v>21</v>
      </c>
      <c r="C833" s="26" t="s">
        <v>59</v>
      </c>
      <c r="D833" s="26" t="s">
        <v>54</v>
      </c>
      <c r="E833" s="27" t="s">
        <v>78</v>
      </c>
      <c r="F833" s="26" t="s">
        <v>76</v>
      </c>
      <c r="G833" s="28">
        <v>3503620</v>
      </c>
      <c r="H833" s="26">
        <v>11</v>
      </c>
      <c r="I833" s="26" t="s">
        <v>57</v>
      </c>
      <c r="J833" s="26" t="b">
        <v>1</v>
      </c>
    </row>
    <row r="834" spans="1:10">
      <c r="A834" s="26" t="s">
        <v>922</v>
      </c>
      <c r="B834" s="26">
        <v>41</v>
      </c>
      <c r="C834" s="26" t="s">
        <v>53</v>
      </c>
      <c r="D834" s="26" t="s">
        <v>60</v>
      </c>
      <c r="E834" s="27" t="s">
        <v>73</v>
      </c>
      <c r="F834" s="26" t="s">
        <v>96</v>
      </c>
      <c r="G834" s="28">
        <v>818245</v>
      </c>
      <c r="H834" s="26">
        <v>4</v>
      </c>
      <c r="I834" s="26" t="s">
        <v>67</v>
      </c>
      <c r="J834" s="26" t="b">
        <v>1</v>
      </c>
    </row>
    <row r="835" spans="1:10">
      <c r="A835" s="26" t="s">
        <v>923</v>
      </c>
      <c r="B835" s="26">
        <v>43</v>
      </c>
      <c r="C835" s="26" t="s">
        <v>59</v>
      </c>
      <c r="D835" s="26" t="s">
        <v>54</v>
      </c>
      <c r="E835" s="27" t="s">
        <v>65</v>
      </c>
      <c r="F835" s="26" t="s">
        <v>167</v>
      </c>
      <c r="G835" s="28">
        <v>5968740</v>
      </c>
      <c r="H835" s="26">
        <v>7</v>
      </c>
      <c r="I835" s="26" t="s">
        <v>60</v>
      </c>
      <c r="J835" s="26" t="b">
        <v>0</v>
      </c>
    </row>
    <row r="836" spans="1:10">
      <c r="A836" s="26" t="s">
        <v>924</v>
      </c>
      <c r="B836" s="26">
        <v>33</v>
      </c>
      <c r="C836" s="26" t="s">
        <v>59</v>
      </c>
      <c r="D836" s="26" t="s">
        <v>60</v>
      </c>
      <c r="E836" s="27" t="s">
        <v>73</v>
      </c>
      <c r="F836" s="26" t="s">
        <v>92</v>
      </c>
      <c r="G836" s="28">
        <v>2807050</v>
      </c>
      <c r="H836" s="26">
        <v>2</v>
      </c>
      <c r="I836" s="26" t="s">
        <v>67</v>
      </c>
      <c r="J836" s="26" t="b">
        <v>0</v>
      </c>
    </row>
    <row r="837" spans="1:10">
      <c r="A837" s="26" t="s">
        <v>925</v>
      </c>
      <c r="B837" s="26">
        <v>23</v>
      </c>
      <c r="C837" s="26" t="s">
        <v>53</v>
      </c>
      <c r="D837" s="26" t="s">
        <v>54</v>
      </c>
      <c r="E837" s="27" t="s">
        <v>61</v>
      </c>
      <c r="F837" s="26" t="s">
        <v>66</v>
      </c>
      <c r="G837" s="28">
        <v>3819355</v>
      </c>
      <c r="H837" s="26">
        <v>7</v>
      </c>
      <c r="I837" s="26" t="s">
        <v>57</v>
      </c>
      <c r="J837" s="26" t="b">
        <v>1</v>
      </c>
    </row>
    <row r="838" spans="1:10">
      <c r="A838" s="26" t="s">
        <v>926</v>
      </c>
      <c r="B838" s="26">
        <v>37</v>
      </c>
      <c r="C838" s="26" t="s">
        <v>53</v>
      </c>
      <c r="D838" s="26" t="s">
        <v>54</v>
      </c>
      <c r="E838" s="27" t="s">
        <v>73</v>
      </c>
      <c r="F838" s="26" t="s">
        <v>102</v>
      </c>
      <c r="G838" s="28">
        <v>2183485</v>
      </c>
      <c r="H838" s="26">
        <v>8</v>
      </c>
      <c r="I838" s="26" t="s">
        <v>67</v>
      </c>
      <c r="J838" s="26" t="b">
        <v>1</v>
      </c>
    </row>
    <row r="839" spans="1:10">
      <c r="A839" s="26" t="s">
        <v>927</v>
      </c>
      <c r="B839" s="26">
        <v>34</v>
      </c>
      <c r="C839" s="26" t="s">
        <v>53</v>
      </c>
      <c r="D839" s="26" t="s">
        <v>60</v>
      </c>
      <c r="E839" s="27" t="s">
        <v>73</v>
      </c>
      <c r="F839" s="26" t="s">
        <v>100</v>
      </c>
      <c r="G839" s="28">
        <v>2344375</v>
      </c>
      <c r="H839" s="26">
        <v>2</v>
      </c>
      <c r="I839" s="26" t="s">
        <v>63</v>
      </c>
      <c r="J839" s="26" t="b">
        <v>1</v>
      </c>
    </row>
    <row r="840" spans="1:10">
      <c r="A840" s="26" t="s">
        <v>928</v>
      </c>
      <c r="B840" s="26">
        <v>27</v>
      </c>
      <c r="C840" s="26" t="s">
        <v>59</v>
      </c>
      <c r="D840" s="26" t="s">
        <v>60</v>
      </c>
      <c r="E840" s="27" t="s">
        <v>85</v>
      </c>
      <c r="F840" s="26" t="s">
        <v>92</v>
      </c>
      <c r="G840" s="28">
        <v>2658560</v>
      </c>
      <c r="H840" s="26">
        <v>3</v>
      </c>
      <c r="I840" s="26" t="s">
        <v>63</v>
      </c>
      <c r="J840" s="26" t="b">
        <v>1</v>
      </c>
    </row>
    <row r="841" spans="1:10">
      <c r="A841" s="26" t="s">
        <v>929</v>
      </c>
      <c r="B841" s="26">
        <v>40</v>
      </c>
      <c r="C841" s="26" t="s">
        <v>59</v>
      </c>
      <c r="D841" s="26" t="s">
        <v>54</v>
      </c>
      <c r="E841" s="27" t="s">
        <v>85</v>
      </c>
      <c r="F841" s="26" t="s">
        <v>80</v>
      </c>
      <c r="G841" s="28">
        <v>6193180</v>
      </c>
      <c r="H841" s="26">
        <v>10</v>
      </c>
      <c r="I841" s="26" t="s">
        <v>67</v>
      </c>
      <c r="J841" s="26" t="b">
        <v>1</v>
      </c>
    </row>
    <row r="842" spans="1:10">
      <c r="A842" s="26" t="s">
        <v>930</v>
      </c>
      <c r="B842" s="26">
        <v>40</v>
      </c>
      <c r="C842" s="26" t="s">
        <v>53</v>
      </c>
      <c r="D842" s="26" t="s">
        <v>54</v>
      </c>
      <c r="E842" s="27" t="s">
        <v>73</v>
      </c>
      <c r="F842" s="26" t="s">
        <v>80</v>
      </c>
      <c r="G842" s="28">
        <v>2688630</v>
      </c>
      <c r="H842" s="26">
        <v>4</v>
      </c>
      <c r="I842" s="26" t="s">
        <v>57</v>
      </c>
      <c r="J842" s="26" t="b">
        <v>0</v>
      </c>
    </row>
    <row r="843" spans="1:10">
      <c r="A843" s="26" t="s">
        <v>931</v>
      </c>
      <c r="B843" s="26">
        <v>43</v>
      </c>
      <c r="C843" s="26" t="s">
        <v>59</v>
      </c>
      <c r="D843" s="26" t="s">
        <v>60</v>
      </c>
      <c r="E843" s="27" t="s">
        <v>85</v>
      </c>
      <c r="F843" s="26" t="s">
        <v>104</v>
      </c>
      <c r="G843" s="28">
        <v>5148170</v>
      </c>
      <c r="H843" s="26">
        <v>10</v>
      </c>
      <c r="I843" s="26" t="s">
        <v>67</v>
      </c>
      <c r="J843" s="26" t="b">
        <v>1</v>
      </c>
    </row>
    <row r="844" spans="1:10">
      <c r="A844" s="26" t="s">
        <v>932</v>
      </c>
      <c r="B844" s="26">
        <v>37</v>
      </c>
      <c r="C844" s="26" t="s">
        <v>53</v>
      </c>
      <c r="D844" s="26" t="s">
        <v>54</v>
      </c>
      <c r="E844" s="27" t="s">
        <v>65</v>
      </c>
      <c r="F844" s="26" t="s">
        <v>62</v>
      </c>
      <c r="G844" s="28">
        <v>3829275</v>
      </c>
      <c r="H844" s="26">
        <v>8</v>
      </c>
      <c r="I844" s="26" t="s">
        <v>67</v>
      </c>
      <c r="J844" s="26" t="b">
        <v>0</v>
      </c>
    </row>
    <row r="845" spans="1:10">
      <c r="A845" s="26" t="s">
        <v>933</v>
      </c>
      <c r="B845" s="26">
        <v>49</v>
      </c>
      <c r="C845" s="26" t="s">
        <v>59</v>
      </c>
      <c r="D845" s="26" t="s">
        <v>60</v>
      </c>
      <c r="E845" s="27" t="s">
        <v>61</v>
      </c>
      <c r="F845" s="26" t="s">
        <v>66</v>
      </c>
      <c r="G845" s="28">
        <v>5671140</v>
      </c>
      <c r="H845" s="26">
        <v>10</v>
      </c>
      <c r="I845" s="26" t="s">
        <v>57</v>
      </c>
      <c r="J845" s="26" t="b">
        <v>0</v>
      </c>
    </row>
    <row r="846" spans="1:10">
      <c r="A846" s="26" t="s">
        <v>934</v>
      </c>
      <c r="B846" s="26">
        <v>27</v>
      </c>
      <c r="C846" s="26" t="s">
        <v>53</v>
      </c>
      <c r="D846" s="26" t="s">
        <v>54</v>
      </c>
      <c r="E846" s="27" t="s">
        <v>73</v>
      </c>
      <c r="F846" s="26" t="s">
        <v>104</v>
      </c>
      <c r="G846" s="28">
        <v>5501260</v>
      </c>
      <c r="H846" s="26">
        <v>8</v>
      </c>
      <c r="I846" s="26" t="s">
        <v>57</v>
      </c>
      <c r="J846" s="26" t="b">
        <v>1</v>
      </c>
    </row>
    <row r="847" spans="1:10">
      <c r="A847" s="26" t="s">
        <v>935</v>
      </c>
      <c r="B847" s="26">
        <v>19</v>
      </c>
      <c r="C847" s="26" t="s">
        <v>53</v>
      </c>
      <c r="D847" s="26" t="s">
        <v>60</v>
      </c>
      <c r="E847" s="27" t="s">
        <v>85</v>
      </c>
      <c r="F847" s="26" t="s">
        <v>167</v>
      </c>
      <c r="G847" s="28">
        <v>3029630</v>
      </c>
      <c r="H847" s="26">
        <v>10</v>
      </c>
      <c r="I847" s="26" t="s">
        <v>57</v>
      </c>
      <c r="J847" s="26" t="b">
        <v>1</v>
      </c>
    </row>
    <row r="848" spans="1:10">
      <c r="A848" s="26" t="s">
        <v>936</v>
      </c>
      <c r="B848" s="26">
        <v>40</v>
      </c>
      <c r="C848" s="26" t="s">
        <v>53</v>
      </c>
      <c r="D848" s="26" t="s">
        <v>60</v>
      </c>
      <c r="E848" s="27" t="s">
        <v>61</v>
      </c>
      <c r="F848" s="26" t="s">
        <v>76</v>
      </c>
      <c r="G848" s="28">
        <v>7347465</v>
      </c>
      <c r="H848" s="26">
        <v>7</v>
      </c>
      <c r="I848" s="26" t="s">
        <v>63</v>
      </c>
      <c r="J848" s="26" t="b">
        <v>1</v>
      </c>
    </row>
    <row r="849" spans="1:10">
      <c r="A849" s="26" t="s">
        <v>937</v>
      </c>
      <c r="B849" s="26">
        <v>27</v>
      </c>
      <c r="C849" s="26" t="s">
        <v>59</v>
      </c>
      <c r="D849" s="26" t="s">
        <v>54</v>
      </c>
      <c r="E849" s="27" t="s">
        <v>73</v>
      </c>
      <c r="F849" s="26" t="s">
        <v>88</v>
      </c>
      <c r="G849" s="28">
        <v>1657880</v>
      </c>
      <c r="H849" s="26">
        <v>6</v>
      </c>
      <c r="I849" s="26" t="s">
        <v>67</v>
      </c>
      <c r="J849" s="26" t="b">
        <v>1</v>
      </c>
    </row>
    <row r="850" spans="1:10">
      <c r="A850" s="26" t="s">
        <v>938</v>
      </c>
      <c r="B850" s="26">
        <v>29</v>
      </c>
      <c r="C850" s="26" t="s">
        <v>53</v>
      </c>
      <c r="D850" s="26" t="s">
        <v>54</v>
      </c>
      <c r="E850" s="27" t="s">
        <v>78</v>
      </c>
      <c r="F850" s="26" t="s">
        <v>98</v>
      </c>
      <c r="G850" s="28">
        <v>5763520</v>
      </c>
      <c r="H850" s="26">
        <v>9</v>
      </c>
      <c r="I850" s="26" t="s">
        <v>57</v>
      </c>
      <c r="J850" s="26" t="b">
        <v>0</v>
      </c>
    </row>
    <row r="851" spans="1:10">
      <c r="A851" s="26" t="s">
        <v>939</v>
      </c>
      <c r="B851" s="26">
        <v>45</v>
      </c>
      <c r="C851" s="26" t="s">
        <v>59</v>
      </c>
      <c r="D851" s="26" t="s">
        <v>60</v>
      </c>
      <c r="E851" s="27" t="s">
        <v>61</v>
      </c>
      <c r="F851" s="26" t="s">
        <v>113</v>
      </c>
      <c r="G851" s="28">
        <v>7147980</v>
      </c>
      <c r="H851" s="26">
        <v>8</v>
      </c>
      <c r="I851" s="26" t="s">
        <v>60</v>
      </c>
      <c r="J851" s="26" t="b">
        <v>1</v>
      </c>
    </row>
    <row r="852" spans="1:10">
      <c r="A852" s="26" t="s">
        <v>940</v>
      </c>
      <c r="B852" s="26">
        <v>24</v>
      </c>
      <c r="C852" s="26" t="s">
        <v>53</v>
      </c>
      <c r="D852" s="26" t="s">
        <v>60</v>
      </c>
      <c r="E852" s="27" t="s">
        <v>78</v>
      </c>
      <c r="F852" s="26" t="s">
        <v>76</v>
      </c>
      <c r="G852" s="28">
        <v>7715125</v>
      </c>
      <c r="H852" s="26">
        <v>11</v>
      </c>
      <c r="I852" s="26" t="s">
        <v>57</v>
      </c>
      <c r="J852" s="26" t="b">
        <v>1</v>
      </c>
    </row>
    <row r="853" spans="1:10">
      <c r="A853" s="26" t="s">
        <v>941</v>
      </c>
      <c r="B853" s="26">
        <v>45</v>
      </c>
      <c r="C853" s="26" t="s">
        <v>53</v>
      </c>
      <c r="D853" s="26" t="s">
        <v>54</v>
      </c>
      <c r="E853" s="27" t="s">
        <v>65</v>
      </c>
      <c r="F853" s="26" t="s">
        <v>90</v>
      </c>
      <c r="G853" s="28">
        <v>7638865</v>
      </c>
      <c r="H853" s="26">
        <v>5</v>
      </c>
      <c r="I853" s="26" t="s">
        <v>60</v>
      </c>
      <c r="J853" s="26" t="b">
        <v>1</v>
      </c>
    </row>
    <row r="854" spans="1:10">
      <c r="A854" s="26" t="s">
        <v>942</v>
      </c>
      <c r="B854" s="26">
        <v>39</v>
      </c>
      <c r="C854" s="26" t="s">
        <v>53</v>
      </c>
      <c r="D854" s="26" t="s">
        <v>54</v>
      </c>
      <c r="E854" s="27" t="s">
        <v>78</v>
      </c>
      <c r="F854" s="26" t="s">
        <v>121</v>
      </c>
      <c r="G854" s="28">
        <v>4580870</v>
      </c>
      <c r="H854" s="26">
        <v>8</v>
      </c>
      <c r="I854" s="26" t="s">
        <v>57</v>
      </c>
      <c r="J854" s="26" t="b">
        <v>0</v>
      </c>
    </row>
    <row r="855" spans="1:10">
      <c r="A855" s="26" t="s">
        <v>943</v>
      </c>
      <c r="B855" s="26">
        <v>40</v>
      </c>
      <c r="C855" s="26" t="s">
        <v>59</v>
      </c>
      <c r="D855" s="26" t="s">
        <v>60</v>
      </c>
      <c r="E855" s="27" t="s">
        <v>78</v>
      </c>
      <c r="F855" s="26" t="s">
        <v>71</v>
      </c>
      <c r="G855" s="28">
        <v>7669555</v>
      </c>
      <c r="H855" s="26">
        <v>9</v>
      </c>
      <c r="I855" s="26" t="s">
        <v>63</v>
      </c>
      <c r="J855" s="26" t="b">
        <v>1</v>
      </c>
    </row>
    <row r="856" spans="1:10">
      <c r="A856" s="26" t="s">
        <v>944</v>
      </c>
      <c r="B856" s="26">
        <v>21</v>
      </c>
      <c r="C856" s="26" t="s">
        <v>53</v>
      </c>
      <c r="D856" s="26" t="s">
        <v>60</v>
      </c>
      <c r="E856" s="27" t="s">
        <v>73</v>
      </c>
      <c r="F856" s="26" t="s">
        <v>82</v>
      </c>
      <c r="G856" s="28">
        <v>2483875</v>
      </c>
      <c r="H856" s="26">
        <v>7</v>
      </c>
      <c r="I856" s="26" t="s">
        <v>57</v>
      </c>
      <c r="J856" s="26" t="b">
        <v>1</v>
      </c>
    </row>
    <row r="857" spans="1:10">
      <c r="A857" s="26" t="s">
        <v>945</v>
      </c>
      <c r="B857" s="26">
        <v>42</v>
      </c>
      <c r="C857" s="26" t="s">
        <v>53</v>
      </c>
      <c r="D857" s="26" t="s">
        <v>54</v>
      </c>
      <c r="E857" s="27" t="s">
        <v>73</v>
      </c>
      <c r="F857" s="26" t="s">
        <v>56</v>
      </c>
      <c r="G857" s="28">
        <v>3074580</v>
      </c>
      <c r="H857" s="26">
        <v>4</v>
      </c>
      <c r="I857" s="26" t="s">
        <v>57</v>
      </c>
      <c r="J857" s="26" t="b">
        <v>0</v>
      </c>
    </row>
    <row r="858" spans="1:10">
      <c r="A858" s="26" t="s">
        <v>946</v>
      </c>
      <c r="B858" s="26">
        <v>44</v>
      </c>
      <c r="C858" s="26" t="s">
        <v>53</v>
      </c>
      <c r="D858" s="26" t="s">
        <v>54</v>
      </c>
      <c r="E858" s="27" t="s">
        <v>85</v>
      </c>
      <c r="F858" s="26" t="s">
        <v>71</v>
      </c>
      <c r="G858" s="28">
        <v>1277045</v>
      </c>
      <c r="H858" s="26">
        <v>12</v>
      </c>
      <c r="I858" s="26" t="s">
        <v>57</v>
      </c>
      <c r="J858" s="26" t="b">
        <v>0</v>
      </c>
    </row>
    <row r="859" spans="1:10">
      <c r="A859" s="26" t="s">
        <v>947</v>
      </c>
      <c r="B859" s="26">
        <v>46</v>
      </c>
      <c r="C859" s="26" t="s">
        <v>53</v>
      </c>
      <c r="D859" s="26" t="s">
        <v>54</v>
      </c>
      <c r="E859" s="27" t="s">
        <v>78</v>
      </c>
      <c r="F859" s="26" t="s">
        <v>92</v>
      </c>
      <c r="G859" s="28">
        <v>4503680</v>
      </c>
      <c r="H859" s="26">
        <v>3</v>
      </c>
      <c r="I859" s="26" t="s">
        <v>57</v>
      </c>
      <c r="J859" s="26" t="b">
        <v>1</v>
      </c>
    </row>
    <row r="860" spans="1:10">
      <c r="A860" s="26" t="s">
        <v>948</v>
      </c>
      <c r="B860" s="26">
        <v>29</v>
      </c>
      <c r="C860" s="26" t="s">
        <v>59</v>
      </c>
      <c r="D860" s="26" t="s">
        <v>60</v>
      </c>
      <c r="E860" s="27" t="s">
        <v>85</v>
      </c>
      <c r="F860" s="26" t="s">
        <v>88</v>
      </c>
      <c r="G860" s="28">
        <v>3205245</v>
      </c>
      <c r="H860" s="26">
        <v>5</v>
      </c>
      <c r="I860" s="26" t="s">
        <v>60</v>
      </c>
      <c r="J860" s="26" t="b">
        <v>0</v>
      </c>
    </row>
    <row r="861" spans="1:10">
      <c r="A861" s="26" t="s">
        <v>949</v>
      </c>
      <c r="B861" s="26">
        <v>19</v>
      </c>
      <c r="C861" s="26" t="s">
        <v>53</v>
      </c>
      <c r="D861" s="26" t="s">
        <v>54</v>
      </c>
      <c r="E861" s="27" t="s">
        <v>61</v>
      </c>
      <c r="F861" s="26" t="s">
        <v>102</v>
      </c>
      <c r="G861" s="28">
        <v>6222165</v>
      </c>
      <c r="H861" s="26">
        <v>8</v>
      </c>
      <c r="I861" s="26" t="s">
        <v>57</v>
      </c>
      <c r="J861" s="26" t="b">
        <v>1</v>
      </c>
    </row>
    <row r="862" spans="1:10">
      <c r="A862" s="26" t="s">
        <v>950</v>
      </c>
      <c r="B862" s="26">
        <v>21</v>
      </c>
      <c r="C862" s="26" t="s">
        <v>59</v>
      </c>
      <c r="D862" s="26" t="s">
        <v>60</v>
      </c>
      <c r="E862" s="27" t="s">
        <v>55</v>
      </c>
      <c r="F862" s="26" t="s">
        <v>80</v>
      </c>
      <c r="G862" s="28">
        <v>2916635</v>
      </c>
      <c r="H862" s="26">
        <v>9</v>
      </c>
      <c r="I862" s="26" t="s">
        <v>63</v>
      </c>
      <c r="J862" s="26" t="b">
        <v>1</v>
      </c>
    </row>
    <row r="863" spans="1:10">
      <c r="A863" s="26" t="s">
        <v>951</v>
      </c>
      <c r="B863" s="26">
        <v>38</v>
      </c>
      <c r="C863" s="26" t="s">
        <v>53</v>
      </c>
      <c r="D863" s="26" t="s">
        <v>60</v>
      </c>
      <c r="E863" s="27" t="s">
        <v>61</v>
      </c>
      <c r="F863" s="26" t="s">
        <v>56</v>
      </c>
      <c r="G863" s="28">
        <v>1289755</v>
      </c>
      <c r="H863" s="26">
        <v>10</v>
      </c>
      <c r="I863" s="26" t="s">
        <v>67</v>
      </c>
      <c r="J863" s="26" t="b">
        <v>0</v>
      </c>
    </row>
    <row r="864" spans="1:10">
      <c r="A864" s="26" t="s">
        <v>952</v>
      </c>
      <c r="B864" s="26">
        <v>41</v>
      </c>
      <c r="C864" s="26" t="s">
        <v>53</v>
      </c>
      <c r="D864" s="26" t="s">
        <v>54</v>
      </c>
      <c r="E864" s="27" t="s">
        <v>61</v>
      </c>
      <c r="F864" s="26" t="s">
        <v>56</v>
      </c>
      <c r="G864" s="28">
        <v>848470</v>
      </c>
      <c r="H864" s="26">
        <v>4</v>
      </c>
      <c r="I864" s="26" t="s">
        <v>57</v>
      </c>
      <c r="J864" s="26" t="b">
        <v>1</v>
      </c>
    </row>
    <row r="865" spans="1:10">
      <c r="A865" s="26" t="s">
        <v>953</v>
      </c>
      <c r="B865" s="26">
        <v>49</v>
      </c>
      <c r="C865" s="26" t="s">
        <v>53</v>
      </c>
      <c r="D865" s="26" t="s">
        <v>60</v>
      </c>
      <c r="E865" s="27" t="s">
        <v>65</v>
      </c>
      <c r="F865" s="26" t="s">
        <v>66</v>
      </c>
      <c r="G865" s="28">
        <v>5752360</v>
      </c>
      <c r="H865" s="26">
        <v>8</v>
      </c>
      <c r="I865" s="26" t="s">
        <v>60</v>
      </c>
      <c r="J865" s="26" t="b">
        <v>0</v>
      </c>
    </row>
    <row r="866" spans="1:10">
      <c r="A866" s="26" t="s">
        <v>954</v>
      </c>
      <c r="B866" s="26">
        <v>32</v>
      </c>
      <c r="C866" s="26" t="s">
        <v>53</v>
      </c>
      <c r="D866" s="26" t="s">
        <v>54</v>
      </c>
      <c r="E866" s="27" t="s">
        <v>61</v>
      </c>
      <c r="F866" s="26" t="s">
        <v>96</v>
      </c>
      <c r="G866" s="28">
        <v>4551420</v>
      </c>
      <c r="H866" s="26">
        <v>3</v>
      </c>
      <c r="I866" s="26" t="s">
        <v>67</v>
      </c>
      <c r="J866" s="26" t="b">
        <v>1</v>
      </c>
    </row>
    <row r="867" spans="1:10">
      <c r="A867" s="26" t="s">
        <v>955</v>
      </c>
      <c r="B867" s="26">
        <v>24</v>
      </c>
      <c r="C867" s="26" t="s">
        <v>59</v>
      </c>
      <c r="D867" s="26" t="s">
        <v>60</v>
      </c>
      <c r="E867" s="27" t="s">
        <v>61</v>
      </c>
      <c r="F867" s="26" t="s">
        <v>76</v>
      </c>
      <c r="G867" s="28">
        <v>2880365</v>
      </c>
      <c r="H867" s="26">
        <v>11</v>
      </c>
      <c r="I867" s="26" t="s">
        <v>67</v>
      </c>
      <c r="J867" s="26" t="b">
        <v>0</v>
      </c>
    </row>
    <row r="868" spans="1:10">
      <c r="A868" s="26" t="s">
        <v>956</v>
      </c>
      <c r="B868" s="26">
        <v>27</v>
      </c>
      <c r="C868" s="26" t="s">
        <v>59</v>
      </c>
      <c r="D868" s="26" t="s">
        <v>60</v>
      </c>
      <c r="E868" s="27" t="s">
        <v>61</v>
      </c>
      <c r="F868" s="26" t="s">
        <v>66</v>
      </c>
      <c r="G868" s="28">
        <v>1815515</v>
      </c>
      <c r="H868" s="26">
        <v>7</v>
      </c>
      <c r="I868" s="26" t="s">
        <v>60</v>
      </c>
      <c r="J868" s="26" t="b">
        <v>1</v>
      </c>
    </row>
    <row r="869" spans="1:10">
      <c r="A869" s="26" t="s">
        <v>957</v>
      </c>
      <c r="B869" s="26">
        <v>44</v>
      </c>
      <c r="C869" s="26" t="s">
        <v>53</v>
      </c>
      <c r="D869" s="26" t="s">
        <v>54</v>
      </c>
      <c r="E869" s="27" t="s">
        <v>61</v>
      </c>
      <c r="F869" s="26" t="s">
        <v>66</v>
      </c>
      <c r="G869" s="28">
        <v>809720</v>
      </c>
      <c r="H869" s="26">
        <v>11</v>
      </c>
      <c r="I869" s="26" t="s">
        <v>67</v>
      </c>
      <c r="J869" s="26" t="b">
        <v>1</v>
      </c>
    </row>
    <row r="870" spans="1:10">
      <c r="A870" s="26" t="s">
        <v>958</v>
      </c>
      <c r="B870" s="26">
        <v>28</v>
      </c>
      <c r="C870" s="26" t="s">
        <v>53</v>
      </c>
      <c r="D870" s="26" t="s">
        <v>60</v>
      </c>
      <c r="E870" s="27" t="s">
        <v>78</v>
      </c>
      <c r="F870" s="26" t="s">
        <v>102</v>
      </c>
      <c r="G870" s="28">
        <v>6923695</v>
      </c>
      <c r="H870" s="26">
        <v>7</v>
      </c>
      <c r="I870" s="26" t="s">
        <v>63</v>
      </c>
      <c r="J870" s="26" t="b">
        <v>0</v>
      </c>
    </row>
    <row r="871" spans="1:10">
      <c r="A871" s="26" t="s">
        <v>959</v>
      </c>
      <c r="B871" s="26">
        <v>23</v>
      </c>
      <c r="C871" s="26" t="s">
        <v>59</v>
      </c>
      <c r="D871" s="26" t="s">
        <v>54</v>
      </c>
      <c r="E871" s="27" t="s">
        <v>55</v>
      </c>
      <c r="F871" s="26" t="s">
        <v>96</v>
      </c>
      <c r="G871" s="28">
        <v>3361020</v>
      </c>
      <c r="H871" s="26">
        <v>5</v>
      </c>
      <c r="I871" s="26" t="s">
        <v>67</v>
      </c>
      <c r="J871" s="26" t="b">
        <v>0</v>
      </c>
    </row>
    <row r="872" spans="1:10">
      <c r="A872" s="26" t="s">
        <v>960</v>
      </c>
      <c r="B872" s="26">
        <v>42</v>
      </c>
      <c r="C872" s="26" t="s">
        <v>53</v>
      </c>
      <c r="D872" s="26" t="s">
        <v>60</v>
      </c>
      <c r="E872" s="27" t="s">
        <v>78</v>
      </c>
      <c r="F872" s="26" t="s">
        <v>98</v>
      </c>
      <c r="G872" s="28">
        <v>1166685</v>
      </c>
      <c r="H872" s="26">
        <v>7</v>
      </c>
      <c r="I872" s="26" t="s">
        <v>57</v>
      </c>
      <c r="J872" s="26" t="b">
        <v>1</v>
      </c>
    </row>
    <row r="873" spans="1:10">
      <c r="A873" s="26" t="s">
        <v>961</v>
      </c>
      <c r="B873" s="26">
        <v>20</v>
      </c>
      <c r="C873" s="26" t="s">
        <v>59</v>
      </c>
      <c r="D873" s="26" t="s">
        <v>54</v>
      </c>
      <c r="E873" s="27" t="s">
        <v>55</v>
      </c>
      <c r="F873" s="26" t="s">
        <v>66</v>
      </c>
      <c r="G873" s="28">
        <v>4787485</v>
      </c>
      <c r="H873" s="26">
        <v>2</v>
      </c>
      <c r="I873" s="26" t="s">
        <v>57</v>
      </c>
      <c r="J873" s="26" t="b">
        <v>1</v>
      </c>
    </row>
    <row r="874" spans="1:10">
      <c r="A874" s="26" t="s">
        <v>962</v>
      </c>
      <c r="B874" s="26">
        <v>49</v>
      </c>
      <c r="C874" s="26" t="s">
        <v>59</v>
      </c>
      <c r="D874" s="26" t="s">
        <v>60</v>
      </c>
      <c r="E874" s="27" t="s">
        <v>73</v>
      </c>
      <c r="F874" s="26" t="s">
        <v>140</v>
      </c>
      <c r="G874" s="28">
        <v>2631435</v>
      </c>
      <c r="H874" s="26">
        <v>5</v>
      </c>
      <c r="I874" s="26" t="s">
        <v>63</v>
      </c>
      <c r="J874" s="26" t="b">
        <v>1</v>
      </c>
    </row>
    <row r="875" spans="1:10">
      <c r="A875" s="26" t="s">
        <v>963</v>
      </c>
      <c r="B875" s="26">
        <v>19</v>
      </c>
      <c r="C875" s="26" t="s">
        <v>59</v>
      </c>
      <c r="D875" s="26" t="s">
        <v>60</v>
      </c>
      <c r="E875" s="27" t="s">
        <v>85</v>
      </c>
      <c r="F875" s="26" t="s">
        <v>104</v>
      </c>
      <c r="G875" s="28">
        <v>4480740</v>
      </c>
      <c r="H875" s="26">
        <v>12</v>
      </c>
      <c r="I875" s="26" t="s">
        <v>57</v>
      </c>
      <c r="J875" s="26" t="b">
        <v>1</v>
      </c>
    </row>
    <row r="876" spans="1:10">
      <c r="A876" s="26" t="s">
        <v>964</v>
      </c>
      <c r="B876" s="26">
        <v>38</v>
      </c>
      <c r="C876" s="26" t="s">
        <v>53</v>
      </c>
      <c r="D876" s="26" t="s">
        <v>54</v>
      </c>
      <c r="E876" s="27" t="s">
        <v>73</v>
      </c>
      <c r="F876" s="26" t="s">
        <v>140</v>
      </c>
      <c r="G876" s="28">
        <v>1148395</v>
      </c>
      <c r="H876" s="26">
        <v>10</v>
      </c>
      <c r="I876" s="26" t="s">
        <v>57</v>
      </c>
      <c r="J876" s="26" t="b">
        <v>1</v>
      </c>
    </row>
    <row r="877" spans="1:10">
      <c r="A877" s="26" t="s">
        <v>965</v>
      </c>
      <c r="B877" s="26">
        <v>43</v>
      </c>
      <c r="C877" s="26" t="s">
        <v>59</v>
      </c>
      <c r="D877" s="26" t="s">
        <v>60</v>
      </c>
      <c r="E877" s="27" t="s">
        <v>85</v>
      </c>
      <c r="F877" s="26" t="s">
        <v>140</v>
      </c>
      <c r="G877" s="28">
        <v>3123715</v>
      </c>
      <c r="H877" s="26">
        <v>5</v>
      </c>
      <c r="I877" s="26" t="s">
        <v>57</v>
      </c>
      <c r="J877" s="26" t="b">
        <v>0</v>
      </c>
    </row>
    <row r="878" spans="1:10">
      <c r="A878" s="26" t="s">
        <v>966</v>
      </c>
      <c r="B878" s="26">
        <v>38</v>
      </c>
      <c r="C878" s="26" t="s">
        <v>59</v>
      </c>
      <c r="D878" s="26" t="s">
        <v>54</v>
      </c>
      <c r="E878" s="27" t="s">
        <v>61</v>
      </c>
      <c r="F878" s="26" t="s">
        <v>109</v>
      </c>
      <c r="G878" s="28">
        <v>3791300</v>
      </c>
      <c r="H878" s="26">
        <v>12</v>
      </c>
      <c r="I878" s="26" t="s">
        <v>63</v>
      </c>
      <c r="J878" s="26" t="b">
        <v>0</v>
      </c>
    </row>
    <row r="879" spans="1:10">
      <c r="A879" s="26" t="s">
        <v>967</v>
      </c>
      <c r="B879" s="26">
        <v>21</v>
      </c>
      <c r="C879" s="26" t="s">
        <v>59</v>
      </c>
      <c r="D879" s="26" t="s">
        <v>54</v>
      </c>
      <c r="E879" s="27" t="s">
        <v>61</v>
      </c>
      <c r="F879" s="26" t="s">
        <v>100</v>
      </c>
      <c r="G879" s="28">
        <v>4967750</v>
      </c>
      <c r="H879" s="26">
        <v>10</v>
      </c>
      <c r="I879" s="26" t="s">
        <v>67</v>
      </c>
      <c r="J879" s="26" t="b">
        <v>1</v>
      </c>
    </row>
    <row r="880" spans="1:10">
      <c r="A880" s="26" t="s">
        <v>968</v>
      </c>
      <c r="B880" s="26">
        <v>27</v>
      </c>
      <c r="C880" s="26" t="s">
        <v>59</v>
      </c>
      <c r="D880" s="26" t="s">
        <v>54</v>
      </c>
      <c r="E880" s="27" t="s">
        <v>78</v>
      </c>
      <c r="F880" s="26" t="s">
        <v>167</v>
      </c>
      <c r="G880" s="28">
        <v>1420265</v>
      </c>
      <c r="H880" s="26">
        <v>3</v>
      </c>
      <c r="I880" s="26" t="s">
        <v>57</v>
      </c>
      <c r="J880" s="26" t="b">
        <v>1</v>
      </c>
    </row>
    <row r="881" spans="1:10">
      <c r="A881" s="26" t="s">
        <v>969</v>
      </c>
      <c r="B881" s="26">
        <v>35</v>
      </c>
      <c r="C881" s="26" t="s">
        <v>59</v>
      </c>
      <c r="D881" s="26" t="s">
        <v>54</v>
      </c>
      <c r="E881" s="27" t="s">
        <v>73</v>
      </c>
      <c r="F881" s="26" t="s">
        <v>80</v>
      </c>
      <c r="G881" s="28">
        <v>3904915</v>
      </c>
      <c r="H881" s="26">
        <v>8</v>
      </c>
      <c r="I881" s="26" t="s">
        <v>60</v>
      </c>
      <c r="J881" s="26" t="b">
        <v>0</v>
      </c>
    </row>
    <row r="882" spans="1:10">
      <c r="A882" s="26" t="s">
        <v>970</v>
      </c>
      <c r="B882" s="26">
        <v>30</v>
      </c>
      <c r="C882" s="26" t="s">
        <v>59</v>
      </c>
      <c r="D882" s="26" t="s">
        <v>54</v>
      </c>
      <c r="E882" s="27" t="s">
        <v>55</v>
      </c>
      <c r="F882" s="26" t="s">
        <v>86</v>
      </c>
      <c r="G882" s="28">
        <v>7398925</v>
      </c>
      <c r="H882" s="26">
        <v>4</v>
      </c>
      <c r="I882" s="26" t="s">
        <v>60</v>
      </c>
      <c r="J882" s="26" t="b">
        <v>0</v>
      </c>
    </row>
    <row r="883" spans="1:10">
      <c r="A883" s="26" t="s">
        <v>971</v>
      </c>
      <c r="B883" s="26">
        <v>31</v>
      </c>
      <c r="C883" s="26" t="s">
        <v>59</v>
      </c>
      <c r="D883" s="26" t="s">
        <v>60</v>
      </c>
      <c r="E883" s="27" t="s">
        <v>65</v>
      </c>
      <c r="F883" s="26" t="s">
        <v>102</v>
      </c>
      <c r="G883" s="28">
        <v>1342765</v>
      </c>
      <c r="H883" s="26">
        <v>10</v>
      </c>
      <c r="I883" s="26" t="s">
        <v>63</v>
      </c>
      <c r="J883" s="26" t="b">
        <v>1</v>
      </c>
    </row>
    <row r="884" spans="1:10">
      <c r="A884" s="26" t="s">
        <v>972</v>
      </c>
      <c r="B884" s="26">
        <v>50</v>
      </c>
      <c r="C884" s="26" t="s">
        <v>53</v>
      </c>
      <c r="D884" s="26" t="s">
        <v>60</v>
      </c>
      <c r="E884" s="27" t="s">
        <v>85</v>
      </c>
      <c r="F884" s="26" t="s">
        <v>183</v>
      </c>
      <c r="G884" s="28">
        <v>7353510</v>
      </c>
      <c r="H884" s="26">
        <v>4</v>
      </c>
      <c r="I884" s="26" t="s">
        <v>63</v>
      </c>
      <c r="J884" s="26" t="b">
        <v>1</v>
      </c>
    </row>
    <row r="885" spans="1:10">
      <c r="A885" s="26" t="s">
        <v>973</v>
      </c>
      <c r="B885" s="26">
        <v>34</v>
      </c>
      <c r="C885" s="26" t="s">
        <v>53</v>
      </c>
      <c r="D885" s="26" t="s">
        <v>60</v>
      </c>
      <c r="E885" s="27" t="s">
        <v>73</v>
      </c>
      <c r="F885" s="26" t="s">
        <v>56</v>
      </c>
      <c r="G885" s="28">
        <v>6653220</v>
      </c>
      <c r="H885" s="26">
        <v>7</v>
      </c>
      <c r="I885" s="26" t="s">
        <v>60</v>
      </c>
      <c r="J885" s="26" t="b">
        <v>0</v>
      </c>
    </row>
    <row r="886" spans="1:10">
      <c r="A886" s="26" t="s">
        <v>974</v>
      </c>
      <c r="B886" s="26">
        <v>24</v>
      </c>
      <c r="C886" s="26" t="s">
        <v>53</v>
      </c>
      <c r="D886" s="26" t="s">
        <v>60</v>
      </c>
      <c r="E886" s="27" t="s">
        <v>85</v>
      </c>
      <c r="F886" s="26" t="s">
        <v>69</v>
      </c>
      <c r="G886" s="28">
        <v>7290890</v>
      </c>
      <c r="H886" s="26">
        <v>8</v>
      </c>
      <c r="I886" s="26" t="s">
        <v>63</v>
      </c>
      <c r="J886" s="26" t="b">
        <v>1</v>
      </c>
    </row>
    <row r="887" spans="1:10">
      <c r="A887" s="26" t="s">
        <v>975</v>
      </c>
      <c r="B887" s="26">
        <v>32</v>
      </c>
      <c r="C887" s="26" t="s">
        <v>53</v>
      </c>
      <c r="D887" s="26" t="s">
        <v>54</v>
      </c>
      <c r="E887" s="27" t="s">
        <v>61</v>
      </c>
      <c r="F887" s="26" t="s">
        <v>56</v>
      </c>
      <c r="G887" s="28">
        <v>7684900</v>
      </c>
      <c r="H887" s="26">
        <v>4</v>
      </c>
      <c r="I887" s="26" t="s">
        <v>67</v>
      </c>
      <c r="J887" s="26" t="b">
        <v>1</v>
      </c>
    </row>
    <row r="888" spans="1:10">
      <c r="A888" s="26" t="s">
        <v>976</v>
      </c>
      <c r="B888" s="26">
        <v>21</v>
      </c>
      <c r="C888" s="26" t="s">
        <v>53</v>
      </c>
      <c r="D888" s="26" t="s">
        <v>60</v>
      </c>
      <c r="E888" s="27" t="s">
        <v>65</v>
      </c>
      <c r="F888" s="26" t="s">
        <v>98</v>
      </c>
      <c r="G888" s="28">
        <v>2009420</v>
      </c>
      <c r="H888" s="26">
        <v>4</v>
      </c>
      <c r="I888" s="26" t="s">
        <v>57</v>
      </c>
      <c r="J888" s="26" t="b">
        <v>0</v>
      </c>
    </row>
    <row r="889" spans="1:10">
      <c r="A889" s="26" t="s">
        <v>977</v>
      </c>
      <c r="B889" s="26">
        <v>41</v>
      </c>
      <c r="C889" s="26" t="s">
        <v>59</v>
      </c>
      <c r="D889" s="26" t="s">
        <v>54</v>
      </c>
      <c r="E889" s="27" t="s">
        <v>73</v>
      </c>
      <c r="F889" s="26" t="s">
        <v>82</v>
      </c>
      <c r="G889" s="28">
        <v>7343435</v>
      </c>
      <c r="H889" s="26">
        <v>9</v>
      </c>
      <c r="I889" s="26" t="s">
        <v>63</v>
      </c>
      <c r="J889" s="26" t="b">
        <v>0</v>
      </c>
    </row>
    <row r="890" spans="1:10">
      <c r="A890" s="26" t="s">
        <v>978</v>
      </c>
      <c r="B890" s="26">
        <v>40</v>
      </c>
      <c r="C890" s="26" t="s">
        <v>53</v>
      </c>
      <c r="D890" s="26" t="s">
        <v>60</v>
      </c>
      <c r="E890" s="27" t="s">
        <v>73</v>
      </c>
      <c r="F890" s="26" t="s">
        <v>98</v>
      </c>
      <c r="G890" s="28">
        <v>2028020</v>
      </c>
      <c r="H890" s="26">
        <v>4</v>
      </c>
      <c r="I890" s="26" t="s">
        <v>63</v>
      </c>
      <c r="J890" s="26" t="b">
        <v>1</v>
      </c>
    </row>
    <row r="891" spans="1:10">
      <c r="A891" s="26" t="s">
        <v>979</v>
      </c>
      <c r="B891" s="26">
        <v>48</v>
      </c>
      <c r="C891" s="26" t="s">
        <v>59</v>
      </c>
      <c r="D891" s="26" t="s">
        <v>54</v>
      </c>
      <c r="E891" s="27" t="s">
        <v>55</v>
      </c>
      <c r="F891" s="26" t="s">
        <v>121</v>
      </c>
      <c r="G891" s="28">
        <v>6766370</v>
      </c>
      <c r="H891" s="26">
        <v>12</v>
      </c>
      <c r="I891" s="26" t="s">
        <v>63</v>
      </c>
      <c r="J891" s="26" t="b">
        <v>1</v>
      </c>
    </row>
    <row r="892" spans="1:10">
      <c r="A892" s="26" t="s">
        <v>980</v>
      </c>
      <c r="B892" s="26">
        <v>25</v>
      </c>
      <c r="C892" s="26" t="s">
        <v>53</v>
      </c>
      <c r="D892" s="26" t="s">
        <v>54</v>
      </c>
      <c r="E892" s="27" t="s">
        <v>65</v>
      </c>
      <c r="F892" s="26" t="s">
        <v>88</v>
      </c>
      <c r="G892" s="28">
        <v>4092155</v>
      </c>
      <c r="H892" s="26">
        <v>4</v>
      </c>
      <c r="I892" s="26" t="s">
        <v>60</v>
      </c>
      <c r="J892" s="26" t="b">
        <v>1</v>
      </c>
    </row>
    <row r="893" spans="1:10">
      <c r="A893" s="26" t="s">
        <v>981</v>
      </c>
      <c r="B893" s="26">
        <v>30</v>
      </c>
      <c r="C893" s="26" t="s">
        <v>53</v>
      </c>
      <c r="D893" s="26" t="s">
        <v>60</v>
      </c>
      <c r="E893" s="27" t="s">
        <v>78</v>
      </c>
      <c r="F893" s="26" t="s">
        <v>140</v>
      </c>
      <c r="G893" s="28">
        <v>903185</v>
      </c>
      <c r="H893" s="26">
        <v>2</v>
      </c>
      <c r="I893" s="26" t="s">
        <v>63</v>
      </c>
      <c r="J893" s="26" t="b">
        <v>0</v>
      </c>
    </row>
    <row r="894" spans="1:10">
      <c r="A894" s="26" t="s">
        <v>982</v>
      </c>
      <c r="B894" s="26">
        <v>25</v>
      </c>
      <c r="C894" s="26" t="s">
        <v>59</v>
      </c>
      <c r="D894" s="26" t="s">
        <v>54</v>
      </c>
      <c r="E894" s="27" t="s">
        <v>85</v>
      </c>
      <c r="F894" s="26" t="s">
        <v>80</v>
      </c>
      <c r="G894" s="28">
        <v>2956780</v>
      </c>
      <c r="H894" s="26">
        <v>10</v>
      </c>
      <c r="I894" s="26" t="s">
        <v>57</v>
      </c>
      <c r="J894" s="26" t="b">
        <v>0</v>
      </c>
    </row>
    <row r="895" spans="1:10">
      <c r="A895" s="26" t="s">
        <v>983</v>
      </c>
      <c r="B895" s="26">
        <v>40</v>
      </c>
      <c r="C895" s="26" t="s">
        <v>53</v>
      </c>
      <c r="D895" s="26" t="s">
        <v>60</v>
      </c>
      <c r="E895" s="27" t="s">
        <v>65</v>
      </c>
      <c r="F895" s="26" t="s">
        <v>88</v>
      </c>
      <c r="G895" s="28">
        <v>1639280</v>
      </c>
      <c r="H895" s="26">
        <v>8</v>
      </c>
      <c r="I895" s="26" t="s">
        <v>57</v>
      </c>
      <c r="J895" s="26" t="b">
        <v>0</v>
      </c>
    </row>
    <row r="896" spans="1:10">
      <c r="A896" s="26" t="s">
        <v>984</v>
      </c>
      <c r="B896" s="26">
        <v>24</v>
      </c>
      <c r="C896" s="26" t="s">
        <v>53</v>
      </c>
      <c r="D896" s="26" t="s">
        <v>54</v>
      </c>
      <c r="E896" s="27" t="s">
        <v>78</v>
      </c>
      <c r="F896" s="26" t="s">
        <v>92</v>
      </c>
      <c r="G896" s="28">
        <v>3941495</v>
      </c>
      <c r="H896" s="26">
        <v>9</v>
      </c>
      <c r="I896" s="26" t="s">
        <v>63</v>
      </c>
      <c r="J896" s="26" t="b">
        <v>0</v>
      </c>
    </row>
    <row r="897" spans="1:10">
      <c r="A897" s="26" t="s">
        <v>985</v>
      </c>
      <c r="B897" s="26">
        <v>49</v>
      </c>
      <c r="C897" s="26" t="s">
        <v>59</v>
      </c>
      <c r="D897" s="26" t="s">
        <v>54</v>
      </c>
      <c r="E897" s="27" t="s">
        <v>85</v>
      </c>
      <c r="F897" s="26" t="s">
        <v>80</v>
      </c>
      <c r="G897" s="28">
        <v>6750560</v>
      </c>
      <c r="H897" s="26">
        <v>9</v>
      </c>
      <c r="I897" s="26" t="s">
        <v>60</v>
      </c>
      <c r="J897" s="26" t="b">
        <v>1</v>
      </c>
    </row>
    <row r="898" spans="1:10">
      <c r="A898" s="26" t="s">
        <v>986</v>
      </c>
      <c r="B898" s="26">
        <v>50</v>
      </c>
      <c r="C898" s="26" t="s">
        <v>53</v>
      </c>
      <c r="D898" s="26" t="s">
        <v>60</v>
      </c>
      <c r="E898" s="27" t="s">
        <v>78</v>
      </c>
      <c r="F898" s="26" t="s">
        <v>66</v>
      </c>
      <c r="G898" s="28">
        <v>3650095</v>
      </c>
      <c r="H898" s="26">
        <v>5</v>
      </c>
      <c r="I898" s="26" t="s">
        <v>60</v>
      </c>
      <c r="J898" s="26" t="b">
        <v>1</v>
      </c>
    </row>
    <row r="899" spans="1:10">
      <c r="A899" s="26" t="s">
        <v>987</v>
      </c>
      <c r="B899" s="26">
        <v>45</v>
      </c>
      <c r="C899" s="26" t="s">
        <v>59</v>
      </c>
      <c r="D899" s="26" t="s">
        <v>60</v>
      </c>
      <c r="E899" s="27" t="s">
        <v>55</v>
      </c>
      <c r="F899" s="26" t="s">
        <v>82</v>
      </c>
      <c r="G899" s="28">
        <v>2500770</v>
      </c>
      <c r="H899" s="26">
        <v>3</v>
      </c>
      <c r="I899" s="26" t="s">
        <v>60</v>
      </c>
      <c r="J899" s="26" t="b">
        <v>1</v>
      </c>
    </row>
    <row r="900" spans="1:10">
      <c r="A900" s="26" t="s">
        <v>988</v>
      </c>
      <c r="B900" s="26">
        <v>19</v>
      </c>
      <c r="C900" s="26" t="s">
        <v>59</v>
      </c>
      <c r="D900" s="26" t="s">
        <v>60</v>
      </c>
      <c r="E900" s="27" t="s">
        <v>55</v>
      </c>
      <c r="F900" s="26" t="s">
        <v>82</v>
      </c>
      <c r="G900" s="28">
        <v>2598885</v>
      </c>
      <c r="H900" s="26">
        <v>11</v>
      </c>
      <c r="I900" s="26" t="s">
        <v>60</v>
      </c>
      <c r="J900" s="26" t="b">
        <v>0</v>
      </c>
    </row>
    <row r="901" spans="1:10">
      <c r="A901" s="26" t="s">
        <v>989</v>
      </c>
      <c r="B901" s="26">
        <v>50</v>
      </c>
      <c r="C901" s="26" t="s">
        <v>53</v>
      </c>
      <c r="D901" s="26" t="s">
        <v>54</v>
      </c>
      <c r="E901" s="27" t="s">
        <v>65</v>
      </c>
      <c r="F901" s="26" t="s">
        <v>62</v>
      </c>
      <c r="G901" s="28">
        <v>1498540</v>
      </c>
      <c r="H901" s="26">
        <v>10</v>
      </c>
      <c r="I901" s="26" t="s">
        <v>60</v>
      </c>
      <c r="J901" s="26" t="b">
        <v>1</v>
      </c>
    </row>
    <row r="902" spans="1:10">
      <c r="A902" s="26" t="s">
        <v>990</v>
      </c>
      <c r="B902" s="26">
        <v>32</v>
      </c>
      <c r="C902" s="26" t="s">
        <v>59</v>
      </c>
      <c r="D902" s="26" t="s">
        <v>60</v>
      </c>
      <c r="E902" s="27" t="s">
        <v>55</v>
      </c>
      <c r="F902" s="26" t="s">
        <v>56</v>
      </c>
      <c r="G902" s="28">
        <v>3635990</v>
      </c>
      <c r="H902" s="26">
        <v>3</v>
      </c>
      <c r="I902" s="26" t="s">
        <v>67</v>
      </c>
      <c r="J902" s="26" t="b">
        <v>1</v>
      </c>
    </row>
    <row r="903" spans="1:10">
      <c r="A903" s="26" t="s">
        <v>991</v>
      </c>
      <c r="B903" s="26">
        <v>21</v>
      </c>
      <c r="C903" s="26" t="s">
        <v>59</v>
      </c>
      <c r="D903" s="26" t="s">
        <v>54</v>
      </c>
      <c r="E903" s="27" t="s">
        <v>65</v>
      </c>
      <c r="F903" s="26" t="s">
        <v>71</v>
      </c>
      <c r="G903" s="28">
        <v>2425440</v>
      </c>
      <c r="H903" s="26">
        <v>7</v>
      </c>
      <c r="I903" s="26" t="s">
        <v>67</v>
      </c>
      <c r="J903" s="26" t="b">
        <v>0</v>
      </c>
    </row>
    <row r="904" spans="1:10">
      <c r="A904" s="26" t="s">
        <v>992</v>
      </c>
      <c r="B904" s="26">
        <v>27</v>
      </c>
      <c r="C904" s="26" t="s">
        <v>59</v>
      </c>
      <c r="D904" s="26" t="s">
        <v>60</v>
      </c>
      <c r="E904" s="27" t="s">
        <v>55</v>
      </c>
      <c r="F904" s="26" t="s">
        <v>167</v>
      </c>
      <c r="G904" s="28">
        <v>7589730</v>
      </c>
      <c r="H904" s="26">
        <v>11</v>
      </c>
      <c r="I904" s="26" t="s">
        <v>60</v>
      </c>
      <c r="J904" s="26" t="b">
        <v>1</v>
      </c>
    </row>
    <row r="905" spans="1:10">
      <c r="A905" s="26" t="s">
        <v>993</v>
      </c>
      <c r="B905" s="26">
        <v>39</v>
      </c>
      <c r="C905" s="26" t="s">
        <v>53</v>
      </c>
      <c r="D905" s="26" t="s">
        <v>60</v>
      </c>
      <c r="E905" s="27" t="s">
        <v>65</v>
      </c>
      <c r="F905" s="26" t="s">
        <v>96</v>
      </c>
      <c r="G905" s="28">
        <v>2508675</v>
      </c>
      <c r="H905" s="26">
        <v>9</v>
      </c>
      <c r="I905" s="26" t="s">
        <v>60</v>
      </c>
      <c r="J905" s="26" t="b">
        <v>1</v>
      </c>
    </row>
    <row r="906" spans="1:10">
      <c r="A906" s="26" t="s">
        <v>994</v>
      </c>
      <c r="B906" s="26">
        <v>34</v>
      </c>
      <c r="C906" s="26" t="s">
        <v>59</v>
      </c>
      <c r="D906" s="26" t="s">
        <v>54</v>
      </c>
      <c r="E906" s="27" t="s">
        <v>85</v>
      </c>
      <c r="F906" s="26" t="s">
        <v>98</v>
      </c>
      <c r="G906" s="28">
        <v>3169285</v>
      </c>
      <c r="H906" s="26">
        <v>7</v>
      </c>
      <c r="I906" s="26" t="s">
        <v>57</v>
      </c>
      <c r="J906" s="26" t="b">
        <v>1</v>
      </c>
    </row>
    <row r="907" spans="1:10">
      <c r="A907" s="26" t="s">
        <v>995</v>
      </c>
      <c r="B907" s="26">
        <v>34</v>
      </c>
      <c r="C907" s="26" t="s">
        <v>53</v>
      </c>
      <c r="D907" s="26" t="s">
        <v>54</v>
      </c>
      <c r="E907" s="27" t="s">
        <v>61</v>
      </c>
      <c r="F907" s="26" t="s">
        <v>92</v>
      </c>
      <c r="G907" s="28">
        <v>4882965</v>
      </c>
      <c r="H907" s="26">
        <v>4</v>
      </c>
      <c r="I907" s="26" t="s">
        <v>60</v>
      </c>
      <c r="J907" s="26" t="b">
        <v>1</v>
      </c>
    </row>
    <row r="908" spans="1:10">
      <c r="A908" s="26" t="s">
        <v>996</v>
      </c>
      <c r="B908" s="26">
        <v>42</v>
      </c>
      <c r="C908" s="26" t="s">
        <v>59</v>
      </c>
      <c r="D908" s="26" t="s">
        <v>54</v>
      </c>
      <c r="E908" s="27" t="s">
        <v>61</v>
      </c>
      <c r="F908" s="26" t="s">
        <v>71</v>
      </c>
      <c r="G908" s="28">
        <v>5120580</v>
      </c>
      <c r="H908" s="26">
        <v>12</v>
      </c>
      <c r="I908" s="26" t="s">
        <v>67</v>
      </c>
      <c r="J908" s="26" t="b">
        <v>1</v>
      </c>
    </row>
    <row r="909" spans="1:10">
      <c r="A909" s="26" t="s">
        <v>997</v>
      </c>
      <c r="B909" s="26">
        <v>42</v>
      </c>
      <c r="C909" s="26" t="s">
        <v>59</v>
      </c>
      <c r="D909" s="26" t="s">
        <v>54</v>
      </c>
      <c r="E909" s="27" t="s">
        <v>65</v>
      </c>
      <c r="F909" s="26" t="s">
        <v>104</v>
      </c>
      <c r="G909" s="28">
        <v>7080865</v>
      </c>
      <c r="H909" s="26">
        <v>5</v>
      </c>
      <c r="I909" s="26" t="s">
        <v>57</v>
      </c>
      <c r="J909" s="26" t="b">
        <v>0</v>
      </c>
    </row>
    <row r="910" spans="1:10">
      <c r="A910" s="26" t="s">
        <v>998</v>
      </c>
      <c r="B910" s="26">
        <v>31</v>
      </c>
      <c r="C910" s="26" t="s">
        <v>59</v>
      </c>
      <c r="D910" s="26" t="s">
        <v>60</v>
      </c>
      <c r="E910" s="27" t="s">
        <v>85</v>
      </c>
      <c r="F910" s="26" t="s">
        <v>167</v>
      </c>
      <c r="G910" s="28">
        <v>3658775</v>
      </c>
      <c r="H910" s="26">
        <v>6</v>
      </c>
      <c r="I910" s="26" t="s">
        <v>57</v>
      </c>
      <c r="J910" s="26" t="b">
        <v>0</v>
      </c>
    </row>
    <row r="911" spans="1:10">
      <c r="A911" s="26" t="s">
        <v>999</v>
      </c>
      <c r="B911" s="26">
        <v>35</v>
      </c>
      <c r="C911" s="26" t="s">
        <v>53</v>
      </c>
      <c r="D911" s="26" t="s">
        <v>60</v>
      </c>
      <c r="E911" s="27" t="s">
        <v>55</v>
      </c>
      <c r="F911" s="26" t="s">
        <v>69</v>
      </c>
      <c r="G911" s="28">
        <v>4483840</v>
      </c>
      <c r="H911" s="26">
        <v>9</v>
      </c>
      <c r="I911" s="26" t="s">
        <v>60</v>
      </c>
      <c r="J911" s="26" t="b">
        <v>0</v>
      </c>
    </row>
    <row r="912" spans="1:10">
      <c r="A912" s="26" t="s">
        <v>1000</v>
      </c>
      <c r="B912" s="26">
        <v>27</v>
      </c>
      <c r="C912" s="26" t="s">
        <v>53</v>
      </c>
      <c r="D912" s="26" t="s">
        <v>60</v>
      </c>
      <c r="E912" s="27" t="s">
        <v>85</v>
      </c>
      <c r="F912" s="26" t="s">
        <v>96</v>
      </c>
      <c r="G912" s="28">
        <v>7498435</v>
      </c>
      <c r="H912" s="26">
        <v>5</v>
      </c>
      <c r="I912" s="26" t="s">
        <v>57</v>
      </c>
      <c r="J912" s="26" t="b">
        <v>0</v>
      </c>
    </row>
    <row r="913" spans="1:10">
      <c r="A913" s="26" t="s">
        <v>1001</v>
      </c>
      <c r="B913" s="26">
        <v>45</v>
      </c>
      <c r="C913" s="26" t="s">
        <v>59</v>
      </c>
      <c r="D913" s="26" t="s">
        <v>54</v>
      </c>
      <c r="E913" s="27" t="s">
        <v>85</v>
      </c>
      <c r="F913" s="26" t="s">
        <v>71</v>
      </c>
      <c r="G913" s="28">
        <v>999750</v>
      </c>
      <c r="H913" s="26">
        <v>7</v>
      </c>
      <c r="I913" s="26" t="s">
        <v>60</v>
      </c>
      <c r="J913" s="26" t="b">
        <v>1</v>
      </c>
    </row>
    <row r="914" spans="1:10">
      <c r="A914" s="26" t="s">
        <v>1002</v>
      </c>
      <c r="B914" s="26">
        <v>43</v>
      </c>
      <c r="C914" s="26" t="s">
        <v>59</v>
      </c>
      <c r="D914" s="26" t="s">
        <v>60</v>
      </c>
      <c r="E914" s="27" t="s">
        <v>78</v>
      </c>
      <c r="F914" s="26" t="s">
        <v>121</v>
      </c>
      <c r="G914" s="28">
        <v>6766835</v>
      </c>
      <c r="H914" s="26">
        <v>4</v>
      </c>
      <c r="I914" s="26" t="s">
        <v>60</v>
      </c>
      <c r="J914" s="26" t="b">
        <v>0</v>
      </c>
    </row>
    <row r="915" spans="1:10">
      <c r="A915" s="26" t="s">
        <v>1003</v>
      </c>
      <c r="B915" s="26">
        <v>35</v>
      </c>
      <c r="C915" s="26" t="s">
        <v>53</v>
      </c>
      <c r="D915" s="26" t="s">
        <v>54</v>
      </c>
      <c r="E915" s="27" t="s">
        <v>61</v>
      </c>
      <c r="F915" s="26" t="s">
        <v>62</v>
      </c>
      <c r="G915" s="28">
        <v>5649440</v>
      </c>
      <c r="H915" s="26">
        <v>2</v>
      </c>
      <c r="I915" s="26" t="s">
        <v>57</v>
      </c>
      <c r="J915" s="26" t="b">
        <v>0</v>
      </c>
    </row>
    <row r="916" spans="1:10">
      <c r="A916" s="26" t="s">
        <v>1004</v>
      </c>
      <c r="B916" s="26">
        <v>33</v>
      </c>
      <c r="C916" s="26" t="s">
        <v>53</v>
      </c>
      <c r="D916" s="26" t="s">
        <v>54</v>
      </c>
      <c r="E916" s="27" t="s">
        <v>61</v>
      </c>
      <c r="F916" s="26" t="s">
        <v>137</v>
      </c>
      <c r="G916" s="28">
        <v>3439140</v>
      </c>
      <c r="H916" s="26">
        <v>12</v>
      </c>
      <c r="I916" s="26" t="s">
        <v>67</v>
      </c>
      <c r="J916" s="26" t="b">
        <v>1</v>
      </c>
    </row>
    <row r="917" spans="1:10">
      <c r="A917" s="26" t="s">
        <v>1005</v>
      </c>
      <c r="B917" s="26">
        <v>31</v>
      </c>
      <c r="C917" s="26" t="s">
        <v>53</v>
      </c>
      <c r="D917" s="26" t="s">
        <v>54</v>
      </c>
      <c r="E917" s="27" t="s">
        <v>78</v>
      </c>
      <c r="F917" s="26" t="s">
        <v>134</v>
      </c>
      <c r="G917" s="28">
        <v>4312255</v>
      </c>
      <c r="H917" s="26">
        <v>3</v>
      </c>
      <c r="I917" s="26" t="s">
        <v>67</v>
      </c>
      <c r="J917" s="26" t="b">
        <v>1</v>
      </c>
    </row>
    <row r="918" spans="1:10">
      <c r="A918" s="26" t="s">
        <v>1006</v>
      </c>
      <c r="B918" s="26">
        <v>31</v>
      </c>
      <c r="C918" s="26" t="s">
        <v>53</v>
      </c>
      <c r="D918" s="26" t="s">
        <v>60</v>
      </c>
      <c r="E918" s="27" t="s">
        <v>65</v>
      </c>
      <c r="F918" s="26" t="s">
        <v>113</v>
      </c>
      <c r="G918" s="28">
        <v>5338665</v>
      </c>
      <c r="H918" s="26">
        <v>7</v>
      </c>
      <c r="I918" s="26" t="s">
        <v>63</v>
      </c>
      <c r="J918" s="26" t="b">
        <v>1</v>
      </c>
    </row>
    <row r="919" spans="1:10">
      <c r="A919" s="26" t="s">
        <v>1007</v>
      </c>
      <c r="B919" s="26">
        <v>26</v>
      </c>
      <c r="C919" s="26" t="s">
        <v>59</v>
      </c>
      <c r="D919" s="26" t="s">
        <v>60</v>
      </c>
      <c r="E919" s="27" t="s">
        <v>78</v>
      </c>
      <c r="F919" s="26" t="s">
        <v>102</v>
      </c>
      <c r="G919" s="28">
        <v>5054240</v>
      </c>
      <c r="H919" s="26">
        <v>11</v>
      </c>
      <c r="I919" s="26" t="s">
        <v>63</v>
      </c>
      <c r="J919" s="26" t="b">
        <v>1</v>
      </c>
    </row>
    <row r="920" spans="1:10">
      <c r="A920" s="26" t="s">
        <v>1008</v>
      </c>
      <c r="B920" s="26">
        <v>49</v>
      </c>
      <c r="C920" s="26" t="s">
        <v>59</v>
      </c>
      <c r="D920" s="26" t="s">
        <v>60</v>
      </c>
      <c r="E920" s="27" t="s">
        <v>61</v>
      </c>
      <c r="F920" s="26" t="s">
        <v>56</v>
      </c>
      <c r="G920" s="28">
        <v>6788535</v>
      </c>
      <c r="H920" s="26">
        <v>8</v>
      </c>
      <c r="I920" s="26" t="s">
        <v>60</v>
      </c>
      <c r="J920" s="26" t="b">
        <v>1</v>
      </c>
    </row>
    <row r="921" spans="1:10">
      <c r="A921" s="26" t="s">
        <v>1009</v>
      </c>
      <c r="B921" s="26">
        <v>23</v>
      </c>
      <c r="C921" s="26" t="s">
        <v>59</v>
      </c>
      <c r="D921" s="26" t="s">
        <v>60</v>
      </c>
      <c r="E921" s="27" t="s">
        <v>61</v>
      </c>
      <c r="F921" s="26" t="s">
        <v>96</v>
      </c>
      <c r="G921" s="28">
        <v>6073985</v>
      </c>
      <c r="H921" s="26">
        <v>3</v>
      </c>
      <c r="I921" s="26" t="s">
        <v>60</v>
      </c>
      <c r="J921" s="26" t="b">
        <v>1</v>
      </c>
    </row>
    <row r="922" spans="1:10">
      <c r="A922" s="26" t="s">
        <v>1010</v>
      </c>
      <c r="B922" s="26">
        <v>42</v>
      </c>
      <c r="C922" s="26" t="s">
        <v>59</v>
      </c>
      <c r="D922" s="26" t="s">
        <v>60</v>
      </c>
      <c r="E922" s="27" t="s">
        <v>85</v>
      </c>
      <c r="F922" s="26" t="s">
        <v>140</v>
      </c>
      <c r="G922" s="28">
        <v>5167855</v>
      </c>
      <c r="H922" s="26">
        <v>3</v>
      </c>
      <c r="I922" s="26" t="s">
        <v>60</v>
      </c>
      <c r="J922" s="26" t="b">
        <v>0</v>
      </c>
    </row>
    <row r="923" spans="1:10">
      <c r="A923" s="26" t="s">
        <v>1011</v>
      </c>
      <c r="B923" s="26">
        <v>32</v>
      </c>
      <c r="C923" s="26" t="s">
        <v>59</v>
      </c>
      <c r="D923" s="26" t="s">
        <v>54</v>
      </c>
      <c r="E923" s="27" t="s">
        <v>61</v>
      </c>
      <c r="F923" s="26" t="s">
        <v>121</v>
      </c>
      <c r="G923" s="28">
        <v>3898870</v>
      </c>
      <c r="H923" s="26">
        <v>9</v>
      </c>
      <c r="I923" s="26" t="s">
        <v>60</v>
      </c>
      <c r="J923" s="26" t="b">
        <v>1</v>
      </c>
    </row>
    <row r="924" spans="1:10">
      <c r="A924" s="26" t="s">
        <v>1012</v>
      </c>
      <c r="B924" s="26">
        <v>37</v>
      </c>
      <c r="C924" s="26" t="s">
        <v>53</v>
      </c>
      <c r="D924" s="26" t="s">
        <v>54</v>
      </c>
      <c r="E924" s="27" t="s">
        <v>65</v>
      </c>
      <c r="F924" s="26" t="s">
        <v>98</v>
      </c>
      <c r="G924" s="28">
        <v>4527240</v>
      </c>
      <c r="H924" s="26">
        <v>7</v>
      </c>
      <c r="I924" s="26" t="s">
        <v>60</v>
      </c>
      <c r="J924" s="26" t="b">
        <v>0</v>
      </c>
    </row>
    <row r="925" spans="1:10">
      <c r="A925" s="26" t="s">
        <v>1013</v>
      </c>
      <c r="B925" s="26">
        <v>25</v>
      </c>
      <c r="C925" s="26" t="s">
        <v>59</v>
      </c>
      <c r="D925" s="26" t="s">
        <v>60</v>
      </c>
      <c r="E925" s="27" t="s">
        <v>55</v>
      </c>
      <c r="F925" s="26" t="s">
        <v>140</v>
      </c>
      <c r="G925" s="28">
        <v>3166495</v>
      </c>
      <c r="H925" s="26">
        <v>11</v>
      </c>
      <c r="I925" s="26" t="s">
        <v>57</v>
      </c>
      <c r="J925" s="26" t="b">
        <v>0</v>
      </c>
    </row>
    <row r="926" spans="1:10">
      <c r="A926" s="26" t="s">
        <v>1014</v>
      </c>
      <c r="B926" s="26">
        <v>49</v>
      </c>
      <c r="C926" s="26" t="s">
        <v>59</v>
      </c>
      <c r="D926" s="26" t="s">
        <v>54</v>
      </c>
      <c r="E926" s="27" t="s">
        <v>55</v>
      </c>
      <c r="F926" s="26" t="s">
        <v>96</v>
      </c>
      <c r="G926" s="28">
        <v>4009540</v>
      </c>
      <c r="H926" s="26">
        <v>4</v>
      </c>
      <c r="I926" s="26" t="s">
        <v>67</v>
      </c>
      <c r="J926" s="26" t="b">
        <v>0</v>
      </c>
    </row>
    <row r="927" spans="1:10">
      <c r="A927" s="26" t="s">
        <v>1015</v>
      </c>
      <c r="B927" s="26">
        <v>26</v>
      </c>
      <c r="C927" s="26" t="s">
        <v>59</v>
      </c>
      <c r="D927" s="26" t="s">
        <v>54</v>
      </c>
      <c r="E927" s="27" t="s">
        <v>65</v>
      </c>
      <c r="F927" s="26" t="s">
        <v>56</v>
      </c>
      <c r="G927" s="28">
        <v>3999310</v>
      </c>
      <c r="H927" s="26">
        <v>2</v>
      </c>
      <c r="I927" s="26" t="s">
        <v>67</v>
      </c>
      <c r="J927" s="26" t="b">
        <v>1</v>
      </c>
    </row>
    <row r="928" spans="1:10">
      <c r="A928" s="26" t="s">
        <v>1016</v>
      </c>
      <c r="B928" s="26">
        <v>29</v>
      </c>
      <c r="C928" s="26" t="s">
        <v>53</v>
      </c>
      <c r="D928" s="26" t="s">
        <v>60</v>
      </c>
      <c r="E928" s="27" t="s">
        <v>61</v>
      </c>
      <c r="F928" s="26" t="s">
        <v>56</v>
      </c>
      <c r="G928" s="28">
        <v>2818985</v>
      </c>
      <c r="H928" s="26">
        <v>12</v>
      </c>
      <c r="I928" s="26" t="s">
        <v>63</v>
      </c>
      <c r="J928" s="26" t="b">
        <v>0</v>
      </c>
    </row>
    <row r="929" spans="1:10">
      <c r="A929" s="26" t="s">
        <v>1017</v>
      </c>
      <c r="B929" s="26">
        <v>26</v>
      </c>
      <c r="C929" s="26" t="s">
        <v>59</v>
      </c>
      <c r="D929" s="26" t="s">
        <v>60</v>
      </c>
      <c r="E929" s="27" t="s">
        <v>85</v>
      </c>
      <c r="F929" s="26" t="s">
        <v>121</v>
      </c>
      <c r="G929" s="28">
        <v>1258290</v>
      </c>
      <c r="H929" s="26">
        <v>8</v>
      </c>
      <c r="I929" s="26" t="s">
        <v>67</v>
      </c>
      <c r="J929" s="26" t="b">
        <v>0</v>
      </c>
    </row>
    <row r="930" spans="1:10">
      <c r="A930" s="26" t="s">
        <v>1018</v>
      </c>
      <c r="B930" s="26">
        <v>23</v>
      </c>
      <c r="C930" s="26" t="s">
        <v>53</v>
      </c>
      <c r="D930" s="26" t="s">
        <v>60</v>
      </c>
      <c r="E930" s="27" t="s">
        <v>78</v>
      </c>
      <c r="F930" s="26" t="s">
        <v>76</v>
      </c>
      <c r="G930" s="28">
        <v>5935570</v>
      </c>
      <c r="H930" s="26">
        <v>8</v>
      </c>
      <c r="I930" s="26" t="s">
        <v>63</v>
      </c>
      <c r="J930" s="26" t="b">
        <v>0</v>
      </c>
    </row>
    <row r="931" spans="1:10">
      <c r="A931" s="26" t="s">
        <v>1019</v>
      </c>
      <c r="B931" s="26">
        <v>47</v>
      </c>
      <c r="C931" s="26" t="s">
        <v>53</v>
      </c>
      <c r="D931" s="26" t="s">
        <v>60</v>
      </c>
      <c r="E931" s="27" t="s">
        <v>78</v>
      </c>
      <c r="F931" s="26" t="s">
        <v>137</v>
      </c>
      <c r="G931" s="28">
        <v>6243710</v>
      </c>
      <c r="H931" s="26">
        <v>7</v>
      </c>
      <c r="I931" s="26" t="s">
        <v>57</v>
      </c>
      <c r="J931" s="26" t="b">
        <v>0</v>
      </c>
    </row>
    <row r="932" spans="1:10">
      <c r="A932" s="26" t="s">
        <v>1020</v>
      </c>
      <c r="B932" s="26">
        <v>30</v>
      </c>
      <c r="C932" s="26" t="s">
        <v>59</v>
      </c>
      <c r="D932" s="26" t="s">
        <v>60</v>
      </c>
      <c r="E932" s="27" t="s">
        <v>78</v>
      </c>
      <c r="F932" s="26" t="s">
        <v>56</v>
      </c>
      <c r="G932" s="28">
        <v>7715280</v>
      </c>
      <c r="H932" s="26">
        <v>2</v>
      </c>
      <c r="I932" s="26" t="s">
        <v>60</v>
      </c>
      <c r="J932" s="26" t="b">
        <v>1</v>
      </c>
    </row>
    <row r="933" spans="1:10">
      <c r="A933" s="26" t="s">
        <v>1021</v>
      </c>
      <c r="B933" s="26">
        <v>26</v>
      </c>
      <c r="C933" s="26" t="s">
        <v>53</v>
      </c>
      <c r="D933" s="26" t="s">
        <v>60</v>
      </c>
      <c r="E933" s="27" t="s">
        <v>85</v>
      </c>
      <c r="F933" s="26" t="s">
        <v>71</v>
      </c>
      <c r="G933" s="28">
        <v>3527490</v>
      </c>
      <c r="H933" s="26">
        <v>5</v>
      </c>
      <c r="I933" s="26" t="s">
        <v>60</v>
      </c>
      <c r="J933" s="26" t="b">
        <v>1</v>
      </c>
    </row>
    <row r="934" spans="1:10">
      <c r="A934" s="26" t="s">
        <v>1022</v>
      </c>
      <c r="B934" s="26">
        <v>35</v>
      </c>
      <c r="C934" s="26" t="s">
        <v>53</v>
      </c>
      <c r="D934" s="26" t="s">
        <v>60</v>
      </c>
      <c r="E934" s="27" t="s">
        <v>65</v>
      </c>
      <c r="F934" s="26" t="s">
        <v>98</v>
      </c>
      <c r="G934" s="28">
        <v>4085335</v>
      </c>
      <c r="H934" s="26">
        <v>2</v>
      </c>
      <c r="I934" s="26" t="s">
        <v>60</v>
      </c>
      <c r="J934" s="26" t="b">
        <v>1</v>
      </c>
    </row>
    <row r="935" spans="1:10">
      <c r="A935" s="26" t="s">
        <v>1023</v>
      </c>
      <c r="B935" s="26">
        <v>40</v>
      </c>
      <c r="C935" s="26" t="s">
        <v>59</v>
      </c>
      <c r="D935" s="26" t="s">
        <v>60</v>
      </c>
      <c r="E935" s="27" t="s">
        <v>73</v>
      </c>
      <c r="F935" s="26" t="s">
        <v>102</v>
      </c>
      <c r="G935" s="28">
        <v>6542395</v>
      </c>
      <c r="H935" s="26">
        <v>3</v>
      </c>
      <c r="I935" s="26" t="s">
        <v>60</v>
      </c>
      <c r="J935" s="26" t="b">
        <v>1</v>
      </c>
    </row>
    <row r="936" spans="1:10">
      <c r="A936" s="26" t="s">
        <v>1024</v>
      </c>
      <c r="B936" s="26">
        <v>35</v>
      </c>
      <c r="C936" s="26" t="s">
        <v>59</v>
      </c>
      <c r="D936" s="26" t="s">
        <v>54</v>
      </c>
      <c r="E936" s="27" t="s">
        <v>78</v>
      </c>
      <c r="F936" s="26" t="s">
        <v>56</v>
      </c>
      <c r="G936" s="28">
        <v>6383365</v>
      </c>
      <c r="H936" s="26">
        <v>2</v>
      </c>
      <c r="I936" s="26" t="s">
        <v>60</v>
      </c>
      <c r="J936" s="26" t="b">
        <v>1</v>
      </c>
    </row>
    <row r="937" spans="1:10">
      <c r="A937" s="26" t="s">
        <v>1025</v>
      </c>
      <c r="B937" s="26">
        <v>21</v>
      </c>
      <c r="C937" s="26" t="s">
        <v>59</v>
      </c>
      <c r="D937" s="26" t="s">
        <v>54</v>
      </c>
      <c r="E937" s="27" t="s">
        <v>78</v>
      </c>
      <c r="F937" s="26" t="s">
        <v>100</v>
      </c>
      <c r="G937" s="28">
        <v>3761075</v>
      </c>
      <c r="H937" s="26">
        <v>3</v>
      </c>
      <c r="I937" s="26" t="s">
        <v>57</v>
      </c>
      <c r="J937" s="26" t="b">
        <v>0</v>
      </c>
    </row>
    <row r="938" spans="1:10">
      <c r="A938" s="26" t="s">
        <v>1026</v>
      </c>
      <c r="B938" s="26">
        <v>41</v>
      </c>
      <c r="C938" s="26" t="s">
        <v>59</v>
      </c>
      <c r="D938" s="26" t="s">
        <v>54</v>
      </c>
      <c r="E938" s="27" t="s">
        <v>61</v>
      </c>
      <c r="F938" s="26" t="s">
        <v>80</v>
      </c>
      <c r="G938" s="28">
        <v>4633415</v>
      </c>
      <c r="H938" s="26">
        <v>6</v>
      </c>
      <c r="I938" s="26" t="s">
        <v>57</v>
      </c>
      <c r="J938" s="26" t="b">
        <v>1</v>
      </c>
    </row>
    <row r="939" spans="1:10">
      <c r="A939" s="26" t="s">
        <v>1027</v>
      </c>
      <c r="B939" s="26">
        <v>44</v>
      </c>
      <c r="C939" s="26" t="s">
        <v>53</v>
      </c>
      <c r="D939" s="26" t="s">
        <v>60</v>
      </c>
      <c r="E939" s="27" t="s">
        <v>61</v>
      </c>
      <c r="F939" s="26" t="s">
        <v>82</v>
      </c>
      <c r="G939" s="28">
        <v>2963755</v>
      </c>
      <c r="H939" s="26">
        <v>7</v>
      </c>
      <c r="I939" s="26" t="s">
        <v>67</v>
      </c>
      <c r="J939" s="26" t="b">
        <v>0</v>
      </c>
    </row>
    <row r="940" spans="1:10">
      <c r="A940" s="26" t="s">
        <v>1028</v>
      </c>
      <c r="B940" s="26">
        <v>44</v>
      </c>
      <c r="C940" s="26" t="s">
        <v>53</v>
      </c>
      <c r="D940" s="26" t="s">
        <v>60</v>
      </c>
      <c r="E940" s="27" t="s">
        <v>55</v>
      </c>
      <c r="F940" s="26" t="s">
        <v>98</v>
      </c>
      <c r="G940" s="28">
        <v>2118385</v>
      </c>
      <c r="H940" s="26">
        <v>3</v>
      </c>
      <c r="I940" s="26" t="s">
        <v>67</v>
      </c>
      <c r="J940" s="26" t="b">
        <v>0</v>
      </c>
    </row>
    <row r="941" spans="1:10">
      <c r="A941" s="26" t="s">
        <v>1029</v>
      </c>
      <c r="B941" s="26">
        <v>37</v>
      </c>
      <c r="C941" s="26" t="s">
        <v>59</v>
      </c>
      <c r="D941" s="26" t="s">
        <v>54</v>
      </c>
      <c r="E941" s="27" t="s">
        <v>73</v>
      </c>
      <c r="F941" s="26" t="s">
        <v>80</v>
      </c>
      <c r="G941" s="28">
        <v>5023705</v>
      </c>
      <c r="H941" s="26">
        <v>11</v>
      </c>
      <c r="I941" s="26" t="s">
        <v>57</v>
      </c>
      <c r="J941" s="26" t="b">
        <v>0</v>
      </c>
    </row>
    <row r="942" spans="1:10">
      <c r="A942" s="26" t="s">
        <v>1030</v>
      </c>
      <c r="B942" s="26">
        <v>40</v>
      </c>
      <c r="C942" s="26" t="s">
        <v>53</v>
      </c>
      <c r="D942" s="26" t="s">
        <v>60</v>
      </c>
      <c r="E942" s="27" t="s">
        <v>78</v>
      </c>
      <c r="F942" s="26" t="s">
        <v>88</v>
      </c>
      <c r="G942" s="28">
        <v>1637420</v>
      </c>
      <c r="H942" s="26">
        <v>6</v>
      </c>
      <c r="I942" s="26" t="s">
        <v>67</v>
      </c>
      <c r="J942" s="26" t="b">
        <v>1</v>
      </c>
    </row>
    <row r="943" spans="1:10">
      <c r="A943" s="26" t="s">
        <v>1031</v>
      </c>
      <c r="B943" s="26">
        <v>43</v>
      </c>
      <c r="C943" s="26" t="s">
        <v>59</v>
      </c>
      <c r="D943" s="26" t="s">
        <v>60</v>
      </c>
      <c r="E943" s="27" t="s">
        <v>55</v>
      </c>
      <c r="F943" s="26" t="s">
        <v>98</v>
      </c>
      <c r="G943" s="28">
        <v>4581800</v>
      </c>
      <c r="H943" s="26">
        <v>10</v>
      </c>
      <c r="I943" s="26" t="s">
        <v>60</v>
      </c>
      <c r="J943" s="26" t="b">
        <v>1</v>
      </c>
    </row>
    <row r="944" spans="1:10">
      <c r="A944" s="26" t="s">
        <v>1032</v>
      </c>
      <c r="B944" s="26">
        <v>48</v>
      </c>
      <c r="C944" s="26" t="s">
        <v>59</v>
      </c>
      <c r="D944" s="26" t="s">
        <v>54</v>
      </c>
      <c r="E944" s="27" t="s">
        <v>85</v>
      </c>
      <c r="F944" s="26" t="s">
        <v>88</v>
      </c>
      <c r="G944" s="28">
        <v>3518965</v>
      </c>
      <c r="H944" s="26">
        <v>9</v>
      </c>
      <c r="I944" s="26" t="s">
        <v>67</v>
      </c>
      <c r="J944" s="26" t="b">
        <v>1</v>
      </c>
    </row>
    <row r="945" spans="1:10">
      <c r="A945" s="26" t="s">
        <v>1033</v>
      </c>
      <c r="B945" s="26">
        <v>32</v>
      </c>
      <c r="C945" s="26" t="s">
        <v>53</v>
      </c>
      <c r="D945" s="26" t="s">
        <v>60</v>
      </c>
      <c r="E945" s="27" t="s">
        <v>65</v>
      </c>
      <c r="F945" s="26" t="s">
        <v>92</v>
      </c>
      <c r="G945" s="28">
        <v>7529435</v>
      </c>
      <c r="H945" s="26">
        <v>10</v>
      </c>
      <c r="I945" s="26" t="s">
        <v>67</v>
      </c>
      <c r="J945" s="26" t="b">
        <v>0</v>
      </c>
    </row>
    <row r="946" spans="1:10">
      <c r="A946" s="26" t="s">
        <v>1034</v>
      </c>
      <c r="B946" s="26">
        <v>37</v>
      </c>
      <c r="C946" s="26" t="s">
        <v>53</v>
      </c>
      <c r="D946" s="26" t="s">
        <v>54</v>
      </c>
      <c r="E946" s="27" t="s">
        <v>61</v>
      </c>
      <c r="F946" s="26" t="s">
        <v>88</v>
      </c>
      <c r="G946" s="28">
        <v>2688165</v>
      </c>
      <c r="H946" s="26">
        <v>4</v>
      </c>
      <c r="I946" s="26" t="s">
        <v>63</v>
      </c>
      <c r="J946" s="26" t="b">
        <v>1</v>
      </c>
    </row>
    <row r="947" spans="1:10">
      <c r="A947" s="26" t="s">
        <v>1035</v>
      </c>
      <c r="B947" s="26">
        <v>29</v>
      </c>
      <c r="C947" s="26" t="s">
        <v>53</v>
      </c>
      <c r="D947" s="26" t="s">
        <v>54</v>
      </c>
      <c r="E947" s="27" t="s">
        <v>61</v>
      </c>
      <c r="F947" s="26" t="s">
        <v>102</v>
      </c>
      <c r="G947" s="28">
        <v>7175880</v>
      </c>
      <c r="H947" s="26">
        <v>2</v>
      </c>
      <c r="I947" s="26" t="s">
        <v>60</v>
      </c>
      <c r="J947" s="26" t="b">
        <v>1</v>
      </c>
    </row>
    <row r="948" spans="1:10">
      <c r="A948" s="26" t="s">
        <v>1036</v>
      </c>
      <c r="B948" s="26">
        <v>36</v>
      </c>
      <c r="C948" s="26" t="s">
        <v>59</v>
      </c>
      <c r="D948" s="26" t="s">
        <v>60</v>
      </c>
      <c r="E948" s="27" t="s">
        <v>55</v>
      </c>
      <c r="F948" s="26" t="s">
        <v>82</v>
      </c>
      <c r="G948" s="28">
        <v>3148515</v>
      </c>
      <c r="H948" s="26">
        <v>10</v>
      </c>
      <c r="I948" s="26" t="s">
        <v>57</v>
      </c>
      <c r="J948" s="26" t="b">
        <v>1</v>
      </c>
    </row>
    <row r="949" spans="1:10">
      <c r="A949" s="26" t="s">
        <v>1037</v>
      </c>
      <c r="B949" s="26">
        <v>50</v>
      </c>
      <c r="C949" s="26" t="s">
        <v>53</v>
      </c>
      <c r="D949" s="26" t="s">
        <v>60</v>
      </c>
      <c r="E949" s="27" t="s">
        <v>73</v>
      </c>
      <c r="F949" s="26" t="s">
        <v>104</v>
      </c>
      <c r="G949" s="28">
        <v>6868205</v>
      </c>
      <c r="H949" s="26">
        <v>9</v>
      </c>
      <c r="I949" s="26" t="s">
        <v>57</v>
      </c>
      <c r="J949" s="26" t="b">
        <v>1</v>
      </c>
    </row>
    <row r="950" spans="1:10">
      <c r="A950" s="26" t="s">
        <v>1038</v>
      </c>
      <c r="B950" s="26">
        <v>31</v>
      </c>
      <c r="C950" s="26" t="s">
        <v>53</v>
      </c>
      <c r="D950" s="26" t="s">
        <v>60</v>
      </c>
      <c r="E950" s="27" t="s">
        <v>61</v>
      </c>
      <c r="F950" s="26" t="s">
        <v>113</v>
      </c>
      <c r="G950" s="28">
        <v>3949865</v>
      </c>
      <c r="H950" s="26">
        <v>2</v>
      </c>
      <c r="I950" s="26" t="s">
        <v>57</v>
      </c>
      <c r="J950" s="26" t="b">
        <v>0</v>
      </c>
    </row>
    <row r="951" spans="1:10">
      <c r="A951" s="26" t="s">
        <v>1039</v>
      </c>
      <c r="B951" s="26">
        <v>29</v>
      </c>
      <c r="C951" s="26" t="s">
        <v>53</v>
      </c>
      <c r="D951" s="26" t="s">
        <v>60</v>
      </c>
      <c r="E951" s="27" t="s">
        <v>78</v>
      </c>
      <c r="F951" s="26" t="s">
        <v>86</v>
      </c>
      <c r="G951" s="28">
        <v>5221795</v>
      </c>
      <c r="H951" s="26">
        <v>4</v>
      </c>
      <c r="I951" s="26" t="s">
        <v>63</v>
      </c>
      <c r="J951" s="26" t="b">
        <v>0</v>
      </c>
    </row>
    <row r="952" spans="1:10">
      <c r="A952" s="26" t="s">
        <v>1040</v>
      </c>
      <c r="B952" s="26">
        <v>26</v>
      </c>
      <c r="C952" s="26" t="s">
        <v>59</v>
      </c>
      <c r="D952" s="26" t="s">
        <v>54</v>
      </c>
      <c r="E952" s="27" t="s">
        <v>85</v>
      </c>
      <c r="F952" s="26" t="s">
        <v>102</v>
      </c>
      <c r="G952" s="28">
        <v>5226135</v>
      </c>
      <c r="H952" s="26">
        <v>8</v>
      </c>
      <c r="I952" s="26" t="s">
        <v>67</v>
      </c>
      <c r="J952" s="26" t="b">
        <v>0</v>
      </c>
    </row>
    <row r="953" spans="1:10">
      <c r="A953" s="26" t="s">
        <v>1041</v>
      </c>
      <c r="B953" s="26">
        <v>22</v>
      </c>
      <c r="C953" s="26" t="s">
        <v>53</v>
      </c>
      <c r="D953" s="26" t="s">
        <v>60</v>
      </c>
      <c r="E953" s="27" t="s">
        <v>73</v>
      </c>
      <c r="F953" s="26" t="s">
        <v>62</v>
      </c>
      <c r="G953" s="28">
        <v>6653220</v>
      </c>
      <c r="H953" s="26">
        <v>2</v>
      </c>
      <c r="I953" s="26" t="s">
        <v>63</v>
      </c>
      <c r="J953" s="26" t="b">
        <v>0</v>
      </c>
    </row>
    <row r="954" spans="1:10">
      <c r="A954" s="26" t="s">
        <v>1042</v>
      </c>
      <c r="B954" s="26">
        <v>35</v>
      </c>
      <c r="C954" s="26" t="s">
        <v>53</v>
      </c>
      <c r="D954" s="26" t="s">
        <v>60</v>
      </c>
      <c r="E954" s="27" t="s">
        <v>65</v>
      </c>
      <c r="F954" s="26" t="s">
        <v>98</v>
      </c>
      <c r="G954" s="28">
        <v>3064350</v>
      </c>
      <c r="H954" s="26">
        <v>7</v>
      </c>
      <c r="I954" s="26" t="s">
        <v>60</v>
      </c>
      <c r="J954" s="26" t="b">
        <v>0</v>
      </c>
    </row>
    <row r="955" spans="1:10">
      <c r="A955" s="26" t="s">
        <v>1043</v>
      </c>
      <c r="B955" s="26">
        <v>23</v>
      </c>
      <c r="C955" s="26" t="s">
        <v>59</v>
      </c>
      <c r="D955" s="26" t="s">
        <v>54</v>
      </c>
      <c r="E955" s="27" t="s">
        <v>78</v>
      </c>
      <c r="F955" s="26" t="s">
        <v>69</v>
      </c>
      <c r="G955" s="28">
        <v>5222880</v>
      </c>
      <c r="H955" s="26">
        <v>2</v>
      </c>
      <c r="I955" s="26" t="s">
        <v>60</v>
      </c>
      <c r="J955" s="26" t="b">
        <v>1</v>
      </c>
    </row>
    <row r="956" spans="1:10">
      <c r="A956" s="26" t="s">
        <v>1044</v>
      </c>
      <c r="B956" s="26">
        <v>40</v>
      </c>
      <c r="C956" s="26" t="s">
        <v>53</v>
      </c>
      <c r="D956" s="26" t="s">
        <v>60</v>
      </c>
      <c r="E956" s="27" t="s">
        <v>61</v>
      </c>
      <c r="F956" s="26" t="s">
        <v>96</v>
      </c>
      <c r="G956" s="28">
        <v>7592055</v>
      </c>
      <c r="H956" s="26">
        <v>11</v>
      </c>
      <c r="I956" s="26" t="s">
        <v>67</v>
      </c>
      <c r="J956" s="26" t="b">
        <v>0</v>
      </c>
    </row>
    <row r="957" spans="1:10">
      <c r="A957" s="26" t="s">
        <v>1045</v>
      </c>
      <c r="B957" s="26">
        <v>32</v>
      </c>
      <c r="C957" s="26" t="s">
        <v>53</v>
      </c>
      <c r="D957" s="26" t="s">
        <v>60</v>
      </c>
      <c r="E957" s="27" t="s">
        <v>78</v>
      </c>
      <c r="F957" s="26" t="s">
        <v>100</v>
      </c>
      <c r="G957" s="28">
        <v>7061025</v>
      </c>
      <c r="H957" s="26">
        <v>8</v>
      </c>
      <c r="I957" s="26" t="s">
        <v>60</v>
      </c>
      <c r="J957" s="26" t="b">
        <v>0</v>
      </c>
    </row>
    <row r="958" spans="1:10">
      <c r="A958" s="26" t="s">
        <v>1046</v>
      </c>
      <c r="B958" s="26">
        <v>29</v>
      </c>
      <c r="C958" s="26" t="s">
        <v>59</v>
      </c>
      <c r="D958" s="26" t="s">
        <v>54</v>
      </c>
      <c r="E958" s="27" t="s">
        <v>61</v>
      </c>
      <c r="F958" s="26" t="s">
        <v>82</v>
      </c>
      <c r="G958" s="28">
        <v>4132455</v>
      </c>
      <c r="H958" s="26">
        <v>3</v>
      </c>
      <c r="I958" s="26" t="s">
        <v>63</v>
      </c>
      <c r="J958" s="26" t="b">
        <v>1</v>
      </c>
    </row>
    <row r="959" spans="1:10">
      <c r="A959" s="26" t="s">
        <v>1047</v>
      </c>
      <c r="B959" s="26">
        <v>50</v>
      </c>
      <c r="C959" s="26" t="s">
        <v>59</v>
      </c>
      <c r="D959" s="26" t="s">
        <v>54</v>
      </c>
      <c r="E959" s="27" t="s">
        <v>78</v>
      </c>
      <c r="F959" s="26" t="s">
        <v>140</v>
      </c>
      <c r="G959" s="28">
        <v>7143640</v>
      </c>
      <c r="H959" s="26">
        <v>5</v>
      </c>
      <c r="I959" s="26" t="s">
        <v>57</v>
      </c>
      <c r="J959" s="26" t="b">
        <v>1</v>
      </c>
    </row>
    <row r="960" spans="1:10">
      <c r="A960" s="26" t="s">
        <v>1048</v>
      </c>
      <c r="B960" s="26">
        <v>42</v>
      </c>
      <c r="C960" s="26" t="s">
        <v>59</v>
      </c>
      <c r="D960" s="26" t="s">
        <v>60</v>
      </c>
      <c r="E960" s="27" t="s">
        <v>78</v>
      </c>
      <c r="F960" s="26" t="s">
        <v>113</v>
      </c>
      <c r="G960" s="28">
        <v>5601700</v>
      </c>
      <c r="H960" s="26">
        <v>2</v>
      </c>
      <c r="I960" s="26" t="s">
        <v>63</v>
      </c>
      <c r="J960" s="26" t="b">
        <v>0</v>
      </c>
    </row>
    <row r="961" spans="1:10">
      <c r="A961" s="26" t="s">
        <v>1049</v>
      </c>
      <c r="B961" s="26">
        <v>47</v>
      </c>
      <c r="C961" s="26" t="s">
        <v>53</v>
      </c>
      <c r="D961" s="26" t="s">
        <v>54</v>
      </c>
      <c r="E961" s="27" t="s">
        <v>85</v>
      </c>
      <c r="F961" s="26" t="s">
        <v>102</v>
      </c>
      <c r="G961" s="28">
        <v>803830</v>
      </c>
      <c r="H961" s="26">
        <v>4</v>
      </c>
      <c r="I961" s="26" t="s">
        <v>63</v>
      </c>
      <c r="J961" s="26" t="b">
        <v>0</v>
      </c>
    </row>
    <row r="962" spans="1:10">
      <c r="A962" s="26" t="s">
        <v>1050</v>
      </c>
      <c r="B962" s="26">
        <v>27</v>
      </c>
      <c r="C962" s="26" t="s">
        <v>59</v>
      </c>
      <c r="D962" s="26" t="s">
        <v>54</v>
      </c>
      <c r="E962" s="27" t="s">
        <v>61</v>
      </c>
      <c r="F962" s="26" t="s">
        <v>66</v>
      </c>
      <c r="G962" s="28">
        <v>4807480</v>
      </c>
      <c r="H962" s="26">
        <v>5</v>
      </c>
      <c r="I962" s="26" t="s">
        <v>57</v>
      </c>
      <c r="J962" s="26" t="b">
        <v>0</v>
      </c>
    </row>
    <row r="963" spans="1:10">
      <c r="A963" s="26" t="s">
        <v>1051</v>
      </c>
      <c r="B963" s="26">
        <v>40</v>
      </c>
      <c r="C963" s="26" t="s">
        <v>53</v>
      </c>
      <c r="D963" s="26" t="s">
        <v>54</v>
      </c>
      <c r="E963" s="27" t="s">
        <v>61</v>
      </c>
      <c r="F963" s="26" t="s">
        <v>96</v>
      </c>
      <c r="G963" s="28">
        <v>4661315</v>
      </c>
      <c r="H963" s="26">
        <v>8</v>
      </c>
      <c r="I963" s="26" t="s">
        <v>67</v>
      </c>
      <c r="J963" s="26" t="b">
        <v>1</v>
      </c>
    </row>
    <row r="964" spans="1:10">
      <c r="A964" s="26" t="s">
        <v>1052</v>
      </c>
      <c r="B964" s="26">
        <v>28</v>
      </c>
      <c r="C964" s="26" t="s">
        <v>53</v>
      </c>
      <c r="D964" s="26" t="s">
        <v>60</v>
      </c>
      <c r="E964" s="27" t="s">
        <v>55</v>
      </c>
      <c r="F964" s="26" t="s">
        <v>96</v>
      </c>
      <c r="G964" s="28">
        <v>5531485</v>
      </c>
      <c r="H964" s="26">
        <v>12</v>
      </c>
      <c r="I964" s="26" t="s">
        <v>60</v>
      </c>
      <c r="J964" s="26" t="b">
        <v>0</v>
      </c>
    </row>
    <row r="965" spans="1:10">
      <c r="A965" s="26" t="s">
        <v>1053</v>
      </c>
      <c r="B965" s="26">
        <v>28</v>
      </c>
      <c r="C965" s="26" t="s">
        <v>59</v>
      </c>
      <c r="D965" s="26" t="s">
        <v>54</v>
      </c>
      <c r="E965" s="27" t="s">
        <v>55</v>
      </c>
      <c r="F965" s="26" t="s">
        <v>134</v>
      </c>
      <c r="G965" s="28">
        <v>1276735</v>
      </c>
      <c r="H965" s="26">
        <v>6</v>
      </c>
      <c r="I965" s="26" t="s">
        <v>63</v>
      </c>
      <c r="J965" s="26" t="b">
        <v>0</v>
      </c>
    </row>
    <row r="966" spans="1:10">
      <c r="A966" s="26" t="s">
        <v>1054</v>
      </c>
      <c r="B966" s="26">
        <v>29</v>
      </c>
      <c r="C966" s="26" t="s">
        <v>53</v>
      </c>
      <c r="D966" s="26" t="s">
        <v>60</v>
      </c>
      <c r="E966" s="27" t="s">
        <v>65</v>
      </c>
      <c r="F966" s="26" t="s">
        <v>134</v>
      </c>
      <c r="G966" s="28">
        <v>5775300</v>
      </c>
      <c r="H966" s="26">
        <v>3</v>
      </c>
      <c r="I966" s="26" t="s">
        <v>60</v>
      </c>
      <c r="J966" s="26" t="b">
        <v>1</v>
      </c>
    </row>
    <row r="967" spans="1:10">
      <c r="A967" s="26" t="s">
        <v>1055</v>
      </c>
      <c r="B967" s="26">
        <v>29</v>
      </c>
      <c r="C967" s="26" t="s">
        <v>53</v>
      </c>
      <c r="D967" s="26" t="s">
        <v>54</v>
      </c>
      <c r="E967" s="27" t="s">
        <v>73</v>
      </c>
      <c r="F967" s="26" t="s">
        <v>88</v>
      </c>
      <c r="G967" s="28">
        <v>1213960</v>
      </c>
      <c r="H967" s="26">
        <v>9</v>
      </c>
      <c r="I967" s="26" t="s">
        <v>67</v>
      </c>
      <c r="J967" s="26" t="b">
        <v>0</v>
      </c>
    </row>
    <row r="968" spans="1:10">
      <c r="A968" s="26" t="s">
        <v>1056</v>
      </c>
      <c r="B968" s="26">
        <v>32</v>
      </c>
      <c r="C968" s="26" t="s">
        <v>53</v>
      </c>
      <c r="D968" s="26" t="s">
        <v>60</v>
      </c>
      <c r="E968" s="27" t="s">
        <v>65</v>
      </c>
      <c r="F968" s="26" t="s">
        <v>102</v>
      </c>
      <c r="G968" s="28">
        <v>1111660</v>
      </c>
      <c r="H968" s="26">
        <v>12</v>
      </c>
      <c r="I968" s="26" t="s">
        <v>60</v>
      </c>
      <c r="J968" s="26" t="b">
        <v>1</v>
      </c>
    </row>
    <row r="969" spans="1:10">
      <c r="A969" s="26" t="s">
        <v>1057</v>
      </c>
      <c r="B969" s="26">
        <v>39</v>
      </c>
      <c r="C969" s="26" t="s">
        <v>53</v>
      </c>
      <c r="D969" s="26" t="s">
        <v>60</v>
      </c>
      <c r="E969" s="27" t="s">
        <v>65</v>
      </c>
      <c r="F969" s="26" t="s">
        <v>86</v>
      </c>
      <c r="G969" s="28">
        <v>3737050</v>
      </c>
      <c r="H969" s="26">
        <v>12</v>
      </c>
      <c r="I969" s="26" t="s">
        <v>57</v>
      </c>
      <c r="J969" s="26" t="b">
        <v>0</v>
      </c>
    </row>
    <row r="970" spans="1:10">
      <c r="A970" s="26" t="s">
        <v>1058</v>
      </c>
      <c r="B970" s="26">
        <v>22</v>
      </c>
      <c r="C970" s="26" t="s">
        <v>59</v>
      </c>
      <c r="D970" s="26" t="s">
        <v>54</v>
      </c>
      <c r="E970" s="27" t="s">
        <v>65</v>
      </c>
      <c r="F970" s="26" t="s">
        <v>140</v>
      </c>
      <c r="G970" s="28">
        <v>1501330</v>
      </c>
      <c r="H970" s="26">
        <v>9</v>
      </c>
      <c r="I970" s="26" t="s">
        <v>57</v>
      </c>
      <c r="J970" s="26" t="b">
        <v>0</v>
      </c>
    </row>
    <row r="971" spans="1:10">
      <c r="A971" s="26" t="s">
        <v>1059</v>
      </c>
      <c r="B971" s="26">
        <v>48</v>
      </c>
      <c r="C971" s="26" t="s">
        <v>59</v>
      </c>
      <c r="D971" s="26" t="s">
        <v>54</v>
      </c>
      <c r="E971" s="27" t="s">
        <v>65</v>
      </c>
      <c r="F971" s="26" t="s">
        <v>62</v>
      </c>
      <c r="G971" s="28">
        <v>4281875</v>
      </c>
      <c r="H971" s="26">
        <v>11</v>
      </c>
      <c r="I971" s="26" t="s">
        <v>60</v>
      </c>
      <c r="J971" s="26" t="b">
        <v>1</v>
      </c>
    </row>
    <row r="972" spans="1:10">
      <c r="A972" s="26" t="s">
        <v>1060</v>
      </c>
      <c r="B972" s="26">
        <v>29</v>
      </c>
      <c r="C972" s="26" t="s">
        <v>59</v>
      </c>
      <c r="D972" s="26" t="s">
        <v>54</v>
      </c>
      <c r="E972" s="27" t="s">
        <v>65</v>
      </c>
      <c r="F972" s="26" t="s">
        <v>66</v>
      </c>
      <c r="G972" s="28">
        <v>4935975</v>
      </c>
      <c r="H972" s="26">
        <v>10</v>
      </c>
      <c r="I972" s="26" t="s">
        <v>57</v>
      </c>
      <c r="J972" s="26" t="b">
        <v>0</v>
      </c>
    </row>
    <row r="973" spans="1:10">
      <c r="A973" s="26" t="s">
        <v>1061</v>
      </c>
      <c r="B973" s="26">
        <v>41</v>
      </c>
      <c r="C973" s="26" t="s">
        <v>53</v>
      </c>
      <c r="D973" s="26" t="s">
        <v>60</v>
      </c>
      <c r="E973" s="27" t="s">
        <v>73</v>
      </c>
      <c r="F973" s="26" t="s">
        <v>88</v>
      </c>
      <c r="G973" s="28">
        <v>1813965</v>
      </c>
      <c r="H973" s="26">
        <v>6</v>
      </c>
      <c r="I973" s="26" t="s">
        <v>57</v>
      </c>
      <c r="J973" s="26" t="b">
        <v>0</v>
      </c>
    </row>
    <row r="974" spans="1:10">
      <c r="A974" s="26" t="s">
        <v>1062</v>
      </c>
      <c r="B974" s="26">
        <v>50</v>
      </c>
      <c r="C974" s="26" t="s">
        <v>53</v>
      </c>
      <c r="D974" s="26" t="s">
        <v>54</v>
      </c>
      <c r="E974" s="27" t="s">
        <v>65</v>
      </c>
      <c r="F974" s="26" t="s">
        <v>104</v>
      </c>
      <c r="G974" s="28">
        <v>7601355</v>
      </c>
      <c r="H974" s="26">
        <v>7</v>
      </c>
      <c r="I974" s="26" t="s">
        <v>63</v>
      </c>
      <c r="J974" s="26" t="b">
        <v>1</v>
      </c>
    </row>
    <row r="975" spans="1:10">
      <c r="A975" s="26" t="s">
        <v>1063</v>
      </c>
      <c r="B975" s="26">
        <v>48</v>
      </c>
      <c r="C975" s="26" t="s">
        <v>59</v>
      </c>
      <c r="D975" s="26" t="s">
        <v>54</v>
      </c>
      <c r="E975" s="27" t="s">
        <v>73</v>
      </c>
      <c r="F975" s="26" t="s">
        <v>113</v>
      </c>
      <c r="G975" s="28">
        <v>7384510</v>
      </c>
      <c r="H975" s="26">
        <v>7</v>
      </c>
      <c r="I975" s="26" t="s">
        <v>60</v>
      </c>
      <c r="J975" s="26" t="b">
        <v>1</v>
      </c>
    </row>
    <row r="976" spans="1:10">
      <c r="A976" s="26" t="s">
        <v>1064</v>
      </c>
      <c r="B976" s="26">
        <v>29</v>
      </c>
      <c r="C976" s="26" t="s">
        <v>53</v>
      </c>
      <c r="D976" s="26" t="s">
        <v>60</v>
      </c>
      <c r="E976" s="27" t="s">
        <v>65</v>
      </c>
      <c r="F976" s="26" t="s">
        <v>137</v>
      </c>
      <c r="G976" s="28">
        <v>6080185</v>
      </c>
      <c r="H976" s="26">
        <v>5</v>
      </c>
      <c r="I976" s="26" t="s">
        <v>60</v>
      </c>
      <c r="J976" s="26" t="b">
        <v>1</v>
      </c>
    </row>
    <row r="977" spans="1:10">
      <c r="A977" s="26" t="s">
        <v>1065</v>
      </c>
      <c r="B977" s="26">
        <v>36</v>
      </c>
      <c r="C977" s="26" t="s">
        <v>59</v>
      </c>
      <c r="D977" s="26" t="s">
        <v>60</v>
      </c>
      <c r="E977" s="27" t="s">
        <v>85</v>
      </c>
      <c r="F977" s="26" t="s">
        <v>92</v>
      </c>
      <c r="G977" s="28">
        <v>3212220</v>
      </c>
      <c r="H977" s="26">
        <v>9</v>
      </c>
      <c r="I977" s="26" t="s">
        <v>67</v>
      </c>
      <c r="J977" s="26" t="b">
        <v>1</v>
      </c>
    </row>
    <row r="978" spans="1:10">
      <c r="A978" s="26" t="s">
        <v>1066</v>
      </c>
      <c r="B978" s="26">
        <v>43</v>
      </c>
      <c r="C978" s="26" t="s">
        <v>59</v>
      </c>
      <c r="D978" s="26" t="s">
        <v>60</v>
      </c>
      <c r="E978" s="27" t="s">
        <v>55</v>
      </c>
      <c r="F978" s="26" t="s">
        <v>56</v>
      </c>
      <c r="G978" s="28">
        <v>2195265</v>
      </c>
      <c r="H978" s="26">
        <v>3</v>
      </c>
      <c r="I978" s="26" t="s">
        <v>57</v>
      </c>
      <c r="J978" s="26" t="b">
        <v>1</v>
      </c>
    </row>
    <row r="979" spans="1:10">
      <c r="A979" s="26" t="s">
        <v>1067</v>
      </c>
      <c r="B979" s="26">
        <v>30</v>
      </c>
      <c r="C979" s="26" t="s">
        <v>59</v>
      </c>
      <c r="D979" s="26" t="s">
        <v>60</v>
      </c>
      <c r="E979" s="27" t="s">
        <v>61</v>
      </c>
      <c r="F979" s="26" t="s">
        <v>69</v>
      </c>
      <c r="G979" s="28">
        <v>3789285</v>
      </c>
      <c r="H979" s="26">
        <v>5</v>
      </c>
      <c r="I979" s="26" t="s">
        <v>60</v>
      </c>
      <c r="J979" s="26" t="b">
        <v>0</v>
      </c>
    </row>
    <row r="980" spans="1:10">
      <c r="A980" s="26" t="s">
        <v>1068</v>
      </c>
      <c r="B980" s="26">
        <v>24</v>
      </c>
      <c r="C980" s="26" t="s">
        <v>59</v>
      </c>
      <c r="D980" s="26" t="s">
        <v>60</v>
      </c>
      <c r="E980" s="27" t="s">
        <v>73</v>
      </c>
      <c r="F980" s="26" t="s">
        <v>56</v>
      </c>
      <c r="G980" s="28">
        <v>3900265</v>
      </c>
      <c r="H980" s="26">
        <v>9</v>
      </c>
      <c r="I980" s="26" t="s">
        <v>67</v>
      </c>
      <c r="J980" s="26" t="b">
        <v>1</v>
      </c>
    </row>
    <row r="981" spans="1:10">
      <c r="A981" s="26" t="s">
        <v>1069</v>
      </c>
      <c r="B981" s="26">
        <v>30</v>
      </c>
      <c r="C981" s="26" t="s">
        <v>59</v>
      </c>
      <c r="D981" s="26" t="s">
        <v>54</v>
      </c>
      <c r="E981" s="27" t="s">
        <v>78</v>
      </c>
      <c r="F981" s="26" t="s">
        <v>104</v>
      </c>
      <c r="G981" s="28">
        <v>6692590</v>
      </c>
      <c r="H981" s="26">
        <v>12</v>
      </c>
      <c r="I981" s="26" t="s">
        <v>63</v>
      </c>
      <c r="J981" s="26" t="b">
        <v>1</v>
      </c>
    </row>
    <row r="982" spans="1:10">
      <c r="A982" s="26" t="s">
        <v>1070</v>
      </c>
      <c r="B982" s="26">
        <v>37</v>
      </c>
      <c r="C982" s="26" t="s">
        <v>53</v>
      </c>
      <c r="D982" s="26" t="s">
        <v>54</v>
      </c>
      <c r="E982" s="27" t="s">
        <v>78</v>
      </c>
      <c r="F982" s="26" t="s">
        <v>167</v>
      </c>
      <c r="G982" s="28">
        <v>4697895</v>
      </c>
      <c r="H982" s="26">
        <v>2</v>
      </c>
      <c r="I982" s="26" t="s">
        <v>57</v>
      </c>
      <c r="J982" s="26" t="b">
        <v>0</v>
      </c>
    </row>
    <row r="983" spans="1:10">
      <c r="A983" s="26" t="s">
        <v>1071</v>
      </c>
      <c r="B983" s="26">
        <v>40</v>
      </c>
      <c r="C983" s="26" t="s">
        <v>59</v>
      </c>
      <c r="D983" s="26" t="s">
        <v>60</v>
      </c>
      <c r="E983" s="27" t="s">
        <v>73</v>
      </c>
      <c r="F983" s="26" t="s">
        <v>140</v>
      </c>
      <c r="G983" s="28">
        <v>5289220</v>
      </c>
      <c r="H983" s="26">
        <v>9</v>
      </c>
      <c r="I983" s="26" t="s">
        <v>67</v>
      </c>
      <c r="J983" s="26" t="b">
        <v>1</v>
      </c>
    </row>
    <row r="984" spans="1:10">
      <c r="A984" s="26" t="s">
        <v>1072</v>
      </c>
      <c r="B984" s="26">
        <v>30</v>
      </c>
      <c r="C984" s="26" t="s">
        <v>53</v>
      </c>
      <c r="D984" s="26" t="s">
        <v>54</v>
      </c>
      <c r="E984" s="27" t="s">
        <v>78</v>
      </c>
      <c r="F984" s="26" t="s">
        <v>98</v>
      </c>
      <c r="G984" s="28">
        <v>3276545</v>
      </c>
      <c r="H984" s="26">
        <v>10</v>
      </c>
      <c r="I984" s="26" t="s">
        <v>63</v>
      </c>
      <c r="J984" s="26" t="b">
        <v>1</v>
      </c>
    </row>
    <row r="985" spans="1:10">
      <c r="A985" s="26" t="s">
        <v>1073</v>
      </c>
      <c r="B985" s="26">
        <v>39</v>
      </c>
      <c r="C985" s="26" t="s">
        <v>53</v>
      </c>
      <c r="D985" s="26" t="s">
        <v>54</v>
      </c>
      <c r="E985" s="27" t="s">
        <v>85</v>
      </c>
      <c r="F985" s="26" t="s">
        <v>98</v>
      </c>
      <c r="G985" s="28">
        <v>5877755</v>
      </c>
      <c r="H985" s="26">
        <v>9</v>
      </c>
      <c r="I985" s="26" t="s">
        <v>67</v>
      </c>
      <c r="J985" s="26" t="b">
        <v>1</v>
      </c>
    </row>
    <row r="986" spans="1:10">
      <c r="A986" s="26" t="s">
        <v>1074</v>
      </c>
      <c r="B986" s="26">
        <v>46</v>
      </c>
      <c r="C986" s="26" t="s">
        <v>53</v>
      </c>
      <c r="D986" s="26" t="s">
        <v>60</v>
      </c>
      <c r="E986" s="27" t="s">
        <v>61</v>
      </c>
      <c r="F986" s="26" t="s">
        <v>82</v>
      </c>
      <c r="G986" s="28">
        <v>4797715</v>
      </c>
      <c r="H986" s="26">
        <v>8</v>
      </c>
      <c r="I986" s="26" t="s">
        <v>57</v>
      </c>
      <c r="J986" s="26" t="b">
        <v>0</v>
      </c>
    </row>
    <row r="987" spans="1:10">
      <c r="A987" s="26" t="s">
        <v>1075</v>
      </c>
      <c r="B987" s="26">
        <v>48</v>
      </c>
      <c r="C987" s="26" t="s">
        <v>59</v>
      </c>
      <c r="D987" s="26" t="s">
        <v>54</v>
      </c>
      <c r="E987" s="27" t="s">
        <v>85</v>
      </c>
      <c r="F987" s="26" t="s">
        <v>76</v>
      </c>
      <c r="G987" s="28">
        <v>5571475</v>
      </c>
      <c r="H987" s="26">
        <v>6</v>
      </c>
      <c r="I987" s="26" t="s">
        <v>67</v>
      </c>
      <c r="J987" s="26" t="b">
        <v>0</v>
      </c>
    </row>
    <row r="988" spans="1:10">
      <c r="A988" s="26" t="s">
        <v>1076</v>
      </c>
      <c r="B988" s="26">
        <v>20</v>
      </c>
      <c r="C988" s="26" t="s">
        <v>53</v>
      </c>
      <c r="D988" s="26" t="s">
        <v>60</v>
      </c>
      <c r="E988" s="27" t="s">
        <v>78</v>
      </c>
      <c r="F988" s="26" t="s">
        <v>92</v>
      </c>
      <c r="G988" s="28">
        <v>7434110</v>
      </c>
      <c r="H988" s="26">
        <v>8</v>
      </c>
      <c r="I988" s="26" t="s">
        <v>60</v>
      </c>
      <c r="J988" s="26" t="b">
        <v>0</v>
      </c>
    </row>
    <row r="989" spans="1:10">
      <c r="A989" s="26" t="s">
        <v>1077</v>
      </c>
      <c r="B989" s="26">
        <v>34</v>
      </c>
      <c r="C989" s="26" t="s">
        <v>59</v>
      </c>
      <c r="D989" s="26" t="s">
        <v>60</v>
      </c>
      <c r="E989" s="27" t="s">
        <v>55</v>
      </c>
      <c r="F989" s="26" t="s">
        <v>98</v>
      </c>
      <c r="G989" s="28">
        <v>3233300</v>
      </c>
      <c r="H989" s="26">
        <v>2</v>
      </c>
      <c r="I989" s="26" t="s">
        <v>57</v>
      </c>
      <c r="J989" s="26" t="b">
        <v>1</v>
      </c>
    </row>
    <row r="990" spans="1:10">
      <c r="A990" s="26" t="s">
        <v>1078</v>
      </c>
      <c r="B990" s="26">
        <v>50</v>
      </c>
      <c r="C990" s="26" t="s">
        <v>53</v>
      </c>
      <c r="D990" s="26" t="s">
        <v>54</v>
      </c>
      <c r="E990" s="27" t="s">
        <v>85</v>
      </c>
      <c r="F990" s="26" t="s">
        <v>100</v>
      </c>
      <c r="G990" s="28">
        <v>2793255</v>
      </c>
      <c r="H990" s="26">
        <v>2</v>
      </c>
      <c r="I990" s="26" t="s">
        <v>57</v>
      </c>
      <c r="J990" s="26" t="b">
        <v>0</v>
      </c>
    </row>
    <row r="991" spans="1:10">
      <c r="A991" s="26" t="s">
        <v>1079</v>
      </c>
      <c r="B991" s="26">
        <v>25</v>
      </c>
      <c r="C991" s="26" t="s">
        <v>59</v>
      </c>
      <c r="D991" s="26" t="s">
        <v>54</v>
      </c>
      <c r="E991" s="27" t="s">
        <v>85</v>
      </c>
      <c r="F991" s="26" t="s">
        <v>98</v>
      </c>
      <c r="G991" s="28">
        <v>3067450</v>
      </c>
      <c r="H991" s="26">
        <v>3</v>
      </c>
      <c r="I991" s="26" t="s">
        <v>63</v>
      </c>
      <c r="J991" s="26" t="b">
        <v>1</v>
      </c>
    </row>
    <row r="992" spans="1:10">
      <c r="A992" s="26" t="s">
        <v>1080</v>
      </c>
      <c r="B992" s="26">
        <v>49</v>
      </c>
      <c r="C992" s="26" t="s">
        <v>59</v>
      </c>
      <c r="D992" s="26" t="s">
        <v>54</v>
      </c>
      <c r="E992" s="27" t="s">
        <v>73</v>
      </c>
      <c r="F992" s="26" t="s">
        <v>69</v>
      </c>
      <c r="G992" s="28">
        <v>5615650</v>
      </c>
      <c r="H992" s="26">
        <v>7</v>
      </c>
      <c r="I992" s="26" t="s">
        <v>67</v>
      </c>
      <c r="J992" s="26" t="b">
        <v>1</v>
      </c>
    </row>
    <row r="993" spans="1:10">
      <c r="A993" s="26" t="s">
        <v>1081</v>
      </c>
      <c r="B993" s="26">
        <v>25</v>
      </c>
      <c r="C993" s="26" t="s">
        <v>53</v>
      </c>
      <c r="D993" s="26" t="s">
        <v>60</v>
      </c>
      <c r="E993" s="27" t="s">
        <v>55</v>
      </c>
      <c r="F993" s="26" t="s">
        <v>113</v>
      </c>
      <c r="G993" s="28">
        <v>2472715</v>
      </c>
      <c r="H993" s="26">
        <v>11</v>
      </c>
      <c r="I993" s="26" t="s">
        <v>67</v>
      </c>
      <c r="J993" s="26" t="b">
        <v>1</v>
      </c>
    </row>
    <row r="994" spans="1:10">
      <c r="A994" s="26" t="s">
        <v>1082</v>
      </c>
      <c r="B994" s="26">
        <v>40</v>
      </c>
      <c r="C994" s="26" t="s">
        <v>53</v>
      </c>
      <c r="D994" s="26" t="s">
        <v>60</v>
      </c>
      <c r="E994" s="27" t="s">
        <v>65</v>
      </c>
      <c r="F994" s="26" t="s">
        <v>102</v>
      </c>
      <c r="G994" s="28">
        <v>4782990</v>
      </c>
      <c r="H994" s="26">
        <v>11</v>
      </c>
      <c r="I994" s="26" t="s">
        <v>63</v>
      </c>
      <c r="J994" s="26" t="b">
        <v>0</v>
      </c>
    </row>
    <row r="995" spans="1:10">
      <c r="A995" s="26" t="s">
        <v>1083</v>
      </c>
      <c r="B995" s="26">
        <v>40</v>
      </c>
      <c r="C995" s="26" t="s">
        <v>53</v>
      </c>
      <c r="D995" s="26" t="s">
        <v>60</v>
      </c>
      <c r="E995" s="27" t="s">
        <v>85</v>
      </c>
      <c r="F995" s="26" t="s">
        <v>167</v>
      </c>
      <c r="G995" s="28">
        <v>2317560</v>
      </c>
      <c r="H995" s="26">
        <v>9</v>
      </c>
      <c r="I995" s="26" t="s">
        <v>57</v>
      </c>
      <c r="J995" s="26" t="b">
        <v>0</v>
      </c>
    </row>
    <row r="996" spans="1:10">
      <c r="A996" s="26" t="s">
        <v>1084</v>
      </c>
      <c r="B996" s="26">
        <v>19</v>
      </c>
      <c r="C996" s="26" t="s">
        <v>53</v>
      </c>
      <c r="D996" s="26" t="s">
        <v>60</v>
      </c>
      <c r="E996" s="27" t="s">
        <v>85</v>
      </c>
      <c r="F996" s="26" t="s">
        <v>104</v>
      </c>
      <c r="G996" s="28">
        <v>3197960</v>
      </c>
      <c r="H996" s="26">
        <v>5</v>
      </c>
      <c r="I996" s="26" t="s">
        <v>67</v>
      </c>
      <c r="J996" s="26" t="b">
        <v>1</v>
      </c>
    </row>
    <row r="997" spans="1:10">
      <c r="A997" s="26" t="s">
        <v>1082</v>
      </c>
      <c r="B997" s="26">
        <v>40</v>
      </c>
      <c r="C997" s="26" t="s">
        <v>53</v>
      </c>
      <c r="D997" s="26" t="s">
        <v>60</v>
      </c>
      <c r="E997" s="27" t="s">
        <v>65</v>
      </c>
      <c r="F997" s="26" t="s">
        <v>102</v>
      </c>
      <c r="G997" s="28">
        <v>4782990</v>
      </c>
      <c r="H997" s="26">
        <v>11</v>
      </c>
      <c r="I997" s="26" t="s">
        <v>63</v>
      </c>
      <c r="J997" s="26" t="b">
        <v>0</v>
      </c>
    </row>
    <row r="998" spans="1:10">
      <c r="A998" s="26" t="s">
        <v>1085</v>
      </c>
      <c r="B998" s="26">
        <v>22</v>
      </c>
      <c r="C998" s="26" t="s">
        <v>53</v>
      </c>
      <c r="D998" s="26" t="s">
        <v>60</v>
      </c>
      <c r="E998" s="27" t="s">
        <v>61</v>
      </c>
      <c r="F998" s="26" t="s">
        <v>121</v>
      </c>
      <c r="G998" s="28">
        <v>1415770</v>
      </c>
      <c r="H998" s="26">
        <v>5</v>
      </c>
      <c r="I998" s="26" t="s">
        <v>57</v>
      </c>
      <c r="J998" s="26" t="b">
        <v>1</v>
      </c>
    </row>
    <row r="999" spans="1:10">
      <c r="A999" s="26" t="s">
        <v>1086</v>
      </c>
      <c r="B999" s="26">
        <v>25</v>
      </c>
      <c r="C999" s="26" t="s">
        <v>53</v>
      </c>
      <c r="D999" s="26" t="s">
        <v>60</v>
      </c>
      <c r="E999" s="27" t="s">
        <v>55</v>
      </c>
      <c r="F999" s="26" t="s">
        <v>86</v>
      </c>
      <c r="G999" s="28">
        <v>7059320</v>
      </c>
      <c r="H999" s="26">
        <v>7</v>
      </c>
      <c r="I999" s="26" t="s">
        <v>67</v>
      </c>
      <c r="J999" s="26" t="b">
        <v>0</v>
      </c>
    </row>
    <row r="1000" spans="1:10">
      <c r="A1000" s="26" t="s">
        <v>1087</v>
      </c>
      <c r="B1000" s="26">
        <v>32</v>
      </c>
      <c r="C1000" s="26" t="s">
        <v>53</v>
      </c>
      <c r="D1000" s="26" t="s">
        <v>60</v>
      </c>
      <c r="E1000" s="27" t="s">
        <v>55</v>
      </c>
      <c r="F1000" s="26" t="s">
        <v>102</v>
      </c>
      <c r="G1000" s="28">
        <v>7256480</v>
      </c>
      <c r="H1000" s="26">
        <v>8</v>
      </c>
      <c r="I1000" s="26" t="s">
        <v>67</v>
      </c>
      <c r="J1000" s="26" t="b">
        <v>0</v>
      </c>
    </row>
    <row r="1001" spans="1:10">
      <c r="A1001" s="26" t="s">
        <v>1088</v>
      </c>
      <c r="B1001" s="26">
        <v>44</v>
      </c>
      <c r="C1001" s="26" t="s">
        <v>53</v>
      </c>
      <c r="D1001" s="26" t="s">
        <v>60</v>
      </c>
      <c r="E1001" s="27" t="s">
        <v>73</v>
      </c>
      <c r="F1001" s="26" t="s">
        <v>82</v>
      </c>
      <c r="G1001" s="28">
        <v>7186885</v>
      </c>
      <c r="H1001" s="26">
        <v>5</v>
      </c>
      <c r="I1001" s="26" t="s">
        <v>60</v>
      </c>
      <c r="J1001" s="26" t="b">
        <v>1</v>
      </c>
    </row>
    <row r="1002" spans="1:10">
      <c r="A1002" s="26" t="s">
        <v>1089</v>
      </c>
      <c r="B1002" s="26">
        <v>50</v>
      </c>
      <c r="C1002" s="26" t="s">
        <v>53</v>
      </c>
      <c r="D1002" s="26" t="s">
        <v>60</v>
      </c>
      <c r="E1002" s="27" t="s">
        <v>61</v>
      </c>
      <c r="F1002" s="26" t="s">
        <v>56</v>
      </c>
      <c r="G1002" s="28">
        <v>1081590</v>
      </c>
      <c r="H1002" s="26">
        <v>9</v>
      </c>
      <c r="I1002" s="26" t="s">
        <v>67</v>
      </c>
      <c r="J1002" s="26" t="b">
        <v>1</v>
      </c>
    </row>
    <row r="1003" spans="1:10">
      <c r="A1003" s="26" t="s">
        <v>1090</v>
      </c>
      <c r="B1003" s="26">
        <v>26</v>
      </c>
      <c r="C1003" s="26" t="s">
        <v>59</v>
      </c>
      <c r="D1003" s="26" t="s">
        <v>60</v>
      </c>
      <c r="E1003" s="27" t="s">
        <v>85</v>
      </c>
      <c r="F1003" s="26" t="s">
        <v>62</v>
      </c>
      <c r="G1003" s="28">
        <v>7027235</v>
      </c>
      <c r="H1003" s="26"/>
      <c r="I1003" s="26" t="s">
        <v>67</v>
      </c>
      <c r="J1003" s="26" t="b">
        <v>1</v>
      </c>
    </row>
    <row r="1004" spans="1:10">
      <c r="A1004" s="26" t="s">
        <v>1091</v>
      </c>
      <c r="B1004" s="26">
        <v>21</v>
      </c>
      <c r="C1004" s="26" t="s">
        <v>53</v>
      </c>
      <c r="D1004" s="26" t="s">
        <v>60</v>
      </c>
      <c r="E1004" s="27" t="s">
        <v>65</v>
      </c>
      <c r="F1004" s="26" t="s">
        <v>102</v>
      </c>
      <c r="G1004" s="28">
        <v>1645325</v>
      </c>
      <c r="H1004" s="26">
        <v>12</v>
      </c>
      <c r="I1004" s="26" t="s">
        <v>67</v>
      </c>
      <c r="J1004" s="26" t="b">
        <v>1</v>
      </c>
    </row>
    <row r="1005" spans="1:10">
      <c r="A1005" s="26" t="s">
        <v>1092</v>
      </c>
      <c r="B1005" s="26">
        <v>21</v>
      </c>
      <c r="C1005" s="26" t="s">
        <v>53</v>
      </c>
      <c r="D1005" s="26" t="s">
        <v>54</v>
      </c>
      <c r="E1005" s="27" t="s">
        <v>73</v>
      </c>
      <c r="F1005" s="26" t="s">
        <v>90</v>
      </c>
      <c r="G1005" s="28">
        <v>5866285</v>
      </c>
      <c r="H1005" s="26">
        <v>6</v>
      </c>
      <c r="I1005" s="26" t="s">
        <v>63</v>
      </c>
      <c r="J1005" s="26" t="b">
        <v>0</v>
      </c>
    </row>
  </sheetData>
  <conditionalFormatting sqref="F95">
    <cfRule type="notContainsBlanks" dxfId="2" priority="1">
      <formula>LEN(TRIM(F95))&gt;0</formula>
    </cfRule>
  </conditionalFormatting>
  <conditionalFormatting sqref="F170">
    <cfRule type="notContainsBlanks" dxfId="1" priority="2">
      <formula>LEN(TRIM(F170))&gt;0</formula>
    </cfRule>
  </conditionalFormatting>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25"/>
  <sheetViews>
    <sheetView workbookViewId="0">
      <selection activeCell="B33" sqref="B33"/>
    </sheetView>
  </sheetViews>
  <sheetFormatPr baseColWidth="10" defaultColWidth="12.6640625" defaultRowHeight="15.75" customHeight="1"/>
  <cols>
    <col min="1" max="1" width="8.6640625" customWidth="1"/>
    <col min="2" max="2" width="126.83203125" bestFit="1" customWidth="1"/>
  </cols>
  <sheetData>
    <row r="1" spans="1:2" ht="15.75" customHeight="1">
      <c r="A1" s="1"/>
      <c r="B1" s="2" t="s">
        <v>0</v>
      </c>
    </row>
    <row r="2" spans="1:2" ht="14">
      <c r="A2" s="3">
        <v>1</v>
      </c>
      <c r="B2" s="4" t="s">
        <v>1</v>
      </c>
    </row>
    <row r="3" spans="1:2" ht="15.75" customHeight="1">
      <c r="A3" s="83"/>
      <c r="B3" s="84"/>
    </row>
    <row r="4" spans="1:2" ht="14">
      <c r="A4" s="85">
        <v>2</v>
      </c>
      <c r="B4" s="5" t="s">
        <v>2</v>
      </c>
    </row>
    <row r="5" spans="1:2" ht="14">
      <c r="A5" s="81"/>
      <c r="B5" s="117" t="s">
        <v>3</v>
      </c>
    </row>
    <row r="6" spans="1:2" ht="14">
      <c r="A6" s="81"/>
      <c r="B6" s="117" t="s">
        <v>4</v>
      </c>
    </row>
    <row r="7" spans="1:2" ht="14">
      <c r="A7" s="81"/>
      <c r="B7" s="117" t="s">
        <v>5</v>
      </c>
    </row>
    <row r="8" spans="1:2" ht="14">
      <c r="A8" s="81"/>
      <c r="B8" s="117" t="s">
        <v>6</v>
      </c>
    </row>
    <row r="9" spans="1:2" ht="14">
      <c r="A9" s="82"/>
      <c r="B9" s="117" t="s">
        <v>7</v>
      </c>
    </row>
    <row r="10" spans="1:2" ht="15.75" customHeight="1">
      <c r="A10" s="83"/>
      <c r="B10" s="84"/>
    </row>
    <row r="11" spans="1:2" ht="14">
      <c r="A11" s="85">
        <v>4</v>
      </c>
      <c r="B11" s="5" t="s">
        <v>8</v>
      </c>
    </row>
    <row r="12" spans="1:2" ht="14">
      <c r="A12" s="81"/>
      <c r="B12" s="6" t="s">
        <v>9</v>
      </c>
    </row>
    <row r="13" spans="1:2" ht="14">
      <c r="A13" s="81"/>
      <c r="B13" s="6" t="s">
        <v>10</v>
      </c>
    </row>
    <row r="14" spans="1:2" ht="14">
      <c r="A14" s="81"/>
      <c r="B14" s="6" t="s">
        <v>11</v>
      </c>
    </row>
    <row r="15" spans="1:2" ht="14">
      <c r="A15" s="81"/>
      <c r="B15" s="6" t="s">
        <v>12</v>
      </c>
    </row>
    <row r="16" spans="1:2" ht="14">
      <c r="A16" s="82"/>
      <c r="B16" s="6" t="s">
        <v>13</v>
      </c>
    </row>
    <row r="17" spans="1:2" ht="15.75" customHeight="1">
      <c r="A17" s="83"/>
      <c r="B17" s="84"/>
    </row>
    <row r="18" spans="1:2" ht="14">
      <c r="A18" s="80">
        <v>5</v>
      </c>
      <c r="B18" s="5" t="s">
        <v>14</v>
      </c>
    </row>
    <row r="19" spans="1:2" ht="14">
      <c r="A19" s="81"/>
      <c r="B19" s="7" t="s">
        <v>15</v>
      </c>
    </row>
    <row r="20" spans="1:2" ht="14">
      <c r="A20" s="81"/>
      <c r="B20" s="6" t="s">
        <v>16</v>
      </c>
    </row>
    <row r="21" spans="1:2" ht="14">
      <c r="A21" s="82"/>
      <c r="B21" s="7" t="s">
        <v>17</v>
      </c>
    </row>
    <row r="22" spans="1:2" ht="15.75" customHeight="1">
      <c r="A22" s="83"/>
      <c r="B22" s="84"/>
    </row>
    <row r="23" spans="1:2" ht="15">
      <c r="A23" s="8">
        <v>7</v>
      </c>
      <c r="B23" s="5" t="s">
        <v>18</v>
      </c>
    </row>
    <row r="24" spans="1:2" ht="15.75" customHeight="1">
      <c r="A24" s="83"/>
      <c r="B24" s="84"/>
    </row>
    <row r="25" spans="1:2" ht="15.75" customHeight="1">
      <c r="A25" s="9"/>
      <c r="B25" s="10"/>
    </row>
  </sheetData>
  <mergeCells count="8">
    <mergeCell ref="A18:A21"/>
    <mergeCell ref="A22:B22"/>
    <mergeCell ref="A24:B24"/>
    <mergeCell ref="A3:B3"/>
    <mergeCell ref="A4:A9"/>
    <mergeCell ref="A10:B10"/>
    <mergeCell ref="A11:A16"/>
    <mergeCell ref="A17:B17"/>
  </mergeCells>
  <hyperlinks>
    <hyperlink ref="B4" location="'a. Data Cleaning and Preparatio'!A1" display="Tahap Data Cleaning (isi sesuai dengan sheet atau pakai format kalian sendiri) -&gt; Data Cleaning &amp; Preparation " xr:uid="{00000000-0004-0000-0000-000000000000}"/>
    <hyperlink ref="B11" location="'b. Perhitungan dan Pivot Table'!A1" display="Jawab Semua Pertanyaan Bisnis, gunakan Pivot Table, SUMIFS, atau rumus Excel -&gt; Perhitungan dan Pivot Table " xr:uid="{00000000-0004-0000-0000-000001000000}"/>
    <hyperlink ref="B18" location="'c. Visualisasi Data'!A1" display="Visualisasi Data, Buat minimal 3 chart -&gt; Visualisasi Data " xr:uid="{00000000-0004-0000-0000-000002000000}"/>
    <hyperlink ref="B23" location="'d. Insight Summary  &amp; Strategy'!A1" display="Tulis Insight &amp; Rekomendasi -&gt; Insight Summary &amp; Strategy " xr:uid="{00000000-0004-0000-0000-000003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1001"/>
  <sheetViews>
    <sheetView workbookViewId="0">
      <selection activeCell="L7" sqref="L7"/>
    </sheetView>
  </sheetViews>
  <sheetFormatPr baseColWidth="10" defaultColWidth="12.6640625" defaultRowHeight="15.75" customHeight="1"/>
  <cols>
    <col min="6" max="6" width="21.83203125" customWidth="1"/>
    <col min="7" max="7" width="22.83203125" style="31" customWidth="1"/>
    <col min="8" max="8" width="22.83203125" customWidth="1"/>
    <col min="9" max="9" width="22" customWidth="1"/>
    <col min="10" max="10" width="21.6640625" customWidth="1"/>
  </cols>
  <sheetData>
    <row r="1" spans="1:12" ht="14">
      <c r="A1" s="11" t="s">
        <v>19</v>
      </c>
      <c r="B1" s="11" t="s">
        <v>20</v>
      </c>
      <c r="C1" s="11" t="s">
        <v>21</v>
      </c>
      <c r="D1" s="11" t="s">
        <v>22</v>
      </c>
      <c r="E1" s="11" t="s">
        <v>23</v>
      </c>
      <c r="F1" s="11" t="s">
        <v>24</v>
      </c>
      <c r="G1" s="12" t="s">
        <v>25</v>
      </c>
      <c r="H1" s="11" t="s">
        <v>26</v>
      </c>
      <c r="I1" s="11" t="s">
        <v>27</v>
      </c>
      <c r="J1" s="11" t="s">
        <v>28</v>
      </c>
    </row>
    <row r="2" spans="1:12" ht="15.75" customHeight="1">
      <c r="A2" s="26" t="s">
        <v>52</v>
      </c>
      <c r="B2" s="29">
        <v>22</v>
      </c>
      <c r="C2" s="26" t="s">
        <v>53</v>
      </c>
      <c r="D2" s="26" t="s">
        <v>54</v>
      </c>
      <c r="E2" s="27" t="s">
        <v>55</v>
      </c>
      <c r="F2" s="26" t="s">
        <v>56</v>
      </c>
      <c r="G2" s="59">
        <v>5173900</v>
      </c>
      <c r="H2" s="29">
        <v>4</v>
      </c>
      <c r="I2" s="26" t="s">
        <v>57</v>
      </c>
      <c r="J2" s="26" t="s">
        <v>1095</v>
      </c>
      <c r="L2" s="65">
        <f>SUM(H2:H1001)</f>
        <v>6771</v>
      </c>
    </row>
    <row r="3" spans="1:12" ht="15.75" customHeight="1">
      <c r="A3" s="26" t="s">
        <v>58</v>
      </c>
      <c r="B3" s="29">
        <v>49</v>
      </c>
      <c r="C3" s="26" t="s">
        <v>59</v>
      </c>
      <c r="D3" s="26" t="s">
        <v>60</v>
      </c>
      <c r="E3" s="27" t="s">
        <v>61</v>
      </c>
      <c r="F3" s="26" t="s">
        <v>62</v>
      </c>
      <c r="G3" s="59">
        <v>3444410</v>
      </c>
      <c r="H3" s="29">
        <v>11</v>
      </c>
      <c r="I3" s="26" t="s">
        <v>63</v>
      </c>
      <c r="J3" s="26" t="s">
        <v>1095</v>
      </c>
    </row>
    <row r="4" spans="1:12" ht="15.75" customHeight="1">
      <c r="A4" s="26" t="s">
        <v>64</v>
      </c>
      <c r="B4" s="29">
        <v>24</v>
      </c>
      <c r="C4" s="26" t="s">
        <v>53</v>
      </c>
      <c r="D4" s="26" t="s">
        <v>54</v>
      </c>
      <c r="E4" s="27" t="s">
        <v>65</v>
      </c>
      <c r="F4" s="26" t="s">
        <v>66</v>
      </c>
      <c r="G4" s="59">
        <v>6606410</v>
      </c>
      <c r="H4" s="29">
        <v>2</v>
      </c>
      <c r="I4" s="26" t="s">
        <v>67</v>
      </c>
      <c r="J4" s="26" t="s">
        <v>1095</v>
      </c>
    </row>
    <row r="5" spans="1:12" ht="15.75" customHeight="1">
      <c r="A5" s="26" t="s">
        <v>68</v>
      </c>
      <c r="B5" s="29">
        <v>29</v>
      </c>
      <c r="C5" s="26" t="s">
        <v>53</v>
      </c>
      <c r="D5" s="26" t="s">
        <v>54</v>
      </c>
      <c r="E5" s="27" t="s">
        <v>55</v>
      </c>
      <c r="F5" s="26" t="s">
        <v>69</v>
      </c>
      <c r="G5" s="59">
        <v>1570305</v>
      </c>
      <c r="H5" s="29">
        <v>6</v>
      </c>
      <c r="I5" s="26" t="s">
        <v>60</v>
      </c>
      <c r="J5" s="26" t="s">
        <v>1095</v>
      </c>
    </row>
    <row r="6" spans="1:12" ht="15.75" customHeight="1">
      <c r="A6" s="26" t="s">
        <v>70</v>
      </c>
      <c r="B6" s="29">
        <v>33</v>
      </c>
      <c r="C6" s="26" t="s">
        <v>53</v>
      </c>
      <c r="D6" s="26" t="s">
        <v>54</v>
      </c>
      <c r="E6" s="27" t="s">
        <v>61</v>
      </c>
      <c r="F6" s="26" t="s">
        <v>71</v>
      </c>
      <c r="G6" s="59">
        <v>3281350</v>
      </c>
      <c r="H6" s="29">
        <v>6</v>
      </c>
      <c r="I6" s="26" t="s">
        <v>63</v>
      </c>
      <c r="J6" s="26" t="s">
        <v>1096</v>
      </c>
    </row>
    <row r="7" spans="1:12" ht="15.75" customHeight="1">
      <c r="A7" s="26" t="s">
        <v>72</v>
      </c>
      <c r="B7" s="29">
        <v>45</v>
      </c>
      <c r="C7" s="26" t="s">
        <v>59</v>
      </c>
      <c r="D7" s="26" t="s">
        <v>54</v>
      </c>
      <c r="E7" s="27" t="s">
        <v>73</v>
      </c>
      <c r="F7" s="26" t="s">
        <v>66</v>
      </c>
      <c r="G7" s="59">
        <v>7563225</v>
      </c>
      <c r="H7" s="29">
        <v>8</v>
      </c>
      <c r="I7" s="26" t="s">
        <v>60</v>
      </c>
      <c r="J7" s="26" t="s">
        <v>1096</v>
      </c>
    </row>
    <row r="8" spans="1:12" ht="15.75" customHeight="1">
      <c r="A8" s="26" t="s">
        <v>74</v>
      </c>
      <c r="B8" s="29">
        <v>21</v>
      </c>
      <c r="C8" s="26" t="s">
        <v>53</v>
      </c>
      <c r="D8" s="26" t="s">
        <v>54</v>
      </c>
      <c r="E8" s="27" t="s">
        <v>65</v>
      </c>
      <c r="F8" s="26" t="s">
        <v>71</v>
      </c>
      <c r="G8" s="59">
        <v>7539200</v>
      </c>
      <c r="H8" s="29">
        <v>0</v>
      </c>
      <c r="I8" s="26" t="s">
        <v>60</v>
      </c>
      <c r="J8" s="26" t="s">
        <v>1095</v>
      </c>
    </row>
    <row r="9" spans="1:12" ht="15.75" customHeight="1">
      <c r="A9" s="26" t="s">
        <v>75</v>
      </c>
      <c r="B9" s="29">
        <v>39</v>
      </c>
      <c r="C9" s="26" t="s">
        <v>59</v>
      </c>
      <c r="D9" s="26" t="s">
        <v>54</v>
      </c>
      <c r="E9" s="27" t="s">
        <v>65</v>
      </c>
      <c r="F9" s="26" t="s">
        <v>76</v>
      </c>
      <c r="G9" s="59">
        <v>3379930</v>
      </c>
      <c r="H9" s="29">
        <v>6</v>
      </c>
      <c r="I9" s="26" t="s">
        <v>67</v>
      </c>
      <c r="J9" s="26" t="s">
        <v>1096</v>
      </c>
    </row>
    <row r="10" spans="1:12" ht="15.75" customHeight="1">
      <c r="A10" s="26" t="s">
        <v>77</v>
      </c>
      <c r="B10" s="29">
        <v>24</v>
      </c>
      <c r="C10" s="26" t="s">
        <v>53</v>
      </c>
      <c r="D10" s="26" t="s">
        <v>60</v>
      </c>
      <c r="E10" s="27" t="s">
        <v>78</v>
      </c>
      <c r="F10" s="26" t="s">
        <v>66</v>
      </c>
      <c r="G10" s="59">
        <v>3130380</v>
      </c>
      <c r="H10" s="29">
        <v>8</v>
      </c>
      <c r="I10" s="26" t="s">
        <v>67</v>
      </c>
      <c r="J10" s="26" t="s">
        <v>1096</v>
      </c>
    </row>
    <row r="11" spans="1:12" ht="15.75" customHeight="1">
      <c r="A11" s="26" t="s">
        <v>79</v>
      </c>
      <c r="B11" s="29">
        <v>25</v>
      </c>
      <c r="C11" s="26" t="s">
        <v>53</v>
      </c>
      <c r="D11" s="26" t="s">
        <v>60</v>
      </c>
      <c r="E11" s="27" t="s">
        <v>73</v>
      </c>
      <c r="F11" s="26" t="s">
        <v>80</v>
      </c>
      <c r="G11" s="59">
        <v>6491865</v>
      </c>
      <c r="H11" s="29">
        <v>7</v>
      </c>
      <c r="I11" s="26" t="s">
        <v>57</v>
      </c>
      <c r="J11" s="26" t="s">
        <v>1095</v>
      </c>
    </row>
    <row r="12" spans="1:12" ht="15.75" customHeight="1">
      <c r="A12" s="26" t="s">
        <v>81</v>
      </c>
      <c r="B12" s="29">
        <v>33</v>
      </c>
      <c r="C12" s="26" t="s">
        <v>59</v>
      </c>
      <c r="D12" s="26" t="s">
        <v>54</v>
      </c>
      <c r="E12" s="27" t="s">
        <v>78</v>
      </c>
      <c r="F12" s="26" t="s">
        <v>82</v>
      </c>
      <c r="G12" s="59">
        <v>6040350</v>
      </c>
      <c r="H12" s="29">
        <v>12</v>
      </c>
      <c r="I12" s="26" t="s">
        <v>67</v>
      </c>
      <c r="J12" s="26" t="s">
        <v>1095</v>
      </c>
    </row>
    <row r="13" spans="1:12" ht="15.75" customHeight="1">
      <c r="A13" s="26" t="s">
        <v>83</v>
      </c>
      <c r="B13" s="29">
        <v>38</v>
      </c>
      <c r="C13" s="26" t="s">
        <v>53</v>
      </c>
      <c r="D13" s="26" t="s">
        <v>60</v>
      </c>
      <c r="E13" s="27" t="s">
        <v>73</v>
      </c>
      <c r="F13" s="26" t="s">
        <v>80</v>
      </c>
      <c r="G13" s="59">
        <v>3703415</v>
      </c>
      <c r="H13" s="29">
        <v>5</v>
      </c>
      <c r="I13" s="26" t="s">
        <v>63</v>
      </c>
      <c r="J13" s="26" t="s">
        <v>1095</v>
      </c>
    </row>
    <row r="14" spans="1:12" ht="15.75" customHeight="1">
      <c r="A14" s="26" t="s">
        <v>84</v>
      </c>
      <c r="B14" s="29">
        <v>34</v>
      </c>
      <c r="C14" s="26" t="s">
        <v>59</v>
      </c>
      <c r="D14" s="26" t="s">
        <v>54</v>
      </c>
      <c r="E14" s="27" t="s">
        <v>85</v>
      </c>
      <c r="F14" s="26" t="s">
        <v>86</v>
      </c>
      <c r="G14" s="59">
        <v>948910</v>
      </c>
      <c r="H14" s="29">
        <v>7</v>
      </c>
      <c r="I14" s="26" t="s">
        <v>67</v>
      </c>
      <c r="J14" s="26" t="s">
        <v>1095</v>
      </c>
    </row>
    <row r="15" spans="1:12" ht="15.75" customHeight="1">
      <c r="A15" s="26" t="s">
        <v>87</v>
      </c>
      <c r="B15" s="29">
        <v>32</v>
      </c>
      <c r="C15" s="26" t="s">
        <v>59</v>
      </c>
      <c r="D15" s="26" t="s">
        <v>60</v>
      </c>
      <c r="E15" s="27" t="s">
        <v>61</v>
      </c>
      <c r="F15" s="26" t="s">
        <v>88</v>
      </c>
      <c r="G15" s="59">
        <v>1237055</v>
      </c>
      <c r="H15" s="29">
        <v>4</v>
      </c>
      <c r="I15" s="26" t="s">
        <v>60</v>
      </c>
      <c r="J15" s="26" t="s">
        <v>1096</v>
      </c>
    </row>
    <row r="16" spans="1:12" ht="15.75" customHeight="1">
      <c r="A16" s="26" t="s">
        <v>89</v>
      </c>
      <c r="B16" s="29">
        <v>30</v>
      </c>
      <c r="C16" s="26" t="s">
        <v>53</v>
      </c>
      <c r="D16" s="26" t="s">
        <v>60</v>
      </c>
      <c r="E16" s="27" t="s">
        <v>61</v>
      </c>
      <c r="F16" s="26" t="s">
        <v>90</v>
      </c>
      <c r="G16" s="59">
        <v>906905</v>
      </c>
      <c r="H16" s="29">
        <v>2</v>
      </c>
      <c r="I16" s="26" t="s">
        <v>57</v>
      </c>
      <c r="J16" s="26" t="s">
        <v>1095</v>
      </c>
    </row>
    <row r="17" spans="1:10" ht="15.75" customHeight="1">
      <c r="A17" s="26" t="s">
        <v>91</v>
      </c>
      <c r="B17" s="29">
        <v>40</v>
      </c>
      <c r="C17" s="26" t="s">
        <v>59</v>
      </c>
      <c r="D17" s="26" t="s">
        <v>60</v>
      </c>
      <c r="E17" s="27" t="s">
        <v>78</v>
      </c>
      <c r="F17" s="26" t="s">
        <v>92</v>
      </c>
      <c r="G17" s="59">
        <v>1693995</v>
      </c>
      <c r="H17" s="29">
        <v>3</v>
      </c>
      <c r="I17" s="26" t="s">
        <v>63</v>
      </c>
      <c r="J17" s="26" t="s">
        <v>1096</v>
      </c>
    </row>
    <row r="18" spans="1:10" ht="15.75" customHeight="1">
      <c r="A18" s="26" t="s">
        <v>93</v>
      </c>
      <c r="B18" s="29">
        <v>37</v>
      </c>
      <c r="C18" s="26" t="s">
        <v>59</v>
      </c>
      <c r="D18" s="26" t="s">
        <v>60</v>
      </c>
      <c r="E18" s="27" t="s">
        <v>65</v>
      </c>
      <c r="F18" s="26" t="s">
        <v>71</v>
      </c>
      <c r="G18" s="59">
        <v>5524975</v>
      </c>
      <c r="H18" s="29">
        <v>6</v>
      </c>
      <c r="I18" s="26" t="s">
        <v>67</v>
      </c>
      <c r="J18" s="26" t="s">
        <v>1096</v>
      </c>
    </row>
    <row r="19" spans="1:10" ht="15.75" customHeight="1">
      <c r="A19" s="26" t="s">
        <v>94</v>
      </c>
      <c r="B19" s="29">
        <v>38</v>
      </c>
      <c r="C19" s="26" t="s">
        <v>53</v>
      </c>
      <c r="D19" s="26" t="s">
        <v>54</v>
      </c>
      <c r="E19" s="27" t="s">
        <v>73</v>
      </c>
      <c r="F19" s="26" t="s">
        <v>82</v>
      </c>
      <c r="G19" s="59">
        <v>3673345</v>
      </c>
      <c r="H19" s="29">
        <v>10</v>
      </c>
      <c r="I19" s="26" t="s">
        <v>60</v>
      </c>
      <c r="J19" s="26" t="s">
        <v>1095</v>
      </c>
    </row>
    <row r="20" spans="1:10" ht="15.75" customHeight="1">
      <c r="A20" s="26" t="s">
        <v>95</v>
      </c>
      <c r="B20" s="29">
        <v>36</v>
      </c>
      <c r="C20" s="26" t="s">
        <v>59</v>
      </c>
      <c r="D20" s="26" t="s">
        <v>54</v>
      </c>
      <c r="E20" s="27" t="s">
        <v>65</v>
      </c>
      <c r="F20" s="26" t="s">
        <v>1093</v>
      </c>
      <c r="G20" s="59">
        <v>7043045</v>
      </c>
      <c r="H20" s="29">
        <v>10</v>
      </c>
      <c r="I20" s="26" t="s">
        <v>63</v>
      </c>
      <c r="J20" s="26" t="s">
        <v>1096</v>
      </c>
    </row>
    <row r="21" spans="1:10" ht="15.75" customHeight="1">
      <c r="A21" s="26" t="s">
        <v>97</v>
      </c>
      <c r="B21" s="29">
        <v>29</v>
      </c>
      <c r="C21" s="26" t="s">
        <v>53</v>
      </c>
      <c r="D21" s="26" t="s">
        <v>60</v>
      </c>
      <c r="E21" s="27" t="s">
        <v>55</v>
      </c>
      <c r="F21" s="26" t="s">
        <v>98</v>
      </c>
      <c r="G21" s="59">
        <v>7606625</v>
      </c>
      <c r="H21" s="29">
        <v>10</v>
      </c>
      <c r="I21" s="26" t="s">
        <v>57</v>
      </c>
      <c r="J21" s="26" t="s">
        <v>1096</v>
      </c>
    </row>
    <row r="22" spans="1:10" ht="15.75" customHeight="1">
      <c r="A22" s="26" t="s">
        <v>99</v>
      </c>
      <c r="B22" s="29">
        <v>21</v>
      </c>
      <c r="C22" s="26" t="s">
        <v>53</v>
      </c>
      <c r="D22" s="26" t="s">
        <v>54</v>
      </c>
      <c r="E22" s="27" t="s">
        <v>73</v>
      </c>
      <c r="F22" s="26" t="s">
        <v>100</v>
      </c>
      <c r="G22" s="59">
        <v>7177585</v>
      </c>
      <c r="H22" s="29">
        <v>7</v>
      </c>
      <c r="I22" s="26" t="s">
        <v>57</v>
      </c>
      <c r="J22" s="26" t="s">
        <v>1095</v>
      </c>
    </row>
    <row r="23" spans="1:10" ht="15.75" customHeight="1">
      <c r="A23" s="26" t="s">
        <v>101</v>
      </c>
      <c r="B23" s="29">
        <v>36</v>
      </c>
      <c r="C23" s="26" t="s">
        <v>53</v>
      </c>
      <c r="D23" s="26" t="s">
        <v>60</v>
      </c>
      <c r="E23" s="27" t="s">
        <v>65</v>
      </c>
      <c r="F23" s="26" t="s">
        <v>102</v>
      </c>
      <c r="G23" s="59">
        <v>879470</v>
      </c>
      <c r="H23" s="29">
        <v>5</v>
      </c>
      <c r="I23" s="26" t="s">
        <v>63</v>
      </c>
      <c r="J23" s="26" t="s">
        <v>1095</v>
      </c>
    </row>
    <row r="24" spans="1:10" ht="15.75" customHeight="1">
      <c r="A24" s="26" t="s">
        <v>103</v>
      </c>
      <c r="B24" s="29">
        <v>38</v>
      </c>
      <c r="C24" s="26" t="s">
        <v>59</v>
      </c>
      <c r="D24" s="26" t="s">
        <v>60</v>
      </c>
      <c r="E24" s="27" t="s">
        <v>55</v>
      </c>
      <c r="F24" s="26" t="s">
        <v>104</v>
      </c>
      <c r="G24" s="59">
        <v>5755460</v>
      </c>
      <c r="H24" s="29">
        <v>7</v>
      </c>
      <c r="I24" s="26" t="s">
        <v>63</v>
      </c>
      <c r="J24" s="26" t="s">
        <v>1095</v>
      </c>
    </row>
    <row r="25" spans="1:10" ht="15.75" customHeight="1">
      <c r="A25" s="26" t="s">
        <v>105</v>
      </c>
      <c r="B25" s="29">
        <v>37</v>
      </c>
      <c r="C25" s="26" t="s">
        <v>53</v>
      </c>
      <c r="D25" s="26" t="s">
        <v>54</v>
      </c>
      <c r="E25" s="27" t="s">
        <v>85</v>
      </c>
      <c r="F25" s="26" t="s">
        <v>100</v>
      </c>
      <c r="G25" s="59">
        <v>7145500</v>
      </c>
      <c r="H25" s="29">
        <v>7</v>
      </c>
      <c r="I25" s="26" t="s">
        <v>60</v>
      </c>
      <c r="J25" s="26" t="s">
        <v>1096</v>
      </c>
    </row>
    <row r="26" spans="1:10" ht="15.75" customHeight="1">
      <c r="A26" s="26" t="s">
        <v>106</v>
      </c>
      <c r="B26" s="29">
        <v>33</v>
      </c>
      <c r="C26" s="26" t="s">
        <v>53</v>
      </c>
      <c r="D26" s="26" t="s">
        <v>60</v>
      </c>
      <c r="E26" s="27" t="s">
        <v>73</v>
      </c>
      <c r="F26" s="26" t="s">
        <v>62</v>
      </c>
      <c r="G26" s="59">
        <v>3927235</v>
      </c>
      <c r="H26" s="29">
        <v>6</v>
      </c>
      <c r="I26" s="26" t="s">
        <v>57</v>
      </c>
      <c r="J26" s="26" t="s">
        <v>1095</v>
      </c>
    </row>
    <row r="27" spans="1:10" ht="15.75" customHeight="1">
      <c r="A27" s="26" t="s">
        <v>107</v>
      </c>
      <c r="B27" s="29">
        <v>37</v>
      </c>
      <c r="C27" s="26" t="s">
        <v>59</v>
      </c>
      <c r="D27" s="26" t="s">
        <v>60</v>
      </c>
      <c r="E27" s="27" t="s">
        <v>65</v>
      </c>
      <c r="F27" s="26" t="s">
        <v>1093</v>
      </c>
      <c r="G27" s="59">
        <v>2116215</v>
      </c>
      <c r="H27" s="29">
        <v>3</v>
      </c>
      <c r="I27" s="26" t="s">
        <v>60</v>
      </c>
      <c r="J27" s="26" t="s">
        <v>1095</v>
      </c>
    </row>
    <row r="28" spans="1:10" ht="15.75" customHeight="1">
      <c r="A28" s="26" t="s">
        <v>108</v>
      </c>
      <c r="B28" s="29">
        <v>31</v>
      </c>
      <c r="C28" s="26" t="s">
        <v>53</v>
      </c>
      <c r="D28" s="26" t="s">
        <v>54</v>
      </c>
      <c r="E28" s="27" t="s">
        <v>61</v>
      </c>
      <c r="F28" s="26" t="s">
        <v>109</v>
      </c>
      <c r="G28" s="59">
        <v>7580275</v>
      </c>
      <c r="H28" s="29">
        <v>10</v>
      </c>
      <c r="I28" s="26" t="s">
        <v>60</v>
      </c>
      <c r="J28" s="26" t="s">
        <v>1095</v>
      </c>
    </row>
    <row r="29" spans="1:10" ht="15.75" customHeight="1">
      <c r="A29" s="26" t="s">
        <v>110</v>
      </c>
      <c r="B29" s="29">
        <v>50</v>
      </c>
      <c r="C29" s="26" t="s">
        <v>59</v>
      </c>
      <c r="D29" s="26" t="s">
        <v>60</v>
      </c>
      <c r="E29" s="27" t="s">
        <v>85</v>
      </c>
      <c r="F29" s="26" t="s">
        <v>98</v>
      </c>
      <c r="G29" s="59">
        <v>1269605</v>
      </c>
      <c r="H29" s="29">
        <v>10</v>
      </c>
      <c r="I29" s="26" t="s">
        <v>63</v>
      </c>
      <c r="J29" s="26" t="s">
        <v>1096</v>
      </c>
    </row>
    <row r="30" spans="1:10" ht="15.75" customHeight="1">
      <c r="A30" s="26" t="s">
        <v>111</v>
      </c>
      <c r="B30" s="29">
        <v>50</v>
      </c>
      <c r="C30" s="26" t="s">
        <v>59</v>
      </c>
      <c r="D30" s="26" t="s">
        <v>54</v>
      </c>
      <c r="E30" s="27" t="s">
        <v>65</v>
      </c>
      <c r="F30" s="26" t="s">
        <v>109</v>
      </c>
      <c r="G30" s="59">
        <v>2104900</v>
      </c>
      <c r="H30" s="29">
        <v>2</v>
      </c>
      <c r="I30" s="26" t="s">
        <v>67</v>
      </c>
      <c r="J30" s="26" t="s">
        <v>1096</v>
      </c>
    </row>
    <row r="31" spans="1:10" ht="15.75" customHeight="1">
      <c r="A31" s="26" t="s">
        <v>112</v>
      </c>
      <c r="B31" s="29">
        <v>45</v>
      </c>
      <c r="C31" s="26" t="s">
        <v>53</v>
      </c>
      <c r="D31" s="26" t="s">
        <v>54</v>
      </c>
      <c r="E31" s="27" t="s">
        <v>73</v>
      </c>
      <c r="F31" s="26" t="s">
        <v>113</v>
      </c>
      <c r="G31" s="59">
        <v>5924720</v>
      </c>
      <c r="H31" s="29">
        <v>12</v>
      </c>
      <c r="I31" s="26" t="s">
        <v>60</v>
      </c>
      <c r="J31" s="26" t="s">
        <v>1095</v>
      </c>
    </row>
    <row r="32" spans="1:10" ht="15.75" customHeight="1">
      <c r="A32" s="26" t="s">
        <v>114</v>
      </c>
      <c r="B32" s="29">
        <v>33</v>
      </c>
      <c r="C32" s="26" t="s">
        <v>53</v>
      </c>
      <c r="D32" s="26" t="s">
        <v>60</v>
      </c>
      <c r="E32" s="27" t="s">
        <v>73</v>
      </c>
      <c r="F32" s="26" t="s">
        <v>56</v>
      </c>
      <c r="G32" s="59">
        <v>5497850</v>
      </c>
      <c r="H32" s="29">
        <v>5</v>
      </c>
      <c r="I32" s="26" t="s">
        <v>57</v>
      </c>
      <c r="J32" s="26" t="s">
        <v>1095</v>
      </c>
    </row>
    <row r="33" spans="1:10" ht="15.75" customHeight="1">
      <c r="A33" s="26" t="s">
        <v>115</v>
      </c>
      <c r="B33" s="29">
        <v>24</v>
      </c>
      <c r="C33" s="26" t="s">
        <v>59</v>
      </c>
      <c r="D33" s="26" t="s">
        <v>60</v>
      </c>
      <c r="E33" s="27" t="s">
        <v>85</v>
      </c>
      <c r="F33" s="26" t="s">
        <v>82</v>
      </c>
      <c r="G33" s="59">
        <v>6724210</v>
      </c>
      <c r="H33" s="29">
        <v>6</v>
      </c>
      <c r="I33" s="26" t="s">
        <v>63</v>
      </c>
      <c r="J33" s="26" t="s">
        <v>1096</v>
      </c>
    </row>
    <row r="34" spans="1:10" ht="15.75" customHeight="1">
      <c r="A34" s="26" t="s">
        <v>116</v>
      </c>
      <c r="B34" s="29">
        <v>39</v>
      </c>
      <c r="C34" s="26" t="s">
        <v>53</v>
      </c>
      <c r="D34" s="26" t="s">
        <v>60</v>
      </c>
      <c r="E34" s="27" t="s">
        <v>61</v>
      </c>
      <c r="F34" s="26" t="s">
        <v>82</v>
      </c>
      <c r="G34" s="59">
        <v>4373015</v>
      </c>
      <c r="H34" s="29">
        <v>5</v>
      </c>
      <c r="I34" s="26" t="s">
        <v>57</v>
      </c>
      <c r="J34" s="26" t="s">
        <v>1095</v>
      </c>
    </row>
    <row r="35" spans="1:10" ht="15.75" customHeight="1">
      <c r="A35" s="26" t="s">
        <v>117</v>
      </c>
      <c r="B35" s="29">
        <v>48</v>
      </c>
      <c r="C35" s="26" t="s">
        <v>59</v>
      </c>
      <c r="D35" s="26" t="s">
        <v>60</v>
      </c>
      <c r="E35" s="27" t="s">
        <v>78</v>
      </c>
      <c r="F35" s="26" t="s">
        <v>82</v>
      </c>
      <c r="G35" s="59">
        <v>7042890</v>
      </c>
      <c r="H35" s="29">
        <v>10</v>
      </c>
      <c r="I35" s="26" t="s">
        <v>57</v>
      </c>
      <c r="J35" s="26" t="s">
        <v>1095</v>
      </c>
    </row>
    <row r="36" spans="1:10" ht="15.75" customHeight="1">
      <c r="A36" s="26" t="s">
        <v>118</v>
      </c>
      <c r="B36" s="29">
        <v>25</v>
      </c>
      <c r="C36" s="26" t="s">
        <v>59</v>
      </c>
      <c r="D36" s="26" t="s">
        <v>54</v>
      </c>
      <c r="E36" s="27" t="s">
        <v>61</v>
      </c>
      <c r="F36" s="26" t="s">
        <v>82</v>
      </c>
      <c r="G36" s="59">
        <v>2152640</v>
      </c>
      <c r="H36" s="29">
        <v>7</v>
      </c>
      <c r="I36" s="26" t="s">
        <v>57</v>
      </c>
      <c r="J36" s="26" t="s">
        <v>1095</v>
      </c>
    </row>
    <row r="37" spans="1:10" ht="15.75" customHeight="1">
      <c r="A37" s="26" t="s">
        <v>119</v>
      </c>
      <c r="B37" s="29">
        <v>30</v>
      </c>
      <c r="C37" s="26" t="s">
        <v>53</v>
      </c>
      <c r="D37" s="26" t="s">
        <v>60</v>
      </c>
      <c r="E37" s="27" t="s">
        <v>55</v>
      </c>
      <c r="F37" s="26" t="s">
        <v>76</v>
      </c>
      <c r="G37" s="59">
        <v>811270</v>
      </c>
      <c r="H37" s="29">
        <v>6</v>
      </c>
      <c r="I37" s="26" t="s">
        <v>67</v>
      </c>
      <c r="J37" s="26" t="s">
        <v>1095</v>
      </c>
    </row>
    <row r="38" spans="1:10" ht="15.75" customHeight="1">
      <c r="A38" s="26" t="s">
        <v>120</v>
      </c>
      <c r="B38" s="29">
        <v>34</v>
      </c>
      <c r="C38" s="26" t="s">
        <v>59</v>
      </c>
      <c r="D38" s="26" t="s">
        <v>54</v>
      </c>
      <c r="E38" s="27" t="s">
        <v>65</v>
      </c>
      <c r="F38" s="26" t="s">
        <v>121</v>
      </c>
      <c r="G38" s="59">
        <v>5242100</v>
      </c>
      <c r="H38" s="29">
        <v>7</v>
      </c>
      <c r="I38" s="26" t="s">
        <v>57</v>
      </c>
      <c r="J38" s="26" t="s">
        <v>1095</v>
      </c>
    </row>
    <row r="39" spans="1:10" ht="15.75" customHeight="1">
      <c r="A39" s="26" t="s">
        <v>122</v>
      </c>
      <c r="B39" s="29">
        <v>21</v>
      </c>
      <c r="C39" s="26" t="s">
        <v>53</v>
      </c>
      <c r="D39" s="26" t="s">
        <v>54</v>
      </c>
      <c r="E39" s="27" t="s">
        <v>78</v>
      </c>
      <c r="F39" s="26" t="s">
        <v>104</v>
      </c>
      <c r="G39" s="59">
        <v>4078825</v>
      </c>
      <c r="H39" s="29">
        <v>3</v>
      </c>
      <c r="I39" s="26" t="s">
        <v>60</v>
      </c>
      <c r="J39" s="26" t="s">
        <v>1095</v>
      </c>
    </row>
    <row r="40" spans="1:10" ht="15.75" customHeight="1">
      <c r="A40" s="26" t="s">
        <v>123</v>
      </c>
      <c r="B40" s="29">
        <v>36</v>
      </c>
      <c r="C40" s="26" t="s">
        <v>53</v>
      </c>
      <c r="D40" s="26" t="s">
        <v>54</v>
      </c>
      <c r="E40" s="27" t="s">
        <v>78</v>
      </c>
      <c r="F40" s="26" t="s">
        <v>100</v>
      </c>
      <c r="G40" s="59">
        <v>5759490</v>
      </c>
      <c r="H40" s="29">
        <v>0</v>
      </c>
      <c r="I40" s="26" t="s">
        <v>60</v>
      </c>
      <c r="J40" s="26" t="s">
        <v>1095</v>
      </c>
    </row>
    <row r="41" spans="1:10" ht="15.75" customHeight="1">
      <c r="A41" s="26" t="s">
        <v>124</v>
      </c>
      <c r="B41" s="29">
        <v>30</v>
      </c>
      <c r="C41" s="26" t="s">
        <v>59</v>
      </c>
      <c r="D41" s="26" t="s">
        <v>54</v>
      </c>
      <c r="E41" s="27" t="s">
        <v>73</v>
      </c>
      <c r="F41" s="26" t="s">
        <v>90</v>
      </c>
      <c r="G41" s="59">
        <v>5477700</v>
      </c>
      <c r="H41" s="29">
        <v>2</v>
      </c>
      <c r="I41" s="26" t="s">
        <v>63</v>
      </c>
      <c r="J41" s="26" t="s">
        <v>1096</v>
      </c>
    </row>
    <row r="42" spans="1:10" ht="15.75" customHeight="1">
      <c r="A42" s="26" t="s">
        <v>125</v>
      </c>
      <c r="B42" s="29">
        <v>46</v>
      </c>
      <c r="C42" s="26" t="s">
        <v>53</v>
      </c>
      <c r="D42" s="26" t="s">
        <v>54</v>
      </c>
      <c r="E42" s="27" t="s">
        <v>78</v>
      </c>
      <c r="F42" s="26" t="s">
        <v>100</v>
      </c>
      <c r="G42" s="59">
        <v>5105855</v>
      </c>
      <c r="H42" s="29">
        <v>5</v>
      </c>
      <c r="I42" s="26" t="s">
        <v>63</v>
      </c>
      <c r="J42" s="26" t="s">
        <v>1095</v>
      </c>
    </row>
    <row r="43" spans="1:10" ht="15.75" customHeight="1">
      <c r="A43" s="26" t="s">
        <v>126</v>
      </c>
      <c r="B43" s="29">
        <v>46</v>
      </c>
      <c r="C43" s="26" t="s">
        <v>53</v>
      </c>
      <c r="D43" s="26" t="s">
        <v>54</v>
      </c>
      <c r="E43" s="27" t="s">
        <v>65</v>
      </c>
      <c r="F43" s="26" t="s">
        <v>62</v>
      </c>
      <c r="G43" s="59">
        <v>844130</v>
      </c>
      <c r="H43" s="29">
        <v>5</v>
      </c>
      <c r="I43" s="26" t="s">
        <v>60</v>
      </c>
      <c r="J43" s="26" t="s">
        <v>1096</v>
      </c>
    </row>
    <row r="44" spans="1:10" ht="15.75" customHeight="1">
      <c r="A44" s="26" t="s">
        <v>127</v>
      </c>
      <c r="B44" s="29">
        <v>43</v>
      </c>
      <c r="C44" s="26" t="s">
        <v>59</v>
      </c>
      <c r="D44" s="26" t="s">
        <v>60</v>
      </c>
      <c r="E44" s="27" t="s">
        <v>61</v>
      </c>
      <c r="F44" s="26" t="s">
        <v>76</v>
      </c>
      <c r="G44" s="59">
        <v>3985360</v>
      </c>
      <c r="H44" s="29">
        <v>8</v>
      </c>
      <c r="I44" s="26" t="s">
        <v>60</v>
      </c>
      <c r="J44" s="26" t="s">
        <v>1095</v>
      </c>
    </row>
    <row r="45" spans="1:10" ht="15.75" customHeight="1">
      <c r="A45" s="26" t="s">
        <v>128</v>
      </c>
      <c r="B45" s="29">
        <v>43</v>
      </c>
      <c r="C45" s="26" t="s">
        <v>59</v>
      </c>
      <c r="D45" s="26" t="s">
        <v>60</v>
      </c>
      <c r="E45" s="27" t="s">
        <v>73</v>
      </c>
      <c r="F45" s="26" t="s">
        <v>109</v>
      </c>
      <c r="G45" s="59">
        <v>4542120</v>
      </c>
      <c r="H45" s="29">
        <v>11</v>
      </c>
      <c r="I45" s="26" t="s">
        <v>57</v>
      </c>
      <c r="J45" s="26" t="s">
        <v>1095</v>
      </c>
    </row>
    <row r="46" spans="1:10" ht="15.75" customHeight="1">
      <c r="A46" s="26" t="s">
        <v>129</v>
      </c>
      <c r="B46" s="29">
        <v>34</v>
      </c>
      <c r="C46" s="26" t="s">
        <v>59</v>
      </c>
      <c r="D46" s="26" t="s">
        <v>60</v>
      </c>
      <c r="E46" s="27" t="s">
        <v>73</v>
      </c>
      <c r="F46" s="26" t="s">
        <v>76</v>
      </c>
      <c r="G46" s="59">
        <v>1711200</v>
      </c>
      <c r="H46" s="29">
        <v>12</v>
      </c>
      <c r="I46" s="26" t="s">
        <v>57</v>
      </c>
      <c r="J46" s="26" t="s">
        <v>1096</v>
      </c>
    </row>
    <row r="47" spans="1:10" ht="15.75" customHeight="1">
      <c r="A47" s="26" t="s">
        <v>130</v>
      </c>
      <c r="B47" s="29">
        <v>42</v>
      </c>
      <c r="C47" s="26" t="s">
        <v>53</v>
      </c>
      <c r="D47" s="26" t="s">
        <v>54</v>
      </c>
      <c r="E47" s="27" t="s">
        <v>65</v>
      </c>
      <c r="F47" s="26" t="s">
        <v>82</v>
      </c>
      <c r="G47" s="59">
        <v>1182185</v>
      </c>
      <c r="H47" s="29">
        <v>4</v>
      </c>
      <c r="I47" s="26" t="s">
        <v>57</v>
      </c>
      <c r="J47" s="26" t="s">
        <v>1095</v>
      </c>
    </row>
    <row r="48" spans="1:10" ht="15.75" customHeight="1">
      <c r="A48" s="26" t="s">
        <v>131</v>
      </c>
      <c r="B48" s="29">
        <v>40</v>
      </c>
      <c r="C48" s="26" t="s">
        <v>53</v>
      </c>
      <c r="D48" s="26" t="s">
        <v>60</v>
      </c>
      <c r="E48" s="27" t="s">
        <v>78</v>
      </c>
      <c r="F48" s="26" t="s">
        <v>104</v>
      </c>
      <c r="G48" s="59">
        <v>6077240</v>
      </c>
      <c r="H48" s="29">
        <v>6</v>
      </c>
      <c r="I48" s="26" t="s">
        <v>57</v>
      </c>
      <c r="J48" s="26" t="s">
        <v>1095</v>
      </c>
    </row>
    <row r="49" spans="1:10" ht="15.75" customHeight="1">
      <c r="A49" s="26" t="s">
        <v>132</v>
      </c>
      <c r="B49" s="29">
        <v>25</v>
      </c>
      <c r="C49" s="26" t="s">
        <v>53</v>
      </c>
      <c r="D49" s="26" t="s">
        <v>60</v>
      </c>
      <c r="E49" s="27" t="s">
        <v>85</v>
      </c>
      <c r="F49" s="26" t="s">
        <v>104</v>
      </c>
      <c r="G49" s="59">
        <v>793910</v>
      </c>
      <c r="H49" s="29">
        <v>6</v>
      </c>
      <c r="I49" s="26" t="s">
        <v>57</v>
      </c>
      <c r="J49" s="26" t="s">
        <v>1095</v>
      </c>
    </row>
    <row r="50" spans="1:10" ht="15.75" customHeight="1">
      <c r="A50" s="26" t="s">
        <v>133</v>
      </c>
      <c r="B50" s="29">
        <v>38</v>
      </c>
      <c r="C50" s="26" t="s">
        <v>59</v>
      </c>
      <c r="D50" s="26" t="s">
        <v>54</v>
      </c>
      <c r="E50" s="27" t="s">
        <v>85</v>
      </c>
      <c r="F50" s="26" t="s">
        <v>134</v>
      </c>
      <c r="G50" s="59">
        <v>3527335</v>
      </c>
      <c r="H50" s="29">
        <v>2</v>
      </c>
      <c r="I50" s="26" t="s">
        <v>60</v>
      </c>
      <c r="J50" s="26" t="s">
        <v>1096</v>
      </c>
    </row>
    <row r="51" spans="1:10" ht="15.75" customHeight="1">
      <c r="A51" s="26" t="s">
        <v>135</v>
      </c>
      <c r="B51" s="29">
        <v>46</v>
      </c>
      <c r="C51" s="26" t="s">
        <v>53</v>
      </c>
      <c r="D51" s="26" t="s">
        <v>54</v>
      </c>
      <c r="E51" s="27" t="s">
        <v>61</v>
      </c>
      <c r="F51" s="26" t="s">
        <v>121</v>
      </c>
      <c r="G51" s="59">
        <v>5872485</v>
      </c>
      <c r="H51" s="29">
        <v>7</v>
      </c>
      <c r="I51" s="26" t="s">
        <v>57</v>
      </c>
      <c r="J51" s="26" t="s">
        <v>1095</v>
      </c>
    </row>
    <row r="52" spans="1:10" ht="15.75" customHeight="1">
      <c r="A52" s="26" t="s">
        <v>136</v>
      </c>
      <c r="B52" s="29">
        <v>24</v>
      </c>
      <c r="C52" s="26" t="s">
        <v>53</v>
      </c>
      <c r="D52" s="26" t="s">
        <v>54</v>
      </c>
      <c r="E52" s="27" t="s">
        <v>61</v>
      </c>
      <c r="F52" s="26" t="s">
        <v>137</v>
      </c>
      <c r="G52" s="59">
        <v>6570760</v>
      </c>
      <c r="H52" s="29">
        <v>8</v>
      </c>
      <c r="I52" s="26" t="s">
        <v>67</v>
      </c>
      <c r="J52" s="26" t="s">
        <v>1096</v>
      </c>
    </row>
    <row r="53" spans="1:10" ht="15.75" customHeight="1">
      <c r="A53" s="26" t="s">
        <v>138</v>
      </c>
      <c r="B53" s="29">
        <v>43</v>
      </c>
      <c r="C53" s="26" t="s">
        <v>53</v>
      </c>
      <c r="D53" s="26" t="s">
        <v>60</v>
      </c>
      <c r="E53" s="27" t="s">
        <v>61</v>
      </c>
      <c r="F53" s="26" t="s">
        <v>109</v>
      </c>
      <c r="G53" s="59">
        <v>1724220</v>
      </c>
      <c r="H53" s="29">
        <v>9</v>
      </c>
      <c r="I53" s="26" t="s">
        <v>63</v>
      </c>
      <c r="J53" s="26" t="s">
        <v>1095</v>
      </c>
    </row>
    <row r="54" spans="1:10" ht="15.75" customHeight="1">
      <c r="A54" s="26" t="s">
        <v>139</v>
      </c>
      <c r="B54" s="29">
        <v>37</v>
      </c>
      <c r="C54" s="26" t="s">
        <v>53</v>
      </c>
      <c r="D54" s="26" t="s">
        <v>54</v>
      </c>
      <c r="E54" s="27" t="s">
        <v>55</v>
      </c>
      <c r="F54" s="26" t="s">
        <v>1094</v>
      </c>
      <c r="G54" s="59">
        <v>4639305</v>
      </c>
      <c r="H54" s="29">
        <v>7</v>
      </c>
      <c r="I54" s="26" t="s">
        <v>63</v>
      </c>
      <c r="J54" s="26" t="s">
        <v>1095</v>
      </c>
    </row>
    <row r="55" spans="1:10" ht="15.75" customHeight="1">
      <c r="A55" s="26" t="s">
        <v>141</v>
      </c>
      <c r="B55" s="29">
        <v>42</v>
      </c>
      <c r="C55" s="26" t="s">
        <v>59</v>
      </c>
      <c r="D55" s="26" t="s">
        <v>54</v>
      </c>
      <c r="E55" s="27" t="s">
        <v>55</v>
      </c>
      <c r="F55" s="26" t="s">
        <v>88</v>
      </c>
      <c r="G55" s="59">
        <v>2623840</v>
      </c>
      <c r="H55" s="29">
        <v>7</v>
      </c>
      <c r="I55" s="26" t="s">
        <v>57</v>
      </c>
      <c r="J55" s="26" t="s">
        <v>1095</v>
      </c>
    </row>
    <row r="56" spans="1:10" ht="15.75" customHeight="1">
      <c r="A56" s="26" t="s">
        <v>142</v>
      </c>
      <c r="B56" s="29">
        <v>29</v>
      </c>
      <c r="C56" s="26" t="s">
        <v>59</v>
      </c>
      <c r="D56" s="26" t="s">
        <v>54</v>
      </c>
      <c r="E56" s="27" t="s">
        <v>78</v>
      </c>
      <c r="F56" s="26" t="s">
        <v>66</v>
      </c>
      <c r="G56" s="59">
        <v>6961515</v>
      </c>
      <c r="H56" s="29">
        <v>9</v>
      </c>
      <c r="I56" s="26" t="s">
        <v>63</v>
      </c>
      <c r="J56" s="26" t="s">
        <v>1096</v>
      </c>
    </row>
    <row r="57" spans="1:10" ht="15.75" customHeight="1">
      <c r="A57" s="26" t="s">
        <v>143</v>
      </c>
      <c r="B57" s="29">
        <v>35</v>
      </c>
      <c r="C57" s="26" t="s">
        <v>53</v>
      </c>
      <c r="D57" s="26" t="s">
        <v>60</v>
      </c>
      <c r="E57" s="27" t="s">
        <v>85</v>
      </c>
      <c r="F57" s="26" t="s">
        <v>88</v>
      </c>
      <c r="G57" s="59">
        <v>6625940</v>
      </c>
      <c r="H57" s="29">
        <v>6</v>
      </c>
      <c r="I57" s="26" t="s">
        <v>63</v>
      </c>
      <c r="J57" s="26" t="s">
        <v>1095</v>
      </c>
    </row>
    <row r="58" spans="1:10" ht="15.75" customHeight="1">
      <c r="A58" s="26" t="s">
        <v>144</v>
      </c>
      <c r="B58" s="29">
        <v>27</v>
      </c>
      <c r="C58" s="26" t="s">
        <v>53</v>
      </c>
      <c r="D58" s="26" t="s">
        <v>54</v>
      </c>
      <c r="E58" s="27" t="s">
        <v>73</v>
      </c>
      <c r="F58" s="26" t="s">
        <v>80</v>
      </c>
      <c r="G58" s="59">
        <v>2659955</v>
      </c>
      <c r="H58" s="29">
        <v>3</v>
      </c>
      <c r="I58" s="26" t="s">
        <v>67</v>
      </c>
      <c r="J58" s="26" t="s">
        <v>1095</v>
      </c>
    </row>
    <row r="59" spans="1:10" ht="15.75" customHeight="1">
      <c r="A59" s="26" t="s">
        <v>145</v>
      </c>
      <c r="B59" s="29">
        <v>40</v>
      </c>
      <c r="C59" s="26" t="s">
        <v>53</v>
      </c>
      <c r="D59" s="26" t="s">
        <v>60</v>
      </c>
      <c r="E59" s="27" t="s">
        <v>55</v>
      </c>
      <c r="F59" s="26" t="s">
        <v>76</v>
      </c>
      <c r="G59" s="59">
        <v>3724340</v>
      </c>
      <c r="H59" s="29">
        <v>3</v>
      </c>
      <c r="I59" s="26" t="s">
        <v>60</v>
      </c>
      <c r="J59" s="26" t="s">
        <v>1095</v>
      </c>
    </row>
    <row r="60" spans="1:10" ht="15.75" customHeight="1">
      <c r="A60" s="26" t="s">
        <v>146</v>
      </c>
      <c r="B60" s="29">
        <v>34</v>
      </c>
      <c r="C60" s="26" t="s">
        <v>53</v>
      </c>
      <c r="D60" s="26" t="s">
        <v>60</v>
      </c>
      <c r="E60" s="27" t="s">
        <v>78</v>
      </c>
      <c r="F60" s="26" t="s">
        <v>71</v>
      </c>
      <c r="G60" s="59">
        <v>4807635</v>
      </c>
      <c r="H60" s="29">
        <v>6</v>
      </c>
      <c r="I60" s="26" t="s">
        <v>63</v>
      </c>
      <c r="J60" s="26" t="s">
        <v>1096</v>
      </c>
    </row>
    <row r="61" spans="1:10" ht="15.75" customHeight="1">
      <c r="A61" s="26" t="s">
        <v>147</v>
      </c>
      <c r="B61" s="29">
        <v>25</v>
      </c>
      <c r="C61" s="26" t="s">
        <v>53</v>
      </c>
      <c r="D61" s="26" t="s">
        <v>54</v>
      </c>
      <c r="E61" s="27" t="s">
        <v>78</v>
      </c>
      <c r="F61" s="26" t="s">
        <v>92</v>
      </c>
      <c r="G61" s="59">
        <v>2573000</v>
      </c>
      <c r="H61" s="29">
        <v>10</v>
      </c>
      <c r="I61" s="26" t="s">
        <v>60</v>
      </c>
      <c r="J61" s="26" t="s">
        <v>1096</v>
      </c>
    </row>
    <row r="62" spans="1:10" ht="15.75" customHeight="1">
      <c r="A62" s="26" t="s">
        <v>148</v>
      </c>
      <c r="B62" s="29">
        <v>38</v>
      </c>
      <c r="C62" s="26" t="s">
        <v>59</v>
      </c>
      <c r="D62" s="26" t="s">
        <v>60</v>
      </c>
      <c r="E62" s="27" t="s">
        <v>73</v>
      </c>
      <c r="F62" s="26" t="s">
        <v>102</v>
      </c>
      <c r="G62" s="59">
        <v>5611155</v>
      </c>
      <c r="H62" s="29">
        <v>2</v>
      </c>
      <c r="I62" s="26" t="s">
        <v>57</v>
      </c>
      <c r="J62" s="26" t="s">
        <v>1096</v>
      </c>
    </row>
    <row r="63" spans="1:10" ht="15.75" customHeight="1">
      <c r="A63" s="26" t="s">
        <v>149</v>
      </c>
      <c r="B63" s="29">
        <v>33</v>
      </c>
      <c r="C63" s="26" t="s">
        <v>59</v>
      </c>
      <c r="D63" s="26" t="s">
        <v>60</v>
      </c>
      <c r="E63" s="27" t="s">
        <v>78</v>
      </c>
      <c r="F63" s="26" t="s">
        <v>1094</v>
      </c>
      <c r="G63" s="59">
        <v>5401750</v>
      </c>
      <c r="H63" s="29">
        <v>0</v>
      </c>
      <c r="I63" s="26" t="s">
        <v>57</v>
      </c>
      <c r="J63" s="26" t="s">
        <v>1096</v>
      </c>
    </row>
    <row r="64" spans="1:10" ht="15.75" customHeight="1">
      <c r="A64" s="26" t="s">
        <v>150</v>
      </c>
      <c r="B64" s="29">
        <v>32</v>
      </c>
      <c r="C64" s="26" t="s">
        <v>53</v>
      </c>
      <c r="D64" s="26" t="s">
        <v>54</v>
      </c>
      <c r="E64" s="27" t="s">
        <v>73</v>
      </c>
      <c r="F64" s="26" t="s">
        <v>88</v>
      </c>
      <c r="G64" s="59">
        <v>6137535</v>
      </c>
      <c r="H64" s="29">
        <v>9</v>
      </c>
      <c r="I64" s="26" t="s">
        <v>63</v>
      </c>
      <c r="J64" s="26" t="s">
        <v>1095</v>
      </c>
    </row>
    <row r="65" spans="1:10" ht="15.75" customHeight="1">
      <c r="A65" s="26" t="s">
        <v>151</v>
      </c>
      <c r="B65" s="29">
        <v>50</v>
      </c>
      <c r="C65" s="26" t="s">
        <v>53</v>
      </c>
      <c r="D65" s="26" t="s">
        <v>54</v>
      </c>
      <c r="E65" s="27" t="s">
        <v>85</v>
      </c>
      <c r="F65" s="26" t="s">
        <v>80</v>
      </c>
      <c r="G65" s="59">
        <v>7362345</v>
      </c>
      <c r="H65" s="29">
        <v>9</v>
      </c>
      <c r="I65" s="26" t="s">
        <v>57</v>
      </c>
      <c r="J65" s="26" t="s">
        <v>1095</v>
      </c>
    </row>
    <row r="66" spans="1:10" ht="15.75" customHeight="1">
      <c r="A66" s="26" t="s">
        <v>152</v>
      </c>
      <c r="B66" s="29">
        <v>35</v>
      </c>
      <c r="C66" s="26" t="s">
        <v>53</v>
      </c>
      <c r="D66" s="26" t="s">
        <v>54</v>
      </c>
      <c r="E66" s="27" t="s">
        <v>61</v>
      </c>
      <c r="F66" s="26" t="s">
        <v>86</v>
      </c>
      <c r="G66" s="59">
        <v>4439665</v>
      </c>
      <c r="H66" s="29">
        <v>4</v>
      </c>
      <c r="I66" s="26" t="s">
        <v>60</v>
      </c>
      <c r="J66" s="26" t="s">
        <v>1095</v>
      </c>
    </row>
    <row r="67" spans="1:10" ht="15.75" customHeight="1">
      <c r="A67" s="26" t="s">
        <v>153</v>
      </c>
      <c r="B67" s="29">
        <v>19</v>
      </c>
      <c r="C67" s="26" t="s">
        <v>53</v>
      </c>
      <c r="D67" s="26" t="s">
        <v>60</v>
      </c>
      <c r="E67" s="27" t="s">
        <v>61</v>
      </c>
      <c r="F67" s="26" t="s">
        <v>90</v>
      </c>
      <c r="G67" s="59">
        <v>5166460</v>
      </c>
      <c r="H67" s="29">
        <v>8</v>
      </c>
      <c r="I67" s="26" t="s">
        <v>67</v>
      </c>
      <c r="J67" s="26" t="s">
        <v>1095</v>
      </c>
    </row>
    <row r="68" spans="1:10" ht="15.75" customHeight="1">
      <c r="A68" s="26" t="s">
        <v>154</v>
      </c>
      <c r="B68" s="29">
        <v>46</v>
      </c>
      <c r="C68" s="26" t="s">
        <v>53</v>
      </c>
      <c r="D68" s="26" t="s">
        <v>60</v>
      </c>
      <c r="E68" s="27" t="s">
        <v>78</v>
      </c>
      <c r="F68" s="26" t="s">
        <v>98</v>
      </c>
      <c r="G68" s="59">
        <v>3463785</v>
      </c>
      <c r="H68" s="29">
        <v>9</v>
      </c>
      <c r="I68" s="26" t="s">
        <v>60</v>
      </c>
      <c r="J68" s="26" t="s">
        <v>1095</v>
      </c>
    </row>
    <row r="69" spans="1:10" ht="15.75" customHeight="1">
      <c r="A69" s="26" t="s">
        <v>155</v>
      </c>
      <c r="B69" s="29">
        <v>23</v>
      </c>
      <c r="C69" s="26" t="s">
        <v>59</v>
      </c>
      <c r="D69" s="26" t="s">
        <v>54</v>
      </c>
      <c r="E69" s="27" t="s">
        <v>65</v>
      </c>
      <c r="F69" s="26" t="s">
        <v>80</v>
      </c>
      <c r="G69" s="59">
        <v>6429865</v>
      </c>
      <c r="H69" s="29">
        <v>2</v>
      </c>
      <c r="I69" s="26" t="s">
        <v>60</v>
      </c>
      <c r="J69" s="26" t="s">
        <v>1096</v>
      </c>
    </row>
    <row r="70" spans="1:10" ht="15.75" customHeight="1">
      <c r="A70" s="26" t="s">
        <v>156</v>
      </c>
      <c r="B70" s="29">
        <v>34</v>
      </c>
      <c r="C70" s="26" t="s">
        <v>53</v>
      </c>
      <c r="D70" s="26" t="s">
        <v>60</v>
      </c>
      <c r="E70" s="27" t="s">
        <v>55</v>
      </c>
      <c r="F70" s="26" t="s">
        <v>76</v>
      </c>
      <c r="G70" s="59">
        <v>6066390</v>
      </c>
      <c r="H70" s="29">
        <v>5</v>
      </c>
      <c r="I70" s="26" t="s">
        <v>67</v>
      </c>
      <c r="J70" s="26" t="s">
        <v>1096</v>
      </c>
    </row>
    <row r="71" spans="1:10" ht="15.75" customHeight="1">
      <c r="A71" s="26" t="s">
        <v>157</v>
      </c>
      <c r="B71" s="29">
        <v>48</v>
      </c>
      <c r="C71" s="26" t="s">
        <v>59</v>
      </c>
      <c r="D71" s="26" t="s">
        <v>54</v>
      </c>
      <c r="E71" s="27" t="s">
        <v>65</v>
      </c>
      <c r="F71" s="26" t="s">
        <v>71</v>
      </c>
      <c r="G71" s="59">
        <v>5710200</v>
      </c>
      <c r="H71" s="29">
        <v>11</v>
      </c>
      <c r="I71" s="26" t="s">
        <v>60</v>
      </c>
      <c r="J71" s="26" t="s">
        <v>1096</v>
      </c>
    </row>
    <row r="72" spans="1:10" ht="15.75" customHeight="1">
      <c r="A72" s="26" t="s">
        <v>158</v>
      </c>
      <c r="B72" s="29">
        <v>27</v>
      </c>
      <c r="C72" s="26" t="s">
        <v>53</v>
      </c>
      <c r="D72" s="26" t="s">
        <v>54</v>
      </c>
      <c r="E72" s="27" t="s">
        <v>78</v>
      </c>
      <c r="F72" s="26" t="s">
        <v>71</v>
      </c>
      <c r="G72" s="59">
        <v>5089580</v>
      </c>
      <c r="H72" s="29">
        <v>11</v>
      </c>
      <c r="I72" s="26" t="s">
        <v>60</v>
      </c>
      <c r="J72" s="26" t="s">
        <v>1096</v>
      </c>
    </row>
    <row r="73" spans="1:10" ht="15.75" customHeight="1">
      <c r="A73" s="26" t="s">
        <v>159</v>
      </c>
      <c r="B73" s="29">
        <v>37</v>
      </c>
      <c r="C73" s="26" t="s">
        <v>53</v>
      </c>
      <c r="D73" s="26" t="s">
        <v>54</v>
      </c>
      <c r="E73" s="27" t="s">
        <v>85</v>
      </c>
      <c r="F73" s="26" t="s">
        <v>69</v>
      </c>
      <c r="G73" s="59">
        <v>6578045</v>
      </c>
      <c r="H73" s="29">
        <v>9</v>
      </c>
      <c r="I73" s="26" t="s">
        <v>60</v>
      </c>
      <c r="J73" s="26" t="s">
        <v>1095</v>
      </c>
    </row>
    <row r="74" spans="1:10" ht="15.75" customHeight="1">
      <c r="A74" s="26" t="s">
        <v>160</v>
      </c>
      <c r="B74" s="29">
        <v>47</v>
      </c>
      <c r="C74" s="26" t="s">
        <v>59</v>
      </c>
      <c r="D74" s="26" t="s">
        <v>60</v>
      </c>
      <c r="E74" s="27" t="s">
        <v>73</v>
      </c>
      <c r="F74" s="26" t="s">
        <v>113</v>
      </c>
      <c r="G74" s="59">
        <v>3055360</v>
      </c>
      <c r="H74" s="29">
        <v>10</v>
      </c>
      <c r="I74" s="26" t="s">
        <v>67</v>
      </c>
      <c r="J74" s="26" t="s">
        <v>1095</v>
      </c>
    </row>
    <row r="75" spans="1:10" ht="15.75" customHeight="1">
      <c r="A75" s="26" t="s">
        <v>161</v>
      </c>
      <c r="B75" s="29">
        <v>45</v>
      </c>
      <c r="C75" s="26" t="s">
        <v>59</v>
      </c>
      <c r="D75" s="26" t="s">
        <v>60</v>
      </c>
      <c r="E75" s="27" t="s">
        <v>78</v>
      </c>
      <c r="F75" s="26" t="s">
        <v>76</v>
      </c>
      <c r="G75" s="59">
        <v>7045835</v>
      </c>
      <c r="H75" s="29">
        <v>9</v>
      </c>
      <c r="I75" s="26" t="s">
        <v>67</v>
      </c>
      <c r="J75" s="26" t="s">
        <v>1095</v>
      </c>
    </row>
    <row r="76" spans="1:10" ht="15.75" customHeight="1">
      <c r="A76" s="26" t="s">
        <v>162</v>
      </c>
      <c r="B76" s="29">
        <v>37</v>
      </c>
      <c r="C76" s="26" t="s">
        <v>59</v>
      </c>
      <c r="D76" s="26" t="s">
        <v>54</v>
      </c>
      <c r="E76" s="27" t="s">
        <v>61</v>
      </c>
      <c r="F76" s="26" t="s">
        <v>98</v>
      </c>
      <c r="G76" s="59">
        <v>4624890</v>
      </c>
      <c r="H76" s="29">
        <v>4</v>
      </c>
      <c r="I76" s="26" t="s">
        <v>60</v>
      </c>
      <c r="J76" s="26" t="s">
        <v>1096</v>
      </c>
    </row>
    <row r="77" spans="1:10" ht="15.75" customHeight="1">
      <c r="A77" s="26" t="s">
        <v>163</v>
      </c>
      <c r="B77" s="29">
        <v>36</v>
      </c>
      <c r="C77" s="26" t="s">
        <v>59</v>
      </c>
      <c r="D77" s="26" t="s">
        <v>60</v>
      </c>
      <c r="E77" s="27" t="s">
        <v>85</v>
      </c>
      <c r="F77" s="26" t="s">
        <v>134</v>
      </c>
      <c r="G77" s="59">
        <v>1731350</v>
      </c>
      <c r="H77" s="29">
        <v>6</v>
      </c>
      <c r="I77" s="26" t="s">
        <v>63</v>
      </c>
      <c r="J77" s="26" t="s">
        <v>1096</v>
      </c>
    </row>
    <row r="78" spans="1:10" ht="15.75" customHeight="1">
      <c r="A78" s="26" t="s">
        <v>165</v>
      </c>
      <c r="B78" s="29">
        <v>34</v>
      </c>
      <c r="C78" s="26" t="s">
        <v>59</v>
      </c>
      <c r="D78" s="26" t="s">
        <v>54</v>
      </c>
      <c r="E78" s="27" t="s">
        <v>61</v>
      </c>
      <c r="F78" s="26" t="s">
        <v>134</v>
      </c>
      <c r="G78" s="59">
        <v>5792195</v>
      </c>
      <c r="H78" s="29">
        <v>10</v>
      </c>
      <c r="I78" s="26" t="s">
        <v>63</v>
      </c>
      <c r="J78" s="26" t="s">
        <v>1096</v>
      </c>
    </row>
    <row r="79" spans="1:10" ht="15.75" customHeight="1">
      <c r="A79" s="26" t="s">
        <v>166</v>
      </c>
      <c r="B79" s="29">
        <v>37</v>
      </c>
      <c r="C79" s="26" t="s">
        <v>59</v>
      </c>
      <c r="D79" s="26" t="s">
        <v>60</v>
      </c>
      <c r="E79" s="27" t="s">
        <v>61</v>
      </c>
      <c r="F79" s="26" t="s">
        <v>167</v>
      </c>
      <c r="G79" s="59">
        <v>5500485</v>
      </c>
      <c r="H79" s="29">
        <v>5</v>
      </c>
      <c r="I79" s="26" t="s">
        <v>57</v>
      </c>
      <c r="J79" s="26" t="s">
        <v>1096</v>
      </c>
    </row>
    <row r="80" spans="1:10" ht="15.75" customHeight="1">
      <c r="A80" s="26" t="s">
        <v>168</v>
      </c>
      <c r="B80" s="29">
        <v>18</v>
      </c>
      <c r="C80" s="26" t="s">
        <v>53</v>
      </c>
      <c r="D80" s="26" t="s">
        <v>54</v>
      </c>
      <c r="E80" s="27" t="s">
        <v>78</v>
      </c>
      <c r="F80" s="26" t="s">
        <v>82</v>
      </c>
      <c r="G80" s="59">
        <v>3324440</v>
      </c>
      <c r="H80" s="29">
        <v>2</v>
      </c>
      <c r="I80" s="26" t="s">
        <v>57</v>
      </c>
      <c r="J80" s="26" t="s">
        <v>1095</v>
      </c>
    </row>
    <row r="81" spans="1:10" ht="15.75" customHeight="1">
      <c r="A81" s="26" t="s">
        <v>169</v>
      </c>
      <c r="B81" s="29">
        <v>20</v>
      </c>
      <c r="C81" s="26" t="s">
        <v>59</v>
      </c>
      <c r="D81" s="26" t="s">
        <v>60</v>
      </c>
      <c r="E81" s="27" t="s">
        <v>73</v>
      </c>
      <c r="F81" s="26" t="s">
        <v>100</v>
      </c>
      <c r="G81" s="59">
        <v>6193490</v>
      </c>
      <c r="H81" s="29">
        <v>6</v>
      </c>
      <c r="I81" s="26" t="s">
        <v>57</v>
      </c>
      <c r="J81" s="26" t="s">
        <v>1095</v>
      </c>
    </row>
    <row r="82" spans="1:10" ht="15.75" customHeight="1">
      <c r="A82" s="26" t="s">
        <v>170</v>
      </c>
      <c r="B82" s="29">
        <v>27</v>
      </c>
      <c r="C82" s="26" t="s">
        <v>53</v>
      </c>
      <c r="D82" s="26" t="s">
        <v>60</v>
      </c>
      <c r="E82" s="27" t="s">
        <v>85</v>
      </c>
      <c r="F82" s="26" t="s">
        <v>86</v>
      </c>
      <c r="G82" s="59">
        <v>5905345</v>
      </c>
      <c r="H82" s="29">
        <v>7</v>
      </c>
      <c r="I82" s="26" t="s">
        <v>67</v>
      </c>
      <c r="J82" s="26" t="s">
        <v>1095</v>
      </c>
    </row>
    <row r="83" spans="1:10" ht="15.75" customHeight="1">
      <c r="A83" s="26" t="s">
        <v>171</v>
      </c>
      <c r="B83" s="29">
        <v>36</v>
      </c>
      <c r="C83" s="26" t="s">
        <v>59</v>
      </c>
      <c r="D83" s="26" t="s">
        <v>54</v>
      </c>
      <c r="E83" s="27" t="s">
        <v>73</v>
      </c>
      <c r="F83" s="26" t="s">
        <v>62</v>
      </c>
      <c r="G83" s="59">
        <v>1224500</v>
      </c>
      <c r="H83" s="29">
        <v>10</v>
      </c>
      <c r="I83" s="26" t="s">
        <v>63</v>
      </c>
      <c r="J83" s="26" t="s">
        <v>1096</v>
      </c>
    </row>
    <row r="84" spans="1:10" ht="15.75" customHeight="1">
      <c r="A84" s="26" t="s">
        <v>172</v>
      </c>
      <c r="B84" s="29">
        <v>46</v>
      </c>
      <c r="C84" s="26" t="s">
        <v>53</v>
      </c>
      <c r="D84" s="26" t="s">
        <v>54</v>
      </c>
      <c r="E84" s="27" t="s">
        <v>78</v>
      </c>
      <c r="F84" s="26" t="s">
        <v>121</v>
      </c>
      <c r="G84" s="59">
        <v>1765140</v>
      </c>
      <c r="H84" s="29">
        <v>2</v>
      </c>
      <c r="I84" s="26" t="s">
        <v>63</v>
      </c>
      <c r="J84" s="26" t="s">
        <v>1096</v>
      </c>
    </row>
    <row r="85" spans="1:10" ht="15.75" customHeight="1">
      <c r="A85" s="26" t="s">
        <v>173</v>
      </c>
      <c r="B85" s="29">
        <v>26</v>
      </c>
      <c r="C85" s="26" t="s">
        <v>59</v>
      </c>
      <c r="D85" s="26" t="s">
        <v>54</v>
      </c>
      <c r="E85" s="27" t="s">
        <v>55</v>
      </c>
      <c r="F85" s="26" t="s">
        <v>1094</v>
      </c>
      <c r="G85" s="59">
        <v>1884335</v>
      </c>
      <c r="H85" s="29">
        <v>4</v>
      </c>
      <c r="I85" s="26" t="s">
        <v>60</v>
      </c>
      <c r="J85" s="26" t="s">
        <v>1096</v>
      </c>
    </row>
    <row r="86" spans="1:10" ht="15.75" customHeight="1">
      <c r="A86" s="26" t="s">
        <v>174</v>
      </c>
      <c r="B86" s="29">
        <v>21</v>
      </c>
      <c r="C86" s="26" t="s">
        <v>53</v>
      </c>
      <c r="D86" s="26" t="s">
        <v>60</v>
      </c>
      <c r="E86" s="27" t="s">
        <v>85</v>
      </c>
      <c r="F86" s="26" t="s">
        <v>113</v>
      </c>
      <c r="G86" s="59">
        <v>3340870</v>
      </c>
      <c r="H86" s="29">
        <v>11</v>
      </c>
      <c r="I86" s="26" t="s">
        <v>67</v>
      </c>
      <c r="J86" s="26" t="s">
        <v>1095</v>
      </c>
    </row>
    <row r="87" spans="1:10" ht="15.75" customHeight="1">
      <c r="A87" s="26" t="s">
        <v>175</v>
      </c>
      <c r="B87" s="29">
        <v>43</v>
      </c>
      <c r="C87" s="26" t="s">
        <v>59</v>
      </c>
      <c r="D87" s="26" t="s">
        <v>60</v>
      </c>
      <c r="E87" s="27" t="s">
        <v>85</v>
      </c>
      <c r="F87" s="26" t="s">
        <v>71</v>
      </c>
      <c r="G87" s="59">
        <v>1348965</v>
      </c>
      <c r="H87" s="29">
        <v>10</v>
      </c>
      <c r="I87" s="26" t="s">
        <v>67</v>
      </c>
      <c r="J87" s="26" t="s">
        <v>1096</v>
      </c>
    </row>
    <row r="88" spans="1:10" ht="15.75" customHeight="1">
      <c r="A88" s="26" t="s">
        <v>176</v>
      </c>
      <c r="B88" s="29">
        <v>19</v>
      </c>
      <c r="C88" s="26" t="s">
        <v>59</v>
      </c>
      <c r="D88" s="26" t="s">
        <v>60</v>
      </c>
      <c r="E88" s="27" t="s">
        <v>55</v>
      </c>
      <c r="F88" s="26" t="s">
        <v>1094</v>
      </c>
      <c r="G88" s="59">
        <v>1732125</v>
      </c>
      <c r="H88" s="29">
        <v>4</v>
      </c>
      <c r="I88" s="26" t="s">
        <v>60</v>
      </c>
      <c r="J88" s="26" t="s">
        <v>1096</v>
      </c>
    </row>
    <row r="89" spans="1:10" ht="15.75" customHeight="1">
      <c r="A89" s="26" t="s">
        <v>177</v>
      </c>
      <c r="B89" s="29">
        <v>41</v>
      </c>
      <c r="C89" s="26" t="s">
        <v>53</v>
      </c>
      <c r="D89" s="26" t="s">
        <v>60</v>
      </c>
      <c r="E89" s="27" t="s">
        <v>78</v>
      </c>
      <c r="F89" s="26" t="s">
        <v>66</v>
      </c>
      <c r="G89" s="59">
        <v>2111100</v>
      </c>
      <c r="H89" s="29">
        <v>2</v>
      </c>
      <c r="I89" s="26" t="s">
        <v>67</v>
      </c>
      <c r="J89" s="26" t="s">
        <v>1095</v>
      </c>
    </row>
    <row r="90" spans="1:10" ht="15.75" customHeight="1">
      <c r="A90" s="26" t="s">
        <v>178</v>
      </c>
      <c r="B90" s="29">
        <v>48</v>
      </c>
      <c r="C90" s="26" t="s">
        <v>59</v>
      </c>
      <c r="D90" s="26" t="s">
        <v>54</v>
      </c>
      <c r="E90" s="27" t="s">
        <v>78</v>
      </c>
      <c r="F90" s="26" t="s">
        <v>62</v>
      </c>
      <c r="G90" s="59">
        <v>6809305</v>
      </c>
      <c r="H90" s="29">
        <v>0</v>
      </c>
      <c r="I90" s="26" t="s">
        <v>63</v>
      </c>
      <c r="J90" s="26" t="s">
        <v>1096</v>
      </c>
    </row>
    <row r="91" spans="1:10" ht="15.75" customHeight="1">
      <c r="A91" s="26" t="s">
        <v>179</v>
      </c>
      <c r="B91" s="29">
        <v>19</v>
      </c>
      <c r="C91" s="26" t="s">
        <v>53</v>
      </c>
      <c r="D91" s="26" t="s">
        <v>54</v>
      </c>
      <c r="E91" s="27" t="s">
        <v>73</v>
      </c>
      <c r="F91" s="26" t="s">
        <v>90</v>
      </c>
      <c r="G91" s="59">
        <v>3021415</v>
      </c>
      <c r="H91" s="29">
        <v>9</v>
      </c>
      <c r="I91" s="26" t="s">
        <v>60</v>
      </c>
      <c r="J91" s="26" t="s">
        <v>1095</v>
      </c>
    </row>
    <row r="92" spans="1:10" ht="15.75" customHeight="1">
      <c r="A92" s="26" t="s">
        <v>180</v>
      </c>
      <c r="B92" s="29">
        <v>29</v>
      </c>
      <c r="C92" s="26" t="s">
        <v>59</v>
      </c>
      <c r="D92" s="26" t="s">
        <v>54</v>
      </c>
      <c r="E92" s="27" t="s">
        <v>85</v>
      </c>
      <c r="F92" s="26" t="s">
        <v>62</v>
      </c>
      <c r="G92" s="59">
        <v>5853885</v>
      </c>
      <c r="H92" s="29">
        <v>8</v>
      </c>
      <c r="I92" s="26" t="s">
        <v>57</v>
      </c>
      <c r="J92" s="26" t="s">
        <v>1095</v>
      </c>
    </row>
    <row r="93" spans="1:10" ht="15.75" customHeight="1">
      <c r="A93" s="26" t="s">
        <v>181</v>
      </c>
      <c r="B93" s="29">
        <v>26</v>
      </c>
      <c r="C93" s="26" t="s">
        <v>53</v>
      </c>
      <c r="D93" s="26" t="s">
        <v>60</v>
      </c>
      <c r="E93" s="27" t="s">
        <v>85</v>
      </c>
      <c r="F93" s="26" t="s">
        <v>137</v>
      </c>
      <c r="G93" s="59">
        <v>1683455</v>
      </c>
      <c r="H93" s="29">
        <v>10</v>
      </c>
      <c r="I93" s="26" t="s">
        <v>57</v>
      </c>
      <c r="J93" s="26" t="s">
        <v>1095</v>
      </c>
    </row>
    <row r="94" spans="1:10" ht="15.75" customHeight="1">
      <c r="A94" s="26" t="s">
        <v>182</v>
      </c>
      <c r="B94" s="29">
        <v>20</v>
      </c>
      <c r="C94" s="26" t="s">
        <v>53</v>
      </c>
      <c r="D94" s="26" t="s">
        <v>54</v>
      </c>
      <c r="E94" s="27" t="s">
        <v>85</v>
      </c>
      <c r="F94" s="26" t="s">
        <v>90</v>
      </c>
      <c r="G94" s="59">
        <v>5684935</v>
      </c>
      <c r="H94" s="29">
        <v>7</v>
      </c>
      <c r="I94" s="26" t="s">
        <v>67</v>
      </c>
      <c r="J94" s="26" t="s">
        <v>1096</v>
      </c>
    </row>
    <row r="95" spans="1:10" ht="15.75" customHeight="1">
      <c r="A95" s="26" t="s">
        <v>184</v>
      </c>
      <c r="B95" s="29">
        <v>31</v>
      </c>
      <c r="C95" s="26" t="s">
        <v>53</v>
      </c>
      <c r="D95" s="26" t="s">
        <v>60</v>
      </c>
      <c r="E95" s="27" t="s">
        <v>55</v>
      </c>
      <c r="F95" s="26" t="s">
        <v>167</v>
      </c>
      <c r="G95" s="59">
        <v>2759620</v>
      </c>
      <c r="H95" s="29">
        <v>5</v>
      </c>
      <c r="I95" s="26" t="s">
        <v>63</v>
      </c>
      <c r="J95" s="26" t="s">
        <v>1096</v>
      </c>
    </row>
    <row r="96" spans="1:10" ht="15.75" customHeight="1">
      <c r="A96" s="26" t="s">
        <v>185</v>
      </c>
      <c r="B96" s="29">
        <v>23</v>
      </c>
      <c r="C96" s="26" t="s">
        <v>53</v>
      </c>
      <c r="D96" s="26" t="s">
        <v>60</v>
      </c>
      <c r="E96" s="27" t="s">
        <v>85</v>
      </c>
      <c r="F96" s="26" t="s">
        <v>104</v>
      </c>
      <c r="G96" s="59">
        <v>7146895</v>
      </c>
      <c r="H96" s="29">
        <v>8</v>
      </c>
      <c r="I96" s="26" t="s">
        <v>63</v>
      </c>
      <c r="J96" s="26" t="s">
        <v>1095</v>
      </c>
    </row>
    <row r="97" spans="1:10" ht="15.75" customHeight="1">
      <c r="A97" s="26" t="s">
        <v>186</v>
      </c>
      <c r="B97" s="29">
        <v>19</v>
      </c>
      <c r="C97" s="26" t="s">
        <v>53</v>
      </c>
      <c r="D97" s="26" t="s">
        <v>60</v>
      </c>
      <c r="E97" s="27" t="s">
        <v>85</v>
      </c>
      <c r="F97" s="26" t="s">
        <v>92</v>
      </c>
      <c r="G97" s="59">
        <v>3272980</v>
      </c>
      <c r="H97" s="29">
        <v>5</v>
      </c>
      <c r="I97" s="26" t="s">
        <v>60</v>
      </c>
      <c r="J97" s="26" t="s">
        <v>1096</v>
      </c>
    </row>
    <row r="98" spans="1:10" ht="15.75" customHeight="1">
      <c r="A98" s="26" t="s">
        <v>187</v>
      </c>
      <c r="B98" s="29">
        <v>23</v>
      </c>
      <c r="C98" s="26" t="s">
        <v>53</v>
      </c>
      <c r="D98" s="26" t="s">
        <v>54</v>
      </c>
      <c r="E98" s="27" t="s">
        <v>61</v>
      </c>
      <c r="F98" s="26" t="s">
        <v>88</v>
      </c>
      <c r="G98" s="59">
        <v>6540225</v>
      </c>
      <c r="H98" s="29">
        <v>8</v>
      </c>
      <c r="I98" s="26" t="s">
        <v>63</v>
      </c>
      <c r="J98" s="26" t="s">
        <v>1096</v>
      </c>
    </row>
    <row r="99" spans="1:10" ht="15.75" customHeight="1">
      <c r="A99" s="26" t="s">
        <v>188</v>
      </c>
      <c r="B99" s="29">
        <v>49</v>
      </c>
      <c r="C99" s="26" t="s">
        <v>53</v>
      </c>
      <c r="D99" s="26" t="s">
        <v>54</v>
      </c>
      <c r="E99" s="27" t="s">
        <v>65</v>
      </c>
      <c r="F99" s="26" t="s">
        <v>71</v>
      </c>
      <c r="G99" s="59">
        <v>5868145</v>
      </c>
      <c r="H99" s="29">
        <v>5</v>
      </c>
      <c r="I99" s="26" t="s">
        <v>57</v>
      </c>
      <c r="J99" s="26" t="s">
        <v>1096</v>
      </c>
    </row>
    <row r="100" spans="1:10" ht="15.75" customHeight="1">
      <c r="A100" s="26" t="s">
        <v>189</v>
      </c>
      <c r="B100" s="29">
        <v>23</v>
      </c>
      <c r="C100" s="26" t="s">
        <v>53</v>
      </c>
      <c r="D100" s="26" t="s">
        <v>60</v>
      </c>
      <c r="E100" s="27" t="s">
        <v>65</v>
      </c>
      <c r="F100" s="26" t="s">
        <v>66</v>
      </c>
      <c r="G100" s="59">
        <v>4168415</v>
      </c>
      <c r="H100" s="29">
        <v>2</v>
      </c>
      <c r="I100" s="26" t="s">
        <v>63</v>
      </c>
      <c r="J100" s="26" t="s">
        <v>1096</v>
      </c>
    </row>
    <row r="101" spans="1:10" ht="15.75" customHeight="1">
      <c r="A101" s="26" t="s">
        <v>190</v>
      </c>
      <c r="B101" s="29">
        <v>42</v>
      </c>
      <c r="C101" s="26" t="s">
        <v>59</v>
      </c>
      <c r="D101" s="26" t="s">
        <v>54</v>
      </c>
      <c r="E101" s="27" t="s">
        <v>55</v>
      </c>
      <c r="F101" s="26" t="s">
        <v>90</v>
      </c>
      <c r="G101" s="59">
        <v>6895485</v>
      </c>
      <c r="H101" s="29">
        <v>11</v>
      </c>
      <c r="I101" s="26" t="s">
        <v>63</v>
      </c>
      <c r="J101" s="26" t="s">
        <v>1096</v>
      </c>
    </row>
    <row r="102" spans="1:10" ht="15.75" customHeight="1">
      <c r="A102" s="26" t="s">
        <v>191</v>
      </c>
      <c r="B102" s="29">
        <v>18</v>
      </c>
      <c r="C102" s="26" t="s">
        <v>53</v>
      </c>
      <c r="D102" s="26" t="s">
        <v>60</v>
      </c>
      <c r="E102" s="27" t="s">
        <v>73</v>
      </c>
      <c r="F102" s="26" t="s">
        <v>137</v>
      </c>
      <c r="G102" s="59">
        <v>2492710</v>
      </c>
      <c r="H102" s="29">
        <v>7</v>
      </c>
      <c r="I102" s="26" t="s">
        <v>60</v>
      </c>
      <c r="J102" s="26" t="s">
        <v>1095</v>
      </c>
    </row>
    <row r="103" spans="1:10" ht="15.75" customHeight="1">
      <c r="A103" s="26" t="s">
        <v>192</v>
      </c>
      <c r="B103" s="29">
        <v>35</v>
      </c>
      <c r="C103" s="26" t="s">
        <v>59</v>
      </c>
      <c r="D103" s="26" t="s">
        <v>60</v>
      </c>
      <c r="E103" s="27" t="s">
        <v>78</v>
      </c>
      <c r="F103" s="26" t="s">
        <v>92</v>
      </c>
      <c r="G103" s="59">
        <v>7659790</v>
      </c>
      <c r="H103" s="29">
        <v>6</v>
      </c>
      <c r="I103" s="26" t="s">
        <v>63</v>
      </c>
      <c r="J103" s="26" t="s">
        <v>1096</v>
      </c>
    </row>
    <row r="104" spans="1:10" ht="15.75" customHeight="1">
      <c r="A104" s="26" t="s">
        <v>193</v>
      </c>
      <c r="B104" s="29">
        <v>22</v>
      </c>
      <c r="C104" s="26" t="s">
        <v>59</v>
      </c>
      <c r="D104" s="26" t="s">
        <v>54</v>
      </c>
      <c r="E104" s="27" t="s">
        <v>55</v>
      </c>
      <c r="F104" s="26" t="s">
        <v>69</v>
      </c>
      <c r="G104" s="59">
        <v>2744275</v>
      </c>
      <c r="H104" s="29">
        <v>5</v>
      </c>
      <c r="I104" s="26" t="s">
        <v>57</v>
      </c>
      <c r="J104" s="26" t="s">
        <v>1095</v>
      </c>
    </row>
    <row r="105" spans="1:10" ht="15.75" customHeight="1">
      <c r="A105" s="26" t="s">
        <v>194</v>
      </c>
      <c r="B105" s="29">
        <v>28</v>
      </c>
      <c r="C105" s="26" t="s">
        <v>53</v>
      </c>
      <c r="D105" s="26" t="s">
        <v>54</v>
      </c>
      <c r="E105" s="27" t="s">
        <v>55</v>
      </c>
      <c r="F105" s="26" t="s">
        <v>62</v>
      </c>
      <c r="G105" s="59">
        <v>6985230</v>
      </c>
      <c r="H105" s="29">
        <v>7</v>
      </c>
      <c r="I105" s="26" t="s">
        <v>60</v>
      </c>
      <c r="J105" s="26" t="s">
        <v>1096</v>
      </c>
    </row>
    <row r="106" spans="1:10" ht="15.75" customHeight="1">
      <c r="A106" s="26" t="s">
        <v>195</v>
      </c>
      <c r="B106" s="29">
        <v>42</v>
      </c>
      <c r="C106" s="26" t="s">
        <v>53</v>
      </c>
      <c r="D106" s="26" t="s">
        <v>60</v>
      </c>
      <c r="E106" s="27" t="s">
        <v>55</v>
      </c>
      <c r="F106" s="26" t="s">
        <v>109</v>
      </c>
      <c r="G106" s="59">
        <v>2546185</v>
      </c>
      <c r="H106" s="29">
        <v>6</v>
      </c>
      <c r="I106" s="26" t="s">
        <v>60</v>
      </c>
      <c r="J106" s="26" t="s">
        <v>1095</v>
      </c>
    </row>
    <row r="107" spans="1:10" ht="15.75" customHeight="1">
      <c r="A107" s="26" t="s">
        <v>196</v>
      </c>
      <c r="B107" s="29">
        <v>37</v>
      </c>
      <c r="C107" s="26" t="s">
        <v>53</v>
      </c>
      <c r="D107" s="26" t="s">
        <v>54</v>
      </c>
      <c r="E107" s="27" t="s">
        <v>85</v>
      </c>
      <c r="F107" s="26" t="s">
        <v>62</v>
      </c>
      <c r="G107" s="59">
        <v>5368580</v>
      </c>
      <c r="H107" s="29">
        <v>12</v>
      </c>
      <c r="I107" s="26" t="s">
        <v>63</v>
      </c>
      <c r="J107" s="26" t="s">
        <v>1096</v>
      </c>
    </row>
    <row r="108" spans="1:10" ht="15.75" customHeight="1">
      <c r="A108" s="26" t="s">
        <v>197</v>
      </c>
      <c r="B108" s="29">
        <v>33</v>
      </c>
      <c r="C108" s="26" t="s">
        <v>53</v>
      </c>
      <c r="D108" s="26" t="s">
        <v>54</v>
      </c>
      <c r="E108" s="27" t="s">
        <v>78</v>
      </c>
      <c r="F108" s="26" t="s">
        <v>88</v>
      </c>
      <c r="G108" s="59">
        <v>5855435</v>
      </c>
      <c r="H108" s="29">
        <v>9</v>
      </c>
      <c r="I108" s="26" t="s">
        <v>63</v>
      </c>
      <c r="J108" s="26" t="s">
        <v>1095</v>
      </c>
    </row>
    <row r="109" spans="1:10" ht="15.75" customHeight="1">
      <c r="A109" s="26" t="s">
        <v>198</v>
      </c>
      <c r="B109" s="29">
        <v>46</v>
      </c>
      <c r="C109" s="26" t="s">
        <v>53</v>
      </c>
      <c r="D109" s="26" t="s">
        <v>54</v>
      </c>
      <c r="E109" s="27" t="s">
        <v>65</v>
      </c>
      <c r="F109" s="26" t="s">
        <v>1094</v>
      </c>
      <c r="G109" s="59">
        <v>2532855</v>
      </c>
      <c r="H109" s="29">
        <v>2</v>
      </c>
      <c r="I109" s="26" t="s">
        <v>67</v>
      </c>
      <c r="J109" s="26" t="s">
        <v>1095</v>
      </c>
    </row>
    <row r="110" spans="1:10" ht="15.75" customHeight="1">
      <c r="A110" s="26" t="s">
        <v>199</v>
      </c>
      <c r="B110" s="29">
        <v>30</v>
      </c>
      <c r="C110" s="26" t="s">
        <v>53</v>
      </c>
      <c r="D110" s="26" t="s">
        <v>54</v>
      </c>
      <c r="E110" s="27" t="s">
        <v>61</v>
      </c>
      <c r="F110" s="26" t="s">
        <v>92</v>
      </c>
      <c r="G110" s="59">
        <v>7247490</v>
      </c>
      <c r="H110" s="29">
        <v>10</v>
      </c>
      <c r="I110" s="26" t="s">
        <v>57</v>
      </c>
      <c r="J110" s="26" t="s">
        <v>1095</v>
      </c>
    </row>
    <row r="111" spans="1:10" ht="15.75" customHeight="1">
      <c r="A111" s="26" t="s">
        <v>200</v>
      </c>
      <c r="B111" s="29">
        <v>39</v>
      </c>
      <c r="C111" s="26" t="s">
        <v>53</v>
      </c>
      <c r="D111" s="26" t="s">
        <v>54</v>
      </c>
      <c r="E111" s="27" t="s">
        <v>61</v>
      </c>
      <c r="F111" s="26" t="s">
        <v>76</v>
      </c>
      <c r="G111" s="59">
        <v>3836405</v>
      </c>
      <c r="H111" s="29">
        <v>10</v>
      </c>
      <c r="I111" s="26" t="s">
        <v>67</v>
      </c>
      <c r="J111" s="26" t="s">
        <v>1095</v>
      </c>
    </row>
    <row r="112" spans="1:10" ht="15.75" customHeight="1">
      <c r="A112" s="26" t="s">
        <v>201</v>
      </c>
      <c r="B112" s="29">
        <v>25</v>
      </c>
      <c r="C112" s="26" t="s">
        <v>53</v>
      </c>
      <c r="D112" s="26" t="s">
        <v>54</v>
      </c>
      <c r="E112" s="27" t="s">
        <v>65</v>
      </c>
      <c r="F112" s="26" t="s">
        <v>66</v>
      </c>
      <c r="G112" s="59">
        <v>5659050</v>
      </c>
      <c r="H112" s="29">
        <v>3</v>
      </c>
      <c r="I112" s="26" t="s">
        <v>57</v>
      </c>
      <c r="J112" s="26" t="s">
        <v>1096</v>
      </c>
    </row>
    <row r="113" spans="1:10" ht="15.75" customHeight="1">
      <c r="A113" s="26" t="s">
        <v>202</v>
      </c>
      <c r="B113" s="29">
        <v>38</v>
      </c>
      <c r="C113" s="26" t="s">
        <v>53</v>
      </c>
      <c r="D113" s="26" t="s">
        <v>60</v>
      </c>
      <c r="E113" s="27" t="s">
        <v>73</v>
      </c>
      <c r="F113" s="26" t="s">
        <v>90</v>
      </c>
      <c r="G113" s="59">
        <v>7524010</v>
      </c>
      <c r="H113" s="29">
        <v>5</v>
      </c>
      <c r="I113" s="26" t="s">
        <v>60</v>
      </c>
      <c r="J113" s="26" t="s">
        <v>1095</v>
      </c>
    </row>
    <row r="114" spans="1:10" ht="15.75" customHeight="1">
      <c r="A114" s="26" t="s">
        <v>203</v>
      </c>
      <c r="B114" s="29">
        <v>41</v>
      </c>
      <c r="C114" s="26" t="s">
        <v>53</v>
      </c>
      <c r="D114" s="26" t="s">
        <v>54</v>
      </c>
      <c r="E114" s="27" t="s">
        <v>85</v>
      </c>
      <c r="F114" s="26" t="s">
        <v>90</v>
      </c>
      <c r="G114" s="59">
        <v>3883370</v>
      </c>
      <c r="H114" s="29">
        <v>4</v>
      </c>
      <c r="I114" s="26" t="s">
        <v>60</v>
      </c>
      <c r="J114" s="26" t="s">
        <v>1096</v>
      </c>
    </row>
    <row r="115" spans="1:10" ht="15.75" customHeight="1">
      <c r="A115" s="26" t="s">
        <v>204</v>
      </c>
      <c r="B115" s="29">
        <v>49</v>
      </c>
      <c r="C115" s="26" t="s">
        <v>53</v>
      </c>
      <c r="D115" s="26" t="s">
        <v>54</v>
      </c>
      <c r="E115" s="27" t="s">
        <v>85</v>
      </c>
      <c r="F115" s="26" t="s">
        <v>167</v>
      </c>
      <c r="G115" s="59">
        <v>2528670</v>
      </c>
      <c r="H115" s="29">
        <v>0</v>
      </c>
      <c r="I115" s="26" t="s">
        <v>67</v>
      </c>
      <c r="J115" s="26" t="s">
        <v>1095</v>
      </c>
    </row>
    <row r="116" spans="1:10" ht="15.75" customHeight="1">
      <c r="A116" s="26" t="s">
        <v>205</v>
      </c>
      <c r="B116" s="29">
        <v>21</v>
      </c>
      <c r="C116" s="26" t="s">
        <v>59</v>
      </c>
      <c r="D116" s="26" t="s">
        <v>60</v>
      </c>
      <c r="E116" s="27" t="s">
        <v>55</v>
      </c>
      <c r="F116" s="26" t="s">
        <v>56</v>
      </c>
      <c r="G116" s="59">
        <v>2515805</v>
      </c>
      <c r="H116" s="29">
        <v>8</v>
      </c>
      <c r="I116" s="26" t="s">
        <v>60</v>
      </c>
      <c r="J116" s="26" t="s">
        <v>1096</v>
      </c>
    </row>
    <row r="117" spans="1:10" ht="15.75" customHeight="1">
      <c r="A117" s="26" t="s">
        <v>206</v>
      </c>
      <c r="B117" s="29">
        <v>37</v>
      </c>
      <c r="C117" s="26" t="s">
        <v>59</v>
      </c>
      <c r="D117" s="26" t="s">
        <v>54</v>
      </c>
      <c r="E117" s="27" t="s">
        <v>55</v>
      </c>
      <c r="F117" s="26" t="s">
        <v>66</v>
      </c>
      <c r="G117" s="59">
        <v>5087255</v>
      </c>
      <c r="H117" s="29">
        <v>7</v>
      </c>
      <c r="I117" s="26" t="s">
        <v>67</v>
      </c>
      <c r="J117" s="26" t="s">
        <v>1096</v>
      </c>
    </row>
    <row r="118" spans="1:10" ht="15.75" customHeight="1">
      <c r="A118" s="26" t="s">
        <v>207</v>
      </c>
      <c r="B118" s="29">
        <v>30</v>
      </c>
      <c r="C118" s="26" t="s">
        <v>53</v>
      </c>
      <c r="D118" s="26" t="s">
        <v>60</v>
      </c>
      <c r="E118" s="27" t="s">
        <v>85</v>
      </c>
      <c r="F118" s="26" t="s">
        <v>80</v>
      </c>
      <c r="G118" s="59">
        <v>4163145</v>
      </c>
      <c r="H118" s="29">
        <v>4</v>
      </c>
      <c r="I118" s="26" t="s">
        <v>60</v>
      </c>
      <c r="J118" s="26" t="s">
        <v>1095</v>
      </c>
    </row>
    <row r="119" spans="1:10" ht="15.75" customHeight="1">
      <c r="A119" s="26" t="s">
        <v>208</v>
      </c>
      <c r="B119" s="29">
        <v>18</v>
      </c>
      <c r="C119" s="26" t="s">
        <v>53</v>
      </c>
      <c r="D119" s="26" t="s">
        <v>60</v>
      </c>
      <c r="E119" s="27" t="s">
        <v>61</v>
      </c>
      <c r="F119" s="26" t="s">
        <v>98</v>
      </c>
      <c r="G119" s="59">
        <v>3989235</v>
      </c>
      <c r="H119" s="29">
        <v>7</v>
      </c>
      <c r="I119" s="26" t="s">
        <v>63</v>
      </c>
      <c r="J119" s="26" t="s">
        <v>1095</v>
      </c>
    </row>
    <row r="120" spans="1:10" ht="15.75" customHeight="1">
      <c r="A120" s="26" t="s">
        <v>209</v>
      </c>
      <c r="B120" s="29">
        <v>41</v>
      </c>
      <c r="C120" s="26" t="s">
        <v>53</v>
      </c>
      <c r="D120" s="26" t="s">
        <v>54</v>
      </c>
      <c r="E120" s="27" t="s">
        <v>55</v>
      </c>
      <c r="F120" s="26" t="s">
        <v>66</v>
      </c>
      <c r="G120" s="59">
        <v>3185095</v>
      </c>
      <c r="H120" s="29">
        <v>4</v>
      </c>
      <c r="I120" s="26" t="s">
        <v>67</v>
      </c>
      <c r="J120" s="26" t="s">
        <v>1095</v>
      </c>
    </row>
    <row r="121" spans="1:10" ht="15.75" customHeight="1">
      <c r="A121" s="26" t="s">
        <v>210</v>
      </c>
      <c r="B121" s="29">
        <v>40</v>
      </c>
      <c r="C121" s="26" t="s">
        <v>59</v>
      </c>
      <c r="D121" s="26" t="s">
        <v>60</v>
      </c>
      <c r="E121" s="27" t="s">
        <v>85</v>
      </c>
      <c r="F121" s="26" t="s">
        <v>82</v>
      </c>
      <c r="G121" s="59">
        <v>6322605</v>
      </c>
      <c r="H121" s="29">
        <v>7</v>
      </c>
      <c r="I121" s="26" t="s">
        <v>67</v>
      </c>
      <c r="J121" s="26" t="s">
        <v>1095</v>
      </c>
    </row>
    <row r="122" spans="1:10" ht="15.75" customHeight="1">
      <c r="A122" s="26" t="s">
        <v>211</v>
      </c>
      <c r="B122" s="29">
        <v>33</v>
      </c>
      <c r="C122" s="26" t="s">
        <v>53</v>
      </c>
      <c r="D122" s="26" t="s">
        <v>60</v>
      </c>
      <c r="E122" s="27" t="s">
        <v>85</v>
      </c>
      <c r="F122" s="26" t="s">
        <v>62</v>
      </c>
      <c r="G122" s="59">
        <v>3948315</v>
      </c>
      <c r="H122" s="29">
        <v>6</v>
      </c>
      <c r="I122" s="26" t="s">
        <v>63</v>
      </c>
      <c r="J122" s="26" t="s">
        <v>1095</v>
      </c>
    </row>
    <row r="123" spans="1:10" ht="15.75" customHeight="1">
      <c r="A123" s="26" t="s">
        <v>212</v>
      </c>
      <c r="B123" s="29">
        <v>30</v>
      </c>
      <c r="C123" s="26" t="s">
        <v>53</v>
      </c>
      <c r="D123" s="26" t="s">
        <v>54</v>
      </c>
      <c r="E123" s="27" t="s">
        <v>55</v>
      </c>
      <c r="F123" s="26" t="s">
        <v>134</v>
      </c>
      <c r="G123" s="59">
        <v>6165590</v>
      </c>
      <c r="H123" s="29">
        <v>12</v>
      </c>
      <c r="I123" s="26" t="s">
        <v>63</v>
      </c>
      <c r="J123" s="26" t="s">
        <v>1096</v>
      </c>
    </row>
    <row r="124" spans="1:10" ht="15.75" customHeight="1">
      <c r="A124" s="26" t="s">
        <v>213</v>
      </c>
      <c r="B124" s="29">
        <v>33</v>
      </c>
      <c r="C124" s="26" t="s">
        <v>53</v>
      </c>
      <c r="D124" s="26" t="s">
        <v>60</v>
      </c>
      <c r="E124" s="27" t="s">
        <v>85</v>
      </c>
      <c r="F124" s="26" t="s">
        <v>98</v>
      </c>
      <c r="G124" s="59">
        <v>4731995</v>
      </c>
      <c r="H124" s="29">
        <v>3</v>
      </c>
      <c r="I124" s="26" t="s">
        <v>63</v>
      </c>
      <c r="J124" s="26" t="s">
        <v>1095</v>
      </c>
    </row>
    <row r="125" spans="1:10" ht="15.75" customHeight="1">
      <c r="A125" s="26" t="s">
        <v>214</v>
      </c>
      <c r="B125" s="29">
        <v>45</v>
      </c>
      <c r="C125" s="26" t="s">
        <v>59</v>
      </c>
      <c r="D125" s="26" t="s">
        <v>54</v>
      </c>
      <c r="E125" s="27" t="s">
        <v>73</v>
      </c>
      <c r="F125" s="26" t="s">
        <v>62</v>
      </c>
      <c r="G125" s="59">
        <v>3996830</v>
      </c>
      <c r="H125" s="29">
        <v>6</v>
      </c>
      <c r="I125" s="26" t="s">
        <v>57</v>
      </c>
      <c r="J125" s="26" t="s">
        <v>1095</v>
      </c>
    </row>
    <row r="126" spans="1:10" ht="15.75" customHeight="1">
      <c r="A126" s="26" t="s">
        <v>215</v>
      </c>
      <c r="B126" s="29">
        <v>42</v>
      </c>
      <c r="C126" s="26" t="s">
        <v>53</v>
      </c>
      <c r="D126" s="26" t="s">
        <v>60</v>
      </c>
      <c r="E126" s="27" t="s">
        <v>65</v>
      </c>
      <c r="F126" s="26" t="s">
        <v>167</v>
      </c>
      <c r="G126" s="59">
        <v>6098475</v>
      </c>
      <c r="H126" s="29">
        <v>12</v>
      </c>
      <c r="I126" s="26" t="s">
        <v>67</v>
      </c>
      <c r="J126" s="26" t="s">
        <v>1096</v>
      </c>
    </row>
    <row r="127" spans="1:10" ht="15.75" customHeight="1">
      <c r="A127" s="26" t="s">
        <v>216</v>
      </c>
      <c r="B127" s="29">
        <v>30</v>
      </c>
      <c r="C127" s="26" t="s">
        <v>59</v>
      </c>
      <c r="D127" s="26" t="s">
        <v>60</v>
      </c>
      <c r="E127" s="27" t="s">
        <v>65</v>
      </c>
      <c r="F127" s="26" t="s">
        <v>113</v>
      </c>
      <c r="G127" s="59">
        <v>906595</v>
      </c>
      <c r="H127" s="29">
        <v>6</v>
      </c>
      <c r="I127" s="26" t="s">
        <v>63</v>
      </c>
      <c r="J127" s="26" t="s">
        <v>1095</v>
      </c>
    </row>
    <row r="128" spans="1:10" ht="15.75" customHeight="1">
      <c r="A128" s="26" t="s">
        <v>217</v>
      </c>
      <c r="B128" s="29">
        <v>42</v>
      </c>
      <c r="C128" s="26" t="s">
        <v>59</v>
      </c>
      <c r="D128" s="26" t="s">
        <v>54</v>
      </c>
      <c r="E128" s="27" t="s">
        <v>73</v>
      </c>
      <c r="F128" s="26" t="s">
        <v>137</v>
      </c>
      <c r="G128" s="59">
        <v>3510440</v>
      </c>
      <c r="H128" s="29">
        <v>11</v>
      </c>
      <c r="I128" s="26" t="s">
        <v>57</v>
      </c>
      <c r="J128" s="26" t="s">
        <v>1095</v>
      </c>
    </row>
    <row r="129" spans="1:10" ht="15.75" customHeight="1">
      <c r="A129" s="26" t="s">
        <v>218</v>
      </c>
      <c r="B129" s="29">
        <v>26</v>
      </c>
      <c r="C129" s="26" t="s">
        <v>53</v>
      </c>
      <c r="D129" s="26" t="s">
        <v>60</v>
      </c>
      <c r="E129" s="27" t="s">
        <v>85</v>
      </c>
      <c r="F129" s="26" t="s">
        <v>90</v>
      </c>
      <c r="G129" s="59">
        <v>7272910</v>
      </c>
      <c r="H129" s="29">
        <v>6</v>
      </c>
      <c r="I129" s="26" t="s">
        <v>60</v>
      </c>
      <c r="J129" s="26" t="s">
        <v>1096</v>
      </c>
    </row>
    <row r="130" spans="1:10" ht="15.75" customHeight="1">
      <c r="A130" s="26" t="s">
        <v>219</v>
      </c>
      <c r="B130" s="29">
        <v>42</v>
      </c>
      <c r="C130" s="26" t="s">
        <v>53</v>
      </c>
      <c r="D130" s="26" t="s">
        <v>60</v>
      </c>
      <c r="E130" s="27" t="s">
        <v>85</v>
      </c>
      <c r="F130" s="26" t="s">
        <v>167</v>
      </c>
      <c r="G130" s="59">
        <v>5197460</v>
      </c>
      <c r="H130" s="29">
        <v>6</v>
      </c>
      <c r="I130" s="26" t="s">
        <v>57</v>
      </c>
      <c r="J130" s="26" t="s">
        <v>1095</v>
      </c>
    </row>
    <row r="131" spans="1:10" ht="15.75" customHeight="1">
      <c r="A131" s="26" t="s">
        <v>220</v>
      </c>
      <c r="B131" s="29">
        <v>31</v>
      </c>
      <c r="C131" s="26" t="s">
        <v>59</v>
      </c>
      <c r="D131" s="26" t="s">
        <v>60</v>
      </c>
      <c r="E131" s="27" t="s">
        <v>73</v>
      </c>
      <c r="F131" s="26" t="s">
        <v>88</v>
      </c>
      <c r="G131" s="59">
        <v>2863470</v>
      </c>
      <c r="H131" s="29">
        <v>5</v>
      </c>
      <c r="I131" s="26" t="s">
        <v>63</v>
      </c>
      <c r="J131" s="26" t="s">
        <v>1096</v>
      </c>
    </row>
    <row r="132" spans="1:10" ht="15.75" customHeight="1">
      <c r="A132" s="26" t="s">
        <v>221</v>
      </c>
      <c r="B132" s="29">
        <v>37</v>
      </c>
      <c r="C132" s="26" t="s">
        <v>59</v>
      </c>
      <c r="D132" s="26" t="s">
        <v>60</v>
      </c>
      <c r="E132" s="27" t="s">
        <v>65</v>
      </c>
      <c r="F132" s="26" t="s">
        <v>1094</v>
      </c>
      <c r="G132" s="59">
        <v>6853790</v>
      </c>
      <c r="H132" s="29">
        <v>5</v>
      </c>
      <c r="I132" s="26" t="s">
        <v>57</v>
      </c>
      <c r="J132" s="26" t="s">
        <v>1096</v>
      </c>
    </row>
    <row r="133" spans="1:10" ht="15.75" customHeight="1">
      <c r="A133" s="26" t="s">
        <v>222</v>
      </c>
      <c r="B133" s="29">
        <v>49</v>
      </c>
      <c r="C133" s="26" t="s">
        <v>59</v>
      </c>
      <c r="D133" s="26" t="s">
        <v>60</v>
      </c>
      <c r="E133" s="27" t="s">
        <v>55</v>
      </c>
      <c r="F133" s="26" t="s">
        <v>113</v>
      </c>
      <c r="G133" s="59">
        <v>6620050</v>
      </c>
      <c r="H133" s="29">
        <v>8</v>
      </c>
      <c r="I133" s="26" t="s">
        <v>60</v>
      </c>
      <c r="J133" s="26" t="s">
        <v>1096</v>
      </c>
    </row>
    <row r="134" spans="1:10" ht="15.75" customHeight="1">
      <c r="A134" s="26" t="s">
        <v>223</v>
      </c>
      <c r="B134" s="29">
        <v>34</v>
      </c>
      <c r="C134" s="26" t="s">
        <v>59</v>
      </c>
      <c r="D134" s="26" t="s">
        <v>60</v>
      </c>
      <c r="E134" s="27" t="s">
        <v>85</v>
      </c>
      <c r="F134" s="26" t="s">
        <v>69</v>
      </c>
      <c r="G134" s="59">
        <v>5065710</v>
      </c>
      <c r="H134" s="29">
        <v>4</v>
      </c>
      <c r="I134" s="26" t="s">
        <v>60</v>
      </c>
      <c r="J134" s="26" t="s">
        <v>1095</v>
      </c>
    </row>
    <row r="135" spans="1:10" ht="15.75" customHeight="1">
      <c r="A135" s="26" t="s">
        <v>224</v>
      </c>
      <c r="B135" s="29">
        <v>41</v>
      </c>
      <c r="C135" s="26" t="s">
        <v>59</v>
      </c>
      <c r="D135" s="26" t="s">
        <v>60</v>
      </c>
      <c r="E135" s="27" t="s">
        <v>78</v>
      </c>
      <c r="F135" s="26" t="s">
        <v>92</v>
      </c>
      <c r="G135" s="59">
        <v>1534035</v>
      </c>
      <c r="H135" s="29">
        <v>12</v>
      </c>
      <c r="I135" s="26" t="s">
        <v>57</v>
      </c>
      <c r="J135" s="26" t="s">
        <v>1095</v>
      </c>
    </row>
    <row r="136" spans="1:10" ht="15.75" customHeight="1">
      <c r="A136" s="26" t="s">
        <v>226</v>
      </c>
      <c r="B136" s="29">
        <v>33</v>
      </c>
      <c r="C136" s="26" t="s">
        <v>59</v>
      </c>
      <c r="D136" s="26" t="s">
        <v>60</v>
      </c>
      <c r="E136" s="27" t="s">
        <v>73</v>
      </c>
      <c r="F136" s="26" t="s">
        <v>90</v>
      </c>
      <c r="G136" s="59">
        <v>1203575</v>
      </c>
      <c r="H136" s="29">
        <v>6</v>
      </c>
      <c r="I136" s="26" t="s">
        <v>63</v>
      </c>
      <c r="J136" s="26" t="s">
        <v>1095</v>
      </c>
    </row>
    <row r="137" spans="1:10" ht="15.75" customHeight="1">
      <c r="A137" s="26" t="s">
        <v>227</v>
      </c>
      <c r="B137" s="29">
        <v>47</v>
      </c>
      <c r="C137" s="26" t="s">
        <v>53</v>
      </c>
      <c r="D137" s="26" t="s">
        <v>54</v>
      </c>
      <c r="E137" s="27" t="s">
        <v>85</v>
      </c>
      <c r="F137" s="26" t="s">
        <v>98</v>
      </c>
      <c r="G137" s="59">
        <v>1326955</v>
      </c>
      <c r="H137" s="29">
        <v>2</v>
      </c>
      <c r="I137" s="26" t="s">
        <v>60</v>
      </c>
      <c r="J137" s="26" t="s">
        <v>1095</v>
      </c>
    </row>
    <row r="138" spans="1:10" ht="15.75" customHeight="1">
      <c r="A138" s="26" t="s">
        <v>228</v>
      </c>
      <c r="B138" s="29">
        <v>47</v>
      </c>
      <c r="C138" s="26" t="s">
        <v>59</v>
      </c>
      <c r="D138" s="26" t="s">
        <v>60</v>
      </c>
      <c r="E138" s="27" t="s">
        <v>61</v>
      </c>
      <c r="F138" s="26" t="s">
        <v>62</v>
      </c>
      <c r="G138" s="59">
        <v>2554245</v>
      </c>
      <c r="H138" s="29">
        <v>4</v>
      </c>
      <c r="I138" s="26" t="s">
        <v>57</v>
      </c>
      <c r="J138" s="26" t="s">
        <v>1095</v>
      </c>
    </row>
    <row r="139" spans="1:10" ht="15.75" customHeight="1">
      <c r="A139" s="26" t="s">
        <v>229</v>
      </c>
      <c r="B139" s="29">
        <v>29</v>
      </c>
      <c r="C139" s="26" t="s">
        <v>53</v>
      </c>
      <c r="D139" s="26" t="s">
        <v>60</v>
      </c>
      <c r="E139" s="27" t="s">
        <v>78</v>
      </c>
      <c r="F139" s="26" t="s">
        <v>113</v>
      </c>
      <c r="G139" s="59">
        <v>3649630</v>
      </c>
      <c r="H139" s="29">
        <v>10</v>
      </c>
      <c r="I139" s="26" t="s">
        <v>57</v>
      </c>
      <c r="J139" s="26" t="s">
        <v>1096</v>
      </c>
    </row>
    <row r="140" spans="1:10" ht="15.75" customHeight="1">
      <c r="A140" s="26" t="s">
        <v>230</v>
      </c>
      <c r="B140" s="29">
        <v>36</v>
      </c>
      <c r="C140" s="26" t="s">
        <v>53</v>
      </c>
      <c r="D140" s="26" t="s">
        <v>60</v>
      </c>
      <c r="E140" s="27" t="s">
        <v>55</v>
      </c>
      <c r="F140" s="26" t="s">
        <v>76</v>
      </c>
      <c r="G140" s="59">
        <v>3799670</v>
      </c>
      <c r="H140" s="29">
        <v>4</v>
      </c>
      <c r="I140" s="26" t="s">
        <v>60</v>
      </c>
      <c r="J140" s="26" t="s">
        <v>1095</v>
      </c>
    </row>
    <row r="141" spans="1:10" ht="15.75" customHeight="1">
      <c r="A141" s="26" t="s">
        <v>231</v>
      </c>
      <c r="B141" s="29">
        <v>43</v>
      </c>
      <c r="C141" s="26" t="s">
        <v>59</v>
      </c>
      <c r="D141" s="26" t="s">
        <v>60</v>
      </c>
      <c r="E141" s="27" t="s">
        <v>55</v>
      </c>
      <c r="F141" s="26" t="s">
        <v>104</v>
      </c>
      <c r="G141" s="59">
        <v>6818605</v>
      </c>
      <c r="H141" s="29">
        <v>5</v>
      </c>
      <c r="I141" s="26" t="s">
        <v>67</v>
      </c>
      <c r="J141" s="26" t="s">
        <v>1096</v>
      </c>
    </row>
    <row r="142" spans="1:10" ht="15.75" customHeight="1">
      <c r="A142" s="26" t="s">
        <v>232</v>
      </c>
      <c r="B142" s="29">
        <v>31</v>
      </c>
      <c r="C142" s="26" t="s">
        <v>59</v>
      </c>
      <c r="D142" s="26" t="s">
        <v>60</v>
      </c>
      <c r="E142" s="27" t="s">
        <v>65</v>
      </c>
      <c r="F142" s="26" t="s">
        <v>69</v>
      </c>
      <c r="G142" s="59">
        <v>4792910</v>
      </c>
      <c r="H142" s="29">
        <v>0</v>
      </c>
      <c r="I142" s="26" t="s">
        <v>67</v>
      </c>
      <c r="J142" s="26" t="s">
        <v>1096</v>
      </c>
    </row>
    <row r="143" spans="1:10" ht="15.75" customHeight="1">
      <c r="A143" s="26" t="s">
        <v>233</v>
      </c>
      <c r="B143" s="29">
        <v>27</v>
      </c>
      <c r="C143" s="26" t="s">
        <v>59</v>
      </c>
      <c r="D143" s="26" t="s">
        <v>54</v>
      </c>
      <c r="E143" s="27" t="s">
        <v>65</v>
      </c>
      <c r="F143" s="26" t="s">
        <v>121</v>
      </c>
      <c r="G143" s="59">
        <v>2272145</v>
      </c>
      <c r="H143" s="29">
        <v>10</v>
      </c>
      <c r="I143" s="26" t="s">
        <v>67</v>
      </c>
      <c r="J143" s="26" t="s">
        <v>1096</v>
      </c>
    </row>
    <row r="144" spans="1:10" ht="15.75" customHeight="1">
      <c r="A144" s="26" t="s">
        <v>234</v>
      </c>
      <c r="B144" s="29">
        <v>48</v>
      </c>
      <c r="C144" s="26" t="s">
        <v>59</v>
      </c>
      <c r="D144" s="26" t="s">
        <v>54</v>
      </c>
      <c r="E144" s="27" t="s">
        <v>61</v>
      </c>
      <c r="F144" s="26" t="s">
        <v>92</v>
      </c>
      <c r="G144" s="59">
        <v>4630315</v>
      </c>
      <c r="H144" s="29">
        <v>4</v>
      </c>
      <c r="I144" s="26" t="s">
        <v>60</v>
      </c>
      <c r="J144" s="26" t="s">
        <v>1096</v>
      </c>
    </row>
    <row r="145" spans="1:10" ht="15.75" customHeight="1">
      <c r="A145" s="26" t="s">
        <v>235</v>
      </c>
      <c r="B145" s="29">
        <v>19</v>
      </c>
      <c r="C145" s="26" t="s">
        <v>59</v>
      </c>
      <c r="D145" s="26" t="s">
        <v>60</v>
      </c>
      <c r="E145" s="27" t="s">
        <v>73</v>
      </c>
      <c r="F145" s="26" t="s">
        <v>62</v>
      </c>
      <c r="G145" s="59">
        <v>6122655</v>
      </c>
      <c r="H145" s="29">
        <v>2</v>
      </c>
      <c r="I145" s="26" t="s">
        <v>63</v>
      </c>
      <c r="J145" s="26" t="s">
        <v>1095</v>
      </c>
    </row>
    <row r="146" spans="1:10" ht="15.75" customHeight="1">
      <c r="A146" s="26" t="s">
        <v>236</v>
      </c>
      <c r="B146" s="29">
        <v>41</v>
      </c>
      <c r="C146" s="26" t="s">
        <v>59</v>
      </c>
      <c r="D146" s="26" t="s">
        <v>54</v>
      </c>
      <c r="E146" s="27" t="s">
        <v>85</v>
      </c>
      <c r="F146" s="26" t="s">
        <v>98</v>
      </c>
      <c r="G146" s="59">
        <v>5753445</v>
      </c>
      <c r="H146" s="29">
        <v>10</v>
      </c>
      <c r="I146" s="26" t="s">
        <v>60</v>
      </c>
      <c r="J146" s="26" t="s">
        <v>1096</v>
      </c>
    </row>
    <row r="147" spans="1:10" ht="15.75" customHeight="1">
      <c r="A147" s="26" t="s">
        <v>237</v>
      </c>
      <c r="B147" s="29">
        <v>33</v>
      </c>
      <c r="C147" s="26" t="s">
        <v>53</v>
      </c>
      <c r="D147" s="26" t="s">
        <v>54</v>
      </c>
      <c r="E147" s="27" t="s">
        <v>61</v>
      </c>
      <c r="F147" s="26" t="s">
        <v>98</v>
      </c>
      <c r="G147" s="59">
        <v>3003280</v>
      </c>
      <c r="H147" s="29">
        <v>10</v>
      </c>
      <c r="I147" s="26" t="s">
        <v>63</v>
      </c>
      <c r="J147" s="26" t="s">
        <v>1096</v>
      </c>
    </row>
    <row r="148" spans="1:10" ht="15.75" customHeight="1">
      <c r="A148" s="26" t="s">
        <v>238</v>
      </c>
      <c r="B148" s="29">
        <v>43</v>
      </c>
      <c r="C148" s="26" t="s">
        <v>59</v>
      </c>
      <c r="D148" s="26" t="s">
        <v>54</v>
      </c>
      <c r="E148" s="27" t="s">
        <v>65</v>
      </c>
      <c r="F148" s="26" t="s">
        <v>102</v>
      </c>
      <c r="G148" s="59">
        <v>6576185</v>
      </c>
      <c r="H148" s="29">
        <v>6</v>
      </c>
      <c r="I148" s="26" t="s">
        <v>57</v>
      </c>
      <c r="J148" s="26" t="s">
        <v>1095</v>
      </c>
    </row>
    <row r="149" spans="1:10" ht="15.75" customHeight="1">
      <c r="A149" s="26" t="s">
        <v>239</v>
      </c>
      <c r="B149" s="29">
        <v>38</v>
      </c>
      <c r="C149" s="26" t="s">
        <v>59</v>
      </c>
      <c r="D149" s="26" t="s">
        <v>60</v>
      </c>
      <c r="E149" s="27" t="s">
        <v>65</v>
      </c>
      <c r="F149" s="26" t="s">
        <v>167</v>
      </c>
      <c r="G149" s="59">
        <v>7689705</v>
      </c>
      <c r="H149" s="29">
        <v>2</v>
      </c>
      <c r="I149" s="26" t="s">
        <v>60</v>
      </c>
      <c r="J149" s="26" t="s">
        <v>1095</v>
      </c>
    </row>
    <row r="150" spans="1:10" ht="15.75" customHeight="1">
      <c r="A150" s="26" t="s">
        <v>240</v>
      </c>
      <c r="B150" s="29">
        <v>41</v>
      </c>
      <c r="C150" s="26" t="s">
        <v>59</v>
      </c>
      <c r="D150" s="26" t="s">
        <v>60</v>
      </c>
      <c r="E150" s="27" t="s">
        <v>85</v>
      </c>
      <c r="F150" s="26" t="s">
        <v>102</v>
      </c>
      <c r="G150" s="59">
        <v>5299605</v>
      </c>
      <c r="H150" s="29">
        <v>3</v>
      </c>
      <c r="I150" s="26" t="s">
        <v>67</v>
      </c>
      <c r="J150" s="26" t="s">
        <v>1096</v>
      </c>
    </row>
    <row r="151" spans="1:10" ht="15.75" customHeight="1">
      <c r="A151" s="26" t="s">
        <v>241</v>
      </c>
      <c r="B151" s="29">
        <v>40</v>
      </c>
      <c r="C151" s="26" t="s">
        <v>59</v>
      </c>
      <c r="D151" s="26" t="s">
        <v>60</v>
      </c>
      <c r="E151" s="27" t="s">
        <v>65</v>
      </c>
      <c r="F151" s="26" t="s">
        <v>56</v>
      </c>
      <c r="G151" s="59">
        <v>1978730</v>
      </c>
      <c r="H151" s="29">
        <v>11</v>
      </c>
      <c r="I151" s="26" t="s">
        <v>67</v>
      </c>
      <c r="J151" s="26" t="s">
        <v>1096</v>
      </c>
    </row>
    <row r="152" spans="1:10" ht="15.75" customHeight="1">
      <c r="A152" s="26" t="s">
        <v>242</v>
      </c>
      <c r="B152" s="29">
        <v>47</v>
      </c>
      <c r="C152" s="26" t="s">
        <v>53</v>
      </c>
      <c r="D152" s="26" t="s">
        <v>54</v>
      </c>
      <c r="E152" s="27" t="s">
        <v>85</v>
      </c>
      <c r="F152" s="26" t="s">
        <v>100</v>
      </c>
      <c r="G152" s="59">
        <v>3525785</v>
      </c>
      <c r="H152" s="29">
        <v>2</v>
      </c>
      <c r="I152" s="26" t="s">
        <v>67</v>
      </c>
      <c r="J152" s="26" t="s">
        <v>1095</v>
      </c>
    </row>
    <row r="153" spans="1:10" ht="15.75" customHeight="1">
      <c r="A153" s="26" t="s">
        <v>243</v>
      </c>
      <c r="B153" s="29">
        <v>35</v>
      </c>
      <c r="C153" s="26" t="s">
        <v>59</v>
      </c>
      <c r="D153" s="26" t="s">
        <v>60</v>
      </c>
      <c r="E153" s="27" t="s">
        <v>65</v>
      </c>
      <c r="F153" s="26" t="s">
        <v>113</v>
      </c>
      <c r="G153" s="59">
        <v>5316345</v>
      </c>
      <c r="H153" s="29">
        <v>3</v>
      </c>
      <c r="I153" s="26" t="s">
        <v>67</v>
      </c>
      <c r="J153" s="26" t="s">
        <v>1096</v>
      </c>
    </row>
    <row r="154" spans="1:10" ht="15.75" customHeight="1">
      <c r="A154" s="26" t="s">
        <v>244</v>
      </c>
      <c r="B154" s="29">
        <v>49</v>
      </c>
      <c r="C154" s="26" t="s">
        <v>53</v>
      </c>
      <c r="D154" s="26" t="s">
        <v>60</v>
      </c>
      <c r="E154" s="27" t="s">
        <v>61</v>
      </c>
      <c r="F154" s="26" t="s">
        <v>1093</v>
      </c>
      <c r="G154" s="59">
        <v>4750440</v>
      </c>
      <c r="H154" s="29">
        <v>5</v>
      </c>
      <c r="I154" s="26" t="s">
        <v>63</v>
      </c>
      <c r="J154" s="26" t="s">
        <v>1096</v>
      </c>
    </row>
    <row r="155" spans="1:10" ht="15.75" customHeight="1">
      <c r="A155" s="26" t="s">
        <v>245</v>
      </c>
      <c r="B155" s="29">
        <v>22</v>
      </c>
      <c r="C155" s="26" t="s">
        <v>59</v>
      </c>
      <c r="D155" s="26" t="s">
        <v>54</v>
      </c>
      <c r="E155" s="27" t="s">
        <v>55</v>
      </c>
      <c r="F155" s="26" t="s">
        <v>69</v>
      </c>
      <c r="G155" s="59">
        <v>4782370</v>
      </c>
      <c r="H155" s="29">
        <v>3</v>
      </c>
      <c r="I155" s="26" t="s">
        <v>60</v>
      </c>
      <c r="J155" s="26" t="s">
        <v>1096</v>
      </c>
    </row>
    <row r="156" spans="1:10" ht="15.75" customHeight="1">
      <c r="A156" s="26" t="s">
        <v>246</v>
      </c>
      <c r="B156" s="29">
        <v>49</v>
      </c>
      <c r="C156" s="26" t="s">
        <v>59</v>
      </c>
      <c r="D156" s="26" t="s">
        <v>60</v>
      </c>
      <c r="E156" s="27" t="s">
        <v>78</v>
      </c>
      <c r="F156" s="26" t="s">
        <v>1094</v>
      </c>
      <c r="G156" s="59">
        <v>1924635</v>
      </c>
      <c r="H156" s="29">
        <v>12</v>
      </c>
      <c r="I156" s="26" t="s">
        <v>60</v>
      </c>
      <c r="J156" s="26" t="s">
        <v>1095</v>
      </c>
    </row>
    <row r="157" spans="1:10" ht="15.75" customHeight="1">
      <c r="A157" s="26" t="s">
        <v>247</v>
      </c>
      <c r="B157" s="29">
        <v>27</v>
      </c>
      <c r="C157" s="26" t="s">
        <v>53</v>
      </c>
      <c r="D157" s="26" t="s">
        <v>54</v>
      </c>
      <c r="E157" s="27" t="s">
        <v>61</v>
      </c>
      <c r="F157" s="26" t="s">
        <v>1094</v>
      </c>
      <c r="G157" s="59">
        <v>1209000</v>
      </c>
      <c r="H157" s="29">
        <v>5</v>
      </c>
      <c r="I157" s="26" t="s">
        <v>57</v>
      </c>
      <c r="J157" s="26" t="s">
        <v>1095</v>
      </c>
    </row>
    <row r="158" spans="1:10" ht="15.75" customHeight="1">
      <c r="A158" s="26" t="s">
        <v>248</v>
      </c>
      <c r="B158" s="29">
        <v>27</v>
      </c>
      <c r="C158" s="26" t="s">
        <v>53</v>
      </c>
      <c r="D158" s="26" t="s">
        <v>60</v>
      </c>
      <c r="E158" s="27" t="s">
        <v>85</v>
      </c>
      <c r="F158" s="26" t="s">
        <v>90</v>
      </c>
      <c r="G158" s="59">
        <v>6091965</v>
      </c>
      <c r="H158" s="29">
        <v>4</v>
      </c>
      <c r="I158" s="26" t="s">
        <v>60</v>
      </c>
      <c r="J158" s="26" t="s">
        <v>1095</v>
      </c>
    </row>
    <row r="159" spans="1:10" ht="15.75" customHeight="1">
      <c r="A159" s="26" t="s">
        <v>249</v>
      </c>
      <c r="B159" s="29">
        <v>37</v>
      </c>
      <c r="C159" s="26" t="s">
        <v>53</v>
      </c>
      <c r="D159" s="26" t="s">
        <v>60</v>
      </c>
      <c r="E159" s="27" t="s">
        <v>85</v>
      </c>
      <c r="F159" s="26" t="s">
        <v>92</v>
      </c>
      <c r="G159" s="59">
        <v>1582395</v>
      </c>
      <c r="H159" s="29">
        <v>3</v>
      </c>
      <c r="I159" s="26" t="s">
        <v>57</v>
      </c>
      <c r="J159" s="26" t="s">
        <v>1096</v>
      </c>
    </row>
    <row r="160" spans="1:10" ht="15.75" customHeight="1">
      <c r="A160" s="26" t="s">
        <v>250</v>
      </c>
      <c r="B160" s="29">
        <v>32</v>
      </c>
      <c r="C160" s="26" t="s">
        <v>59</v>
      </c>
      <c r="D160" s="26" t="s">
        <v>54</v>
      </c>
      <c r="E160" s="27" t="s">
        <v>55</v>
      </c>
      <c r="F160" s="26" t="s">
        <v>90</v>
      </c>
      <c r="G160" s="59">
        <v>6606255</v>
      </c>
      <c r="H160" s="29">
        <v>3</v>
      </c>
      <c r="I160" s="26" t="s">
        <v>60</v>
      </c>
      <c r="J160" s="26" t="s">
        <v>1096</v>
      </c>
    </row>
    <row r="161" spans="1:10" ht="15.75" customHeight="1">
      <c r="A161" s="26" t="s">
        <v>251</v>
      </c>
      <c r="B161" s="29">
        <v>42</v>
      </c>
      <c r="C161" s="26" t="s">
        <v>59</v>
      </c>
      <c r="D161" s="26" t="s">
        <v>54</v>
      </c>
      <c r="E161" s="27" t="s">
        <v>61</v>
      </c>
      <c r="F161" s="26" t="s">
        <v>109</v>
      </c>
      <c r="G161" s="59">
        <v>2174805</v>
      </c>
      <c r="H161" s="29">
        <v>2</v>
      </c>
      <c r="I161" s="26" t="s">
        <v>67</v>
      </c>
      <c r="J161" s="26" t="s">
        <v>1095</v>
      </c>
    </row>
    <row r="162" spans="1:10" ht="15.75" customHeight="1">
      <c r="A162" s="26" t="s">
        <v>252</v>
      </c>
      <c r="B162" s="29">
        <v>18</v>
      </c>
      <c r="C162" s="26" t="s">
        <v>53</v>
      </c>
      <c r="D162" s="26" t="s">
        <v>60</v>
      </c>
      <c r="E162" s="27" t="s">
        <v>55</v>
      </c>
      <c r="F162" s="26" t="s">
        <v>100</v>
      </c>
      <c r="G162" s="59">
        <v>6412350</v>
      </c>
      <c r="H162" s="29">
        <v>8</v>
      </c>
      <c r="I162" s="26" t="s">
        <v>67</v>
      </c>
      <c r="J162" s="26" t="s">
        <v>1096</v>
      </c>
    </row>
    <row r="163" spans="1:10" ht="15.75" customHeight="1">
      <c r="A163" s="26" t="s">
        <v>253</v>
      </c>
      <c r="B163" s="29">
        <v>49</v>
      </c>
      <c r="C163" s="26" t="s">
        <v>59</v>
      </c>
      <c r="D163" s="26" t="s">
        <v>60</v>
      </c>
      <c r="E163" s="27" t="s">
        <v>78</v>
      </c>
      <c r="F163" s="26" t="s">
        <v>109</v>
      </c>
      <c r="G163" s="59">
        <v>5403765</v>
      </c>
      <c r="H163" s="29">
        <v>4</v>
      </c>
      <c r="I163" s="26" t="s">
        <v>60</v>
      </c>
      <c r="J163" s="26" t="s">
        <v>1096</v>
      </c>
    </row>
    <row r="164" spans="1:10" ht="15.75" customHeight="1">
      <c r="A164" s="26" t="s">
        <v>254</v>
      </c>
      <c r="B164" s="29">
        <v>23</v>
      </c>
      <c r="C164" s="26" t="s">
        <v>53</v>
      </c>
      <c r="D164" s="26" t="s">
        <v>54</v>
      </c>
      <c r="E164" s="27" t="s">
        <v>73</v>
      </c>
      <c r="F164" s="26" t="s">
        <v>88</v>
      </c>
      <c r="G164" s="59">
        <v>1414685</v>
      </c>
      <c r="H164" s="29">
        <v>7</v>
      </c>
      <c r="I164" s="26" t="s">
        <v>60</v>
      </c>
      <c r="J164" s="26" t="s">
        <v>1095</v>
      </c>
    </row>
    <row r="165" spans="1:10" ht="15.75" customHeight="1">
      <c r="A165" s="26" t="s">
        <v>255</v>
      </c>
      <c r="B165" s="29">
        <v>29</v>
      </c>
      <c r="C165" s="26" t="s">
        <v>53</v>
      </c>
      <c r="D165" s="26" t="s">
        <v>60</v>
      </c>
      <c r="E165" s="27" t="s">
        <v>85</v>
      </c>
      <c r="F165" s="26" t="s">
        <v>86</v>
      </c>
      <c r="G165" s="59">
        <v>5579070</v>
      </c>
      <c r="H165" s="29">
        <v>11</v>
      </c>
      <c r="I165" s="26" t="s">
        <v>57</v>
      </c>
      <c r="J165" s="26" t="s">
        <v>1096</v>
      </c>
    </row>
    <row r="166" spans="1:10" ht="15.75" customHeight="1">
      <c r="A166" s="26" t="s">
        <v>256</v>
      </c>
      <c r="B166" s="29">
        <v>25</v>
      </c>
      <c r="C166" s="26" t="s">
        <v>59</v>
      </c>
      <c r="D166" s="26" t="s">
        <v>54</v>
      </c>
      <c r="E166" s="27" t="s">
        <v>78</v>
      </c>
      <c r="F166" s="26" t="s">
        <v>56</v>
      </c>
      <c r="G166" s="59">
        <v>2142100</v>
      </c>
      <c r="H166" s="29">
        <v>8</v>
      </c>
      <c r="I166" s="26" t="s">
        <v>60</v>
      </c>
      <c r="J166" s="26" t="s">
        <v>1096</v>
      </c>
    </row>
    <row r="167" spans="1:10" ht="15.75" customHeight="1">
      <c r="A167" s="26" t="s">
        <v>257</v>
      </c>
      <c r="B167" s="29">
        <v>38</v>
      </c>
      <c r="C167" s="26" t="s">
        <v>53</v>
      </c>
      <c r="D167" s="26" t="s">
        <v>60</v>
      </c>
      <c r="E167" s="27" t="s">
        <v>61</v>
      </c>
      <c r="F167" s="26" t="s">
        <v>69</v>
      </c>
      <c r="G167" s="59">
        <v>3043115</v>
      </c>
      <c r="H167" s="29">
        <v>11</v>
      </c>
      <c r="I167" s="26" t="s">
        <v>63</v>
      </c>
      <c r="J167" s="26" t="s">
        <v>1095</v>
      </c>
    </row>
    <row r="168" spans="1:10" ht="15.75" customHeight="1">
      <c r="A168" s="26" t="s">
        <v>258</v>
      </c>
      <c r="B168" s="29">
        <v>32</v>
      </c>
      <c r="C168" s="26" t="s">
        <v>53</v>
      </c>
      <c r="D168" s="26" t="s">
        <v>54</v>
      </c>
      <c r="E168" s="27" t="s">
        <v>55</v>
      </c>
      <c r="F168" s="26" t="s">
        <v>1093</v>
      </c>
      <c r="G168" s="59">
        <v>3863220</v>
      </c>
      <c r="H168" s="29">
        <v>8</v>
      </c>
      <c r="I168" s="26" t="s">
        <v>63</v>
      </c>
      <c r="J168" s="26" t="s">
        <v>1096</v>
      </c>
    </row>
    <row r="169" spans="1:10" ht="15.75" customHeight="1">
      <c r="A169" s="26" t="s">
        <v>259</v>
      </c>
      <c r="B169" s="29">
        <v>45</v>
      </c>
      <c r="C169" s="26" t="s">
        <v>59</v>
      </c>
      <c r="D169" s="26" t="s">
        <v>60</v>
      </c>
      <c r="E169" s="27" t="s">
        <v>73</v>
      </c>
      <c r="F169" s="26" t="s">
        <v>71</v>
      </c>
      <c r="G169" s="59">
        <v>2001050</v>
      </c>
      <c r="H169" s="29">
        <v>12</v>
      </c>
      <c r="I169" s="26" t="s">
        <v>67</v>
      </c>
      <c r="J169" s="26" t="s">
        <v>1095</v>
      </c>
    </row>
    <row r="170" spans="1:10" ht="15.75" customHeight="1">
      <c r="A170" s="26" t="s">
        <v>261</v>
      </c>
      <c r="B170" s="29">
        <v>45</v>
      </c>
      <c r="C170" s="26" t="s">
        <v>53</v>
      </c>
      <c r="D170" s="26" t="s">
        <v>60</v>
      </c>
      <c r="E170" s="27" t="s">
        <v>73</v>
      </c>
      <c r="F170" s="26" t="s">
        <v>102</v>
      </c>
      <c r="G170" s="59">
        <v>1746695</v>
      </c>
      <c r="H170" s="29">
        <v>0</v>
      </c>
      <c r="I170" s="26" t="s">
        <v>60</v>
      </c>
      <c r="J170" s="26" t="s">
        <v>1096</v>
      </c>
    </row>
    <row r="171" spans="1:10" ht="15.75" customHeight="1">
      <c r="A171" s="26" t="s">
        <v>262</v>
      </c>
      <c r="B171" s="29">
        <v>46</v>
      </c>
      <c r="C171" s="26" t="s">
        <v>59</v>
      </c>
      <c r="D171" s="26" t="s">
        <v>54</v>
      </c>
      <c r="E171" s="27" t="s">
        <v>85</v>
      </c>
      <c r="F171" s="26" t="s">
        <v>137</v>
      </c>
      <c r="G171" s="59">
        <v>4151675</v>
      </c>
      <c r="H171" s="29">
        <v>5</v>
      </c>
      <c r="I171" s="26" t="s">
        <v>63</v>
      </c>
      <c r="J171" s="26" t="s">
        <v>1096</v>
      </c>
    </row>
    <row r="172" spans="1:10" ht="15.75" customHeight="1">
      <c r="A172" s="26" t="s">
        <v>263</v>
      </c>
      <c r="B172" s="29">
        <v>24</v>
      </c>
      <c r="C172" s="26" t="s">
        <v>59</v>
      </c>
      <c r="D172" s="26" t="s">
        <v>54</v>
      </c>
      <c r="E172" s="27" t="s">
        <v>61</v>
      </c>
      <c r="F172" s="26" t="s">
        <v>69</v>
      </c>
      <c r="G172" s="59">
        <v>3183080</v>
      </c>
      <c r="H172" s="29">
        <v>12</v>
      </c>
      <c r="I172" s="26" t="s">
        <v>60</v>
      </c>
      <c r="J172" s="26" t="s">
        <v>1096</v>
      </c>
    </row>
    <row r="173" spans="1:10" ht="15.75" customHeight="1">
      <c r="A173" s="26" t="s">
        <v>264</v>
      </c>
      <c r="B173" s="29">
        <v>48</v>
      </c>
      <c r="C173" s="26" t="s">
        <v>59</v>
      </c>
      <c r="D173" s="26" t="s">
        <v>60</v>
      </c>
      <c r="E173" s="27" t="s">
        <v>55</v>
      </c>
      <c r="F173" s="26" t="s">
        <v>113</v>
      </c>
      <c r="G173" s="59">
        <v>1226050</v>
      </c>
      <c r="H173" s="29">
        <v>10</v>
      </c>
      <c r="I173" s="26" t="s">
        <v>57</v>
      </c>
      <c r="J173" s="26" t="s">
        <v>1095</v>
      </c>
    </row>
    <row r="174" spans="1:10" ht="15.75" customHeight="1">
      <c r="A174" s="26" t="s">
        <v>265</v>
      </c>
      <c r="B174" s="29">
        <v>35</v>
      </c>
      <c r="C174" s="26" t="s">
        <v>59</v>
      </c>
      <c r="D174" s="26" t="s">
        <v>60</v>
      </c>
      <c r="E174" s="27" t="s">
        <v>73</v>
      </c>
      <c r="F174" s="26" t="s">
        <v>90</v>
      </c>
      <c r="G174" s="59">
        <v>3977765</v>
      </c>
      <c r="H174" s="29">
        <v>12</v>
      </c>
      <c r="I174" s="26" t="s">
        <v>60</v>
      </c>
      <c r="J174" s="26" t="s">
        <v>1095</v>
      </c>
    </row>
    <row r="175" spans="1:10" ht="15.75" customHeight="1">
      <c r="A175" s="26" t="s">
        <v>266</v>
      </c>
      <c r="B175" s="29">
        <v>50</v>
      </c>
      <c r="C175" s="26" t="s">
        <v>53</v>
      </c>
      <c r="D175" s="26" t="s">
        <v>60</v>
      </c>
      <c r="E175" s="27" t="s">
        <v>65</v>
      </c>
      <c r="F175" s="26" t="s">
        <v>76</v>
      </c>
      <c r="G175" s="59">
        <v>6354690</v>
      </c>
      <c r="H175" s="29">
        <v>12</v>
      </c>
      <c r="I175" s="26" t="s">
        <v>57</v>
      </c>
      <c r="J175" s="26" t="s">
        <v>1095</v>
      </c>
    </row>
    <row r="176" spans="1:10" ht="15.75" customHeight="1">
      <c r="A176" s="26" t="s">
        <v>267</v>
      </c>
      <c r="B176" s="29">
        <v>34</v>
      </c>
      <c r="C176" s="26" t="s">
        <v>59</v>
      </c>
      <c r="D176" s="26" t="s">
        <v>54</v>
      </c>
      <c r="E176" s="27" t="s">
        <v>73</v>
      </c>
      <c r="F176" s="26" t="s">
        <v>80</v>
      </c>
      <c r="G176" s="59">
        <v>4519800</v>
      </c>
      <c r="H176" s="29">
        <v>2</v>
      </c>
      <c r="I176" s="26" t="s">
        <v>60</v>
      </c>
      <c r="J176" s="26" t="s">
        <v>1096</v>
      </c>
    </row>
    <row r="177" spans="1:10" ht="15.75" customHeight="1">
      <c r="A177" s="26" t="s">
        <v>268</v>
      </c>
      <c r="B177" s="29">
        <v>50</v>
      </c>
      <c r="C177" s="26" t="s">
        <v>53</v>
      </c>
      <c r="D177" s="26" t="s">
        <v>54</v>
      </c>
      <c r="E177" s="27" t="s">
        <v>73</v>
      </c>
      <c r="F177" s="26" t="s">
        <v>69</v>
      </c>
      <c r="G177" s="59">
        <v>1576350</v>
      </c>
      <c r="H177" s="29">
        <v>7</v>
      </c>
      <c r="I177" s="26" t="s">
        <v>63</v>
      </c>
      <c r="J177" s="26" t="s">
        <v>1096</v>
      </c>
    </row>
    <row r="178" spans="1:10" ht="15.75" customHeight="1">
      <c r="A178" s="26" t="s">
        <v>269</v>
      </c>
      <c r="B178" s="29">
        <v>50</v>
      </c>
      <c r="C178" s="26" t="s">
        <v>53</v>
      </c>
      <c r="D178" s="26" t="s">
        <v>54</v>
      </c>
      <c r="E178" s="27" t="s">
        <v>85</v>
      </c>
      <c r="F178" s="26" t="s">
        <v>90</v>
      </c>
      <c r="G178" s="59">
        <v>5730815</v>
      </c>
      <c r="H178" s="29">
        <v>2</v>
      </c>
      <c r="I178" s="26" t="s">
        <v>57</v>
      </c>
      <c r="J178" s="26" t="s">
        <v>1095</v>
      </c>
    </row>
    <row r="179" spans="1:10" ht="15.75" customHeight="1">
      <c r="A179" s="26" t="s">
        <v>270</v>
      </c>
      <c r="B179" s="29">
        <v>46</v>
      </c>
      <c r="C179" s="26" t="s">
        <v>59</v>
      </c>
      <c r="D179" s="26" t="s">
        <v>54</v>
      </c>
      <c r="E179" s="27" t="s">
        <v>73</v>
      </c>
      <c r="F179" s="26" t="s">
        <v>102</v>
      </c>
      <c r="G179" s="59">
        <v>1100500</v>
      </c>
      <c r="H179" s="29">
        <v>12</v>
      </c>
      <c r="I179" s="26" t="s">
        <v>60</v>
      </c>
      <c r="J179" s="26" t="s">
        <v>1096</v>
      </c>
    </row>
    <row r="180" spans="1:10" ht="15.75" customHeight="1">
      <c r="A180" s="26" t="s">
        <v>271</v>
      </c>
      <c r="B180" s="29">
        <v>47</v>
      </c>
      <c r="C180" s="26" t="s">
        <v>59</v>
      </c>
      <c r="D180" s="26" t="s">
        <v>54</v>
      </c>
      <c r="E180" s="27" t="s">
        <v>61</v>
      </c>
      <c r="F180" s="26" t="s">
        <v>1093</v>
      </c>
      <c r="G180" s="59">
        <v>4340775</v>
      </c>
      <c r="H180" s="29">
        <v>10</v>
      </c>
      <c r="I180" s="26" t="s">
        <v>63</v>
      </c>
      <c r="J180" s="26" t="s">
        <v>1095</v>
      </c>
    </row>
    <row r="181" spans="1:10" ht="15.75" customHeight="1">
      <c r="A181" s="26" t="s">
        <v>272</v>
      </c>
      <c r="B181" s="29">
        <v>35</v>
      </c>
      <c r="C181" s="26" t="s">
        <v>59</v>
      </c>
      <c r="D181" s="26" t="s">
        <v>60</v>
      </c>
      <c r="E181" s="27" t="s">
        <v>78</v>
      </c>
      <c r="F181" s="26" t="s">
        <v>167</v>
      </c>
      <c r="G181" s="59">
        <v>848005</v>
      </c>
      <c r="H181" s="29">
        <v>4</v>
      </c>
      <c r="I181" s="26" t="s">
        <v>67</v>
      </c>
      <c r="J181" s="26" t="s">
        <v>1095</v>
      </c>
    </row>
    <row r="182" spans="1:10" ht="15.75" customHeight="1">
      <c r="A182" s="26" t="s">
        <v>273</v>
      </c>
      <c r="B182" s="29">
        <v>27</v>
      </c>
      <c r="C182" s="26" t="s">
        <v>59</v>
      </c>
      <c r="D182" s="26" t="s">
        <v>60</v>
      </c>
      <c r="E182" s="27" t="s">
        <v>78</v>
      </c>
      <c r="F182" s="26" t="s">
        <v>1093</v>
      </c>
      <c r="G182" s="59">
        <v>1852405</v>
      </c>
      <c r="H182" s="29">
        <v>11</v>
      </c>
      <c r="I182" s="26" t="s">
        <v>67</v>
      </c>
      <c r="J182" s="26" t="s">
        <v>1096</v>
      </c>
    </row>
    <row r="183" spans="1:10" ht="15.75" customHeight="1">
      <c r="A183" s="26" t="s">
        <v>274</v>
      </c>
      <c r="B183" s="29">
        <v>37</v>
      </c>
      <c r="C183" s="26" t="s">
        <v>53</v>
      </c>
      <c r="D183" s="26" t="s">
        <v>60</v>
      </c>
      <c r="E183" s="27" t="s">
        <v>55</v>
      </c>
      <c r="F183" s="26" t="s">
        <v>109</v>
      </c>
      <c r="G183" s="59">
        <v>891250</v>
      </c>
      <c r="H183" s="29">
        <v>12</v>
      </c>
      <c r="I183" s="26" t="s">
        <v>57</v>
      </c>
      <c r="J183" s="26" t="s">
        <v>1095</v>
      </c>
    </row>
    <row r="184" spans="1:10" ht="15.75" customHeight="1">
      <c r="A184" s="26" t="s">
        <v>275</v>
      </c>
      <c r="B184" s="29">
        <v>38</v>
      </c>
      <c r="C184" s="26" t="s">
        <v>53</v>
      </c>
      <c r="D184" s="26" t="s">
        <v>60</v>
      </c>
      <c r="E184" s="27" t="s">
        <v>78</v>
      </c>
      <c r="F184" s="26" t="s">
        <v>76</v>
      </c>
      <c r="G184" s="59">
        <v>3488275</v>
      </c>
      <c r="H184" s="29">
        <v>5</v>
      </c>
      <c r="I184" s="26" t="s">
        <v>60</v>
      </c>
      <c r="J184" s="26" t="s">
        <v>1096</v>
      </c>
    </row>
    <row r="185" spans="1:10" ht="15.75" customHeight="1">
      <c r="A185" s="26" t="s">
        <v>276</v>
      </c>
      <c r="B185" s="29">
        <v>41</v>
      </c>
      <c r="C185" s="26" t="s">
        <v>53</v>
      </c>
      <c r="D185" s="26" t="s">
        <v>60</v>
      </c>
      <c r="E185" s="27" t="s">
        <v>61</v>
      </c>
      <c r="F185" s="26" t="s">
        <v>62</v>
      </c>
      <c r="G185" s="59">
        <v>6837825</v>
      </c>
      <c r="H185" s="29">
        <v>7</v>
      </c>
      <c r="I185" s="26" t="s">
        <v>67</v>
      </c>
      <c r="J185" s="26" t="s">
        <v>1096</v>
      </c>
    </row>
    <row r="186" spans="1:10" ht="15.75" customHeight="1">
      <c r="A186" s="26" t="s">
        <v>277</v>
      </c>
      <c r="B186" s="29">
        <v>48</v>
      </c>
      <c r="C186" s="26" t="s">
        <v>59</v>
      </c>
      <c r="D186" s="26" t="s">
        <v>54</v>
      </c>
      <c r="E186" s="27" t="s">
        <v>55</v>
      </c>
      <c r="F186" s="26" t="s">
        <v>88</v>
      </c>
      <c r="G186" s="59">
        <v>7458755</v>
      </c>
      <c r="H186" s="29">
        <v>3</v>
      </c>
      <c r="I186" s="26" t="s">
        <v>60</v>
      </c>
      <c r="J186" s="26" t="s">
        <v>1096</v>
      </c>
    </row>
    <row r="187" spans="1:10" ht="15.75" customHeight="1">
      <c r="A187" s="26" t="s">
        <v>278</v>
      </c>
      <c r="B187" s="29">
        <v>48</v>
      </c>
      <c r="C187" s="26" t="s">
        <v>53</v>
      </c>
      <c r="D187" s="26" t="s">
        <v>60</v>
      </c>
      <c r="E187" s="27" t="s">
        <v>65</v>
      </c>
      <c r="F187" s="26" t="s">
        <v>109</v>
      </c>
      <c r="G187" s="59">
        <v>1595880</v>
      </c>
      <c r="H187" s="29">
        <v>3</v>
      </c>
      <c r="I187" s="26" t="s">
        <v>67</v>
      </c>
      <c r="J187" s="26" t="s">
        <v>1096</v>
      </c>
    </row>
    <row r="188" spans="1:10" ht="15.75" customHeight="1">
      <c r="A188" s="26" t="s">
        <v>279</v>
      </c>
      <c r="B188" s="29">
        <v>45</v>
      </c>
      <c r="C188" s="26" t="s">
        <v>53</v>
      </c>
      <c r="D188" s="26" t="s">
        <v>60</v>
      </c>
      <c r="E188" s="27" t="s">
        <v>61</v>
      </c>
      <c r="F188" s="26" t="s">
        <v>98</v>
      </c>
      <c r="G188" s="59">
        <v>5139335</v>
      </c>
      <c r="H188" s="29">
        <v>11</v>
      </c>
      <c r="I188" s="26" t="s">
        <v>67</v>
      </c>
      <c r="J188" s="26" t="s">
        <v>1096</v>
      </c>
    </row>
    <row r="189" spans="1:10" ht="15.75" customHeight="1">
      <c r="A189" s="26" t="s">
        <v>280</v>
      </c>
      <c r="B189" s="29">
        <v>26</v>
      </c>
      <c r="C189" s="26" t="s">
        <v>53</v>
      </c>
      <c r="D189" s="26" t="s">
        <v>54</v>
      </c>
      <c r="E189" s="27" t="s">
        <v>55</v>
      </c>
      <c r="F189" s="26" t="s">
        <v>98</v>
      </c>
      <c r="G189" s="59">
        <v>1569995</v>
      </c>
      <c r="H189" s="29">
        <v>11</v>
      </c>
      <c r="I189" s="26" t="s">
        <v>63</v>
      </c>
      <c r="J189" s="26" t="s">
        <v>1096</v>
      </c>
    </row>
    <row r="190" spans="1:10" ht="15.75" customHeight="1">
      <c r="A190" s="26" t="s">
        <v>281</v>
      </c>
      <c r="B190" s="29">
        <v>50</v>
      </c>
      <c r="C190" s="26" t="s">
        <v>53</v>
      </c>
      <c r="D190" s="26" t="s">
        <v>54</v>
      </c>
      <c r="E190" s="27" t="s">
        <v>73</v>
      </c>
      <c r="F190" s="26" t="s">
        <v>1093</v>
      </c>
      <c r="G190" s="59">
        <v>2224560</v>
      </c>
      <c r="H190" s="29">
        <v>9</v>
      </c>
      <c r="I190" s="26" t="s">
        <v>63</v>
      </c>
      <c r="J190" s="26" t="s">
        <v>1095</v>
      </c>
    </row>
    <row r="191" spans="1:10" ht="15.75" customHeight="1">
      <c r="A191" s="26" t="s">
        <v>282</v>
      </c>
      <c r="B191" s="29">
        <v>39</v>
      </c>
      <c r="C191" s="26" t="s">
        <v>59</v>
      </c>
      <c r="D191" s="26" t="s">
        <v>54</v>
      </c>
      <c r="E191" s="27" t="s">
        <v>85</v>
      </c>
      <c r="F191" s="26" t="s">
        <v>80</v>
      </c>
      <c r="G191" s="59">
        <v>4285440</v>
      </c>
      <c r="H191" s="29">
        <v>3</v>
      </c>
      <c r="I191" s="26" t="s">
        <v>57</v>
      </c>
      <c r="J191" s="26" t="s">
        <v>1096</v>
      </c>
    </row>
    <row r="192" spans="1:10" ht="15.75" customHeight="1">
      <c r="A192" s="26" t="s">
        <v>283</v>
      </c>
      <c r="B192" s="29">
        <v>20</v>
      </c>
      <c r="C192" s="26" t="s">
        <v>59</v>
      </c>
      <c r="D192" s="26" t="s">
        <v>60</v>
      </c>
      <c r="E192" s="27" t="s">
        <v>65</v>
      </c>
      <c r="F192" s="26" t="s">
        <v>104</v>
      </c>
      <c r="G192" s="59">
        <v>5469485</v>
      </c>
      <c r="H192" s="29">
        <v>11</v>
      </c>
      <c r="I192" s="26" t="s">
        <v>60</v>
      </c>
      <c r="J192" s="26" t="s">
        <v>1096</v>
      </c>
    </row>
    <row r="193" spans="1:10" ht="15.75" customHeight="1">
      <c r="A193" s="26" t="s">
        <v>284</v>
      </c>
      <c r="B193" s="29">
        <v>48</v>
      </c>
      <c r="C193" s="26" t="s">
        <v>59</v>
      </c>
      <c r="D193" s="26" t="s">
        <v>54</v>
      </c>
      <c r="E193" s="27" t="s">
        <v>65</v>
      </c>
      <c r="F193" s="26" t="s">
        <v>82</v>
      </c>
      <c r="G193" s="59">
        <v>3544540</v>
      </c>
      <c r="H193" s="29">
        <v>3</v>
      </c>
      <c r="I193" s="26" t="s">
        <v>67</v>
      </c>
      <c r="J193" s="26" t="s">
        <v>1095</v>
      </c>
    </row>
    <row r="194" spans="1:10" ht="15.75" customHeight="1">
      <c r="A194" s="26" t="s">
        <v>285</v>
      </c>
      <c r="B194" s="29">
        <v>31</v>
      </c>
      <c r="C194" s="26" t="s">
        <v>53</v>
      </c>
      <c r="D194" s="26" t="s">
        <v>54</v>
      </c>
      <c r="E194" s="27" t="s">
        <v>55</v>
      </c>
      <c r="F194" s="26" t="s">
        <v>62</v>
      </c>
      <c r="G194" s="59">
        <v>4671545</v>
      </c>
      <c r="H194" s="29">
        <v>6</v>
      </c>
      <c r="I194" s="26" t="s">
        <v>57</v>
      </c>
      <c r="J194" s="26" t="s">
        <v>1096</v>
      </c>
    </row>
    <row r="195" spans="1:10" ht="15.75" customHeight="1">
      <c r="A195" s="26" t="s">
        <v>286</v>
      </c>
      <c r="B195" s="29">
        <v>25</v>
      </c>
      <c r="C195" s="26" t="s">
        <v>53</v>
      </c>
      <c r="D195" s="26" t="s">
        <v>54</v>
      </c>
      <c r="E195" s="27" t="s">
        <v>55</v>
      </c>
      <c r="F195" s="26" t="s">
        <v>76</v>
      </c>
      <c r="G195" s="59">
        <v>7339250</v>
      </c>
      <c r="H195" s="29">
        <v>11</v>
      </c>
      <c r="I195" s="26" t="s">
        <v>67</v>
      </c>
      <c r="J195" s="26" t="s">
        <v>1096</v>
      </c>
    </row>
    <row r="196" spans="1:10" ht="15.75" customHeight="1">
      <c r="A196" s="26" t="s">
        <v>287</v>
      </c>
      <c r="B196" s="29">
        <v>18</v>
      </c>
      <c r="C196" s="26" t="s">
        <v>53</v>
      </c>
      <c r="D196" s="26" t="s">
        <v>54</v>
      </c>
      <c r="E196" s="27" t="s">
        <v>55</v>
      </c>
      <c r="F196" s="26" t="s">
        <v>69</v>
      </c>
      <c r="G196" s="59">
        <v>1128400</v>
      </c>
      <c r="H196" s="29">
        <v>11</v>
      </c>
      <c r="I196" s="26" t="s">
        <v>60</v>
      </c>
      <c r="J196" s="26" t="s">
        <v>1095</v>
      </c>
    </row>
    <row r="197" spans="1:10" ht="15.75" customHeight="1">
      <c r="A197" s="26" t="s">
        <v>288</v>
      </c>
      <c r="B197" s="29">
        <v>18</v>
      </c>
      <c r="C197" s="26" t="s">
        <v>59</v>
      </c>
      <c r="D197" s="26" t="s">
        <v>54</v>
      </c>
      <c r="E197" s="27" t="s">
        <v>55</v>
      </c>
      <c r="F197" s="26" t="s">
        <v>1093</v>
      </c>
      <c r="G197" s="59">
        <v>2661660</v>
      </c>
      <c r="H197" s="29">
        <v>3</v>
      </c>
      <c r="I197" s="26" t="s">
        <v>67</v>
      </c>
      <c r="J197" s="26" t="s">
        <v>1096</v>
      </c>
    </row>
    <row r="198" spans="1:10" ht="15.75" customHeight="1">
      <c r="A198" s="26" t="s">
        <v>289</v>
      </c>
      <c r="B198" s="29">
        <v>31</v>
      </c>
      <c r="C198" s="26" t="s">
        <v>59</v>
      </c>
      <c r="D198" s="26" t="s">
        <v>54</v>
      </c>
      <c r="E198" s="27" t="s">
        <v>73</v>
      </c>
      <c r="F198" s="26" t="s">
        <v>100</v>
      </c>
      <c r="G198" s="59">
        <v>7246250</v>
      </c>
      <c r="H198" s="29">
        <v>0</v>
      </c>
      <c r="I198" s="26" t="s">
        <v>57</v>
      </c>
      <c r="J198" s="26" t="s">
        <v>1096</v>
      </c>
    </row>
    <row r="199" spans="1:10" ht="15.75" customHeight="1">
      <c r="A199" s="26" t="s">
        <v>290</v>
      </c>
      <c r="B199" s="29">
        <v>43</v>
      </c>
      <c r="C199" s="26" t="s">
        <v>59</v>
      </c>
      <c r="D199" s="26" t="s">
        <v>60</v>
      </c>
      <c r="E199" s="27" t="s">
        <v>65</v>
      </c>
      <c r="F199" s="26" t="s">
        <v>71</v>
      </c>
      <c r="G199" s="59">
        <v>3251745</v>
      </c>
      <c r="H199" s="29">
        <v>6</v>
      </c>
      <c r="I199" s="26" t="s">
        <v>60</v>
      </c>
      <c r="J199" s="26" t="s">
        <v>1095</v>
      </c>
    </row>
    <row r="200" spans="1:10" ht="15.75" customHeight="1">
      <c r="A200" s="26" t="s">
        <v>291</v>
      </c>
      <c r="B200" s="29">
        <v>23</v>
      </c>
      <c r="C200" s="26" t="s">
        <v>59</v>
      </c>
      <c r="D200" s="26" t="s">
        <v>54</v>
      </c>
      <c r="E200" s="27" t="s">
        <v>73</v>
      </c>
      <c r="F200" s="26" t="s">
        <v>66</v>
      </c>
      <c r="G200" s="59">
        <v>2330115</v>
      </c>
      <c r="H200" s="29">
        <v>9</v>
      </c>
      <c r="I200" s="26" t="s">
        <v>57</v>
      </c>
      <c r="J200" s="26" t="s">
        <v>1095</v>
      </c>
    </row>
    <row r="201" spans="1:10" ht="15.75" customHeight="1">
      <c r="A201" s="26" t="s">
        <v>292</v>
      </c>
      <c r="B201" s="29">
        <v>29</v>
      </c>
      <c r="C201" s="26" t="s">
        <v>59</v>
      </c>
      <c r="D201" s="26" t="s">
        <v>60</v>
      </c>
      <c r="E201" s="27" t="s">
        <v>65</v>
      </c>
      <c r="F201" s="26" t="s">
        <v>86</v>
      </c>
      <c r="G201" s="59">
        <v>1528765</v>
      </c>
      <c r="H201" s="29">
        <v>7</v>
      </c>
      <c r="I201" s="26" t="s">
        <v>60</v>
      </c>
      <c r="J201" s="26" t="s">
        <v>1096</v>
      </c>
    </row>
    <row r="202" spans="1:10" ht="15.75" customHeight="1">
      <c r="A202" s="26" t="s">
        <v>293</v>
      </c>
      <c r="B202" s="29">
        <v>21</v>
      </c>
      <c r="C202" s="26" t="s">
        <v>53</v>
      </c>
      <c r="D202" s="26" t="s">
        <v>54</v>
      </c>
      <c r="E202" s="27" t="s">
        <v>78</v>
      </c>
      <c r="F202" s="26" t="s">
        <v>137</v>
      </c>
      <c r="G202" s="59">
        <v>2996150</v>
      </c>
      <c r="H202" s="29">
        <v>11</v>
      </c>
      <c r="I202" s="26" t="s">
        <v>57</v>
      </c>
      <c r="J202" s="26" t="s">
        <v>1095</v>
      </c>
    </row>
    <row r="203" spans="1:10" ht="15.75" customHeight="1">
      <c r="A203" s="26" t="s">
        <v>294</v>
      </c>
      <c r="B203" s="29">
        <v>49</v>
      </c>
      <c r="C203" s="26" t="s">
        <v>53</v>
      </c>
      <c r="D203" s="26" t="s">
        <v>54</v>
      </c>
      <c r="E203" s="27" t="s">
        <v>55</v>
      </c>
      <c r="F203" s="26" t="s">
        <v>86</v>
      </c>
      <c r="G203" s="59">
        <v>2247810</v>
      </c>
      <c r="H203" s="29">
        <v>7</v>
      </c>
      <c r="I203" s="26" t="s">
        <v>60</v>
      </c>
      <c r="J203" s="26" t="s">
        <v>1095</v>
      </c>
    </row>
    <row r="204" spans="1:10" ht="15.75" customHeight="1">
      <c r="A204" s="26" t="s">
        <v>295</v>
      </c>
      <c r="B204" s="29">
        <v>30</v>
      </c>
      <c r="C204" s="26" t="s">
        <v>53</v>
      </c>
      <c r="D204" s="26" t="s">
        <v>54</v>
      </c>
      <c r="E204" s="27" t="s">
        <v>65</v>
      </c>
      <c r="F204" s="26" t="s">
        <v>113</v>
      </c>
      <c r="G204" s="59">
        <v>4572345</v>
      </c>
      <c r="H204" s="29">
        <v>4</v>
      </c>
      <c r="I204" s="26" t="s">
        <v>67</v>
      </c>
      <c r="J204" s="26" t="s">
        <v>1096</v>
      </c>
    </row>
    <row r="205" spans="1:10" ht="15.75" customHeight="1">
      <c r="A205" s="26" t="s">
        <v>296</v>
      </c>
      <c r="B205" s="29">
        <v>31</v>
      </c>
      <c r="C205" s="26" t="s">
        <v>59</v>
      </c>
      <c r="D205" s="26" t="s">
        <v>54</v>
      </c>
      <c r="E205" s="27" t="s">
        <v>65</v>
      </c>
      <c r="F205" s="26" t="s">
        <v>66</v>
      </c>
      <c r="G205" s="59">
        <v>4734475</v>
      </c>
      <c r="H205" s="29">
        <v>2</v>
      </c>
      <c r="I205" s="26" t="s">
        <v>57</v>
      </c>
      <c r="J205" s="26" t="s">
        <v>1096</v>
      </c>
    </row>
    <row r="206" spans="1:10" ht="15.75" customHeight="1">
      <c r="A206" s="26" t="s">
        <v>297</v>
      </c>
      <c r="B206" s="29">
        <v>50</v>
      </c>
      <c r="C206" s="26" t="s">
        <v>53</v>
      </c>
      <c r="D206" s="26" t="s">
        <v>54</v>
      </c>
      <c r="E206" s="27" t="s">
        <v>55</v>
      </c>
      <c r="F206" s="26" t="s">
        <v>104</v>
      </c>
      <c r="G206" s="59">
        <v>6702510</v>
      </c>
      <c r="H206" s="29">
        <v>2</v>
      </c>
      <c r="I206" s="26" t="s">
        <v>63</v>
      </c>
      <c r="J206" s="26" t="s">
        <v>1096</v>
      </c>
    </row>
    <row r="207" spans="1:10" ht="15.75" customHeight="1">
      <c r="A207" s="26" t="s">
        <v>298</v>
      </c>
      <c r="B207" s="29">
        <v>35</v>
      </c>
      <c r="C207" s="26" t="s">
        <v>53</v>
      </c>
      <c r="D207" s="26" t="s">
        <v>54</v>
      </c>
      <c r="E207" s="27" t="s">
        <v>61</v>
      </c>
      <c r="F207" s="26" t="s">
        <v>56</v>
      </c>
      <c r="G207" s="59">
        <v>3527490</v>
      </c>
      <c r="H207" s="29">
        <v>11</v>
      </c>
      <c r="I207" s="26" t="s">
        <v>57</v>
      </c>
      <c r="J207" s="26" t="s">
        <v>1096</v>
      </c>
    </row>
    <row r="208" spans="1:10" ht="15.75" customHeight="1">
      <c r="A208" s="26" t="s">
        <v>299</v>
      </c>
      <c r="B208" s="29">
        <v>36</v>
      </c>
      <c r="C208" s="26" t="s">
        <v>59</v>
      </c>
      <c r="D208" s="26" t="s">
        <v>54</v>
      </c>
      <c r="E208" s="27" t="s">
        <v>73</v>
      </c>
      <c r="F208" s="26" t="s">
        <v>104</v>
      </c>
      <c r="G208" s="59">
        <v>2493795</v>
      </c>
      <c r="H208" s="29">
        <v>10</v>
      </c>
      <c r="I208" s="26" t="s">
        <v>57</v>
      </c>
      <c r="J208" s="26" t="s">
        <v>1095</v>
      </c>
    </row>
    <row r="209" spans="1:10" ht="15.75" customHeight="1">
      <c r="A209" s="26" t="s">
        <v>300</v>
      </c>
      <c r="B209" s="29">
        <v>24</v>
      </c>
      <c r="C209" s="26" t="s">
        <v>53</v>
      </c>
      <c r="D209" s="26" t="s">
        <v>54</v>
      </c>
      <c r="E209" s="27" t="s">
        <v>78</v>
      </c>
      <c r="F209" s="26" t="s">
        <v>86</v>
      </c>
      <c r="G209" s="59">
        <v>2156050</v>
      </c>
      <c r="H209" s="29">
        <v>7</v>
      </c>
      <c r="I209" s="26" t="s">
        <v>67</v>
      </c>
      <c r="J209" s="26" t="s">
        <v>1096</v>
      </c>
    </row>
    <row r="210" spans="1:10" ht="15.75" customHeight="1">
      <c r="A210" s="26" t="s">
        <v>301</v>
      </c>
      <c r="B210" s="29">
        <v>36</v>
      </c>
      <c r="C210" s="26" t="s">
        <v>53</v>
      </c>
      <c r="D210" s="26" t="s">
        <v>60</v>
      </c>
      <c r="E210" s="27" t="s">
        <v>55</v>
      </c>
      <c r="F210" s="26" t="s">
        <v>71</v>
      </c>
      <c r="G210" s="59">
        <v>4158340</v>
      </c>
      <c r="H210" s="29">
        <v>9</v>
      </c>
      <c r="I210" s="26" t="s">
        <v>60</v>
      </c>
      <c r="J210" s="26" t="s">
        <v>1096</v>
      </c>
    </row>
    <row r="211" spans="1:10" ht="15.75" customHeight="1">
      <c r="A211" s="26" t="s">
        <v>302</v>
      </c>
      <c r="B211" s="29">
        <v>45</v>
      </c>
      <c r="C211" s="26" t="s">
        <v>53</v>
      </c>
      <c r="D211" s="26" t="s">
        <v>54</v>
      </c>
      <c r="E211" s="27" t="s">
        <v>78</v>
      </c>
      <c r="F211" s="26" t="s">
        <v>80</v>
      </c>
      <c r="G211" s="59">
        <v>999595</v>
      </c>
      <c r="H211" s="29">
        <v>6</v>
      </c>
      <c r="I211" s="26" t="s">
        <v>57</v>
      </c>
      <c r="J211" s="26" t="s">
        <v>1096</v>
      </c>
    </row>
    <row r="212" spans="1:10" ht="15.75" customHeight="1">
      <c r="A212" s="26" t="s">
        <v>303</v>
      </c>
      <c r="B212" s="29">
        <v>44</v>
      </c>
      <c r="C212" s="26" t="s">
        <v>59</v>
      </c>
      <c r="D212" s="26" t="s">
        <v>54</v>
      </c>
      <c r="E212" s="27" t="s">
        <v>65</v>
      </c>
      <c r="F212" s="26" t="s">
        <v>109</v>
      </c>
      <c r="G212" s="59">
        <v>1242635</v>
      </c>
      <c r="H212" s="29">
        <v>10</v>
      </c>
      <c r="I212" s="26" t="s">
        <v>60</v>
      </c>
      <c r="J212" s="26" t="s">
        <v>1095</v>
      </c>
    </row>
    <row r="213" spans="1:10" ht="15.75" customHeight="1">
      <c r="A213" s="26" t="s">
        <v>304</v>
      </c>
      <c r="B213" s="29">
        <v>28</v>
      </c>
      <c r="C213" s="26" t="s">
        <v>59</v>
      </c>
      <c r="D213" s="26" t="s">
        <v>60</v>
      </c>
      <c r="E213" s="27" t="s">
        <v>61</v>
      </c>
      <c r="F213" s="26" t="s">
        <v>121</v>
      </c>
      <c r="G213" s="59">
        <v>4301560</v>
      </c>
      <c r="H213" s="29">
        <v>11</v>
      </c>
      <c r="I213" s="26" t="s">
        <v>57</v>
      </c>
      <c r="J213" s="26" t="s">
        <v>1095</v>
      </c>
    </row>
    <row r="214" spans="1:10" ht="15.75" customHeight="1">
      <c r="A214" s="26" t="s">
        <v>305</v>
      </c>
      <c r="B214" s="29">
        <v>40</v>
      </c>
      <c r="C214" s="26" t="s">
        <v>59</v>
      </c>
      <c r="D214" s="26" t="s">
        <v>60</v>
      </c>
      <c r="E214" s="27" t="s">
        <v>85</v>
      </c>
      <c r="F214" s="26" t="s">
        <v>113</v>
      </c>
      <c r="G214" s="59">
        <v>831885</v>
      </c>
      <c r="H214" s="29">
        <v>7</v>
      </c>
      <c r="I214" s="26" t="s">
        <v>60</v>
      </c>
      <c r="J214" s="26" t="s">
        <v>1096</v>
      </c>
    </row>
    <row r="215" spans="1:10" ht="15.75" customHeight="1">
      <c r="A215" s="26" t="s">
        <v>306</v>
      </c>
      <c r="B215" s="29">
        <v>49</v>
      </c>
      <c r="C215" s="26" t="s">
        <v>53</v>
      </c>
      <c r="D215" s="26" t="s">
        <v>54</v>
      </c>
      <c r="E215" s="27" t="s">
        <v>78</v>
      </c>
      <c r="F215" s="26" t="s">
        <v>66</v>
      </c>
      <c r="G215" s="59">
        <v>5012545</v>
      </c>
      <c r="H215" s="29">
        <v>10</v>
      </c>
      <c r="I215" s="26" t="s">
        <v>57</v>
      </c>
      <c r="J215" s="26" t="s">
        <v>1095</v>
      </c>
    </row>
    <row r="216" spans="1:10" ht="15.75" customHeight="1">
      <c r="A216" s="26" t="s">
        <v>307</v>
      </c>
      <c r="B216" s="29">
        <v>50</v>
      </c>
      <c r="C216" s="26" t="s">
        <v>53</v>
      </c>
      <c r="D216" s="26" t="s">
        <v>60</v>
      </c>
      <c r="E216" s="27" t="s">
        <v>61</v>
      </c>
      <c r="F216" s="26" t="s">
        <v>80</v>
      </c>
      <c r="G216" s="59">
        <v>1519310</v>
      </c>
      <c r="H216" s="29">
        <v>5</v>
      </c>
      <c r="I216" s="26" t="s">
        <v>67</v>
      </c>
      <c r="J216" s="26" t="s">
        <v>1095</v>
      </c>
    </row>
    <row r="217" spans="1:10" ht="15.75" customHeight="1">
      <c r="A217" s="26" t="s">
        <v>308</v>
      </c>
      <c r="B217" s="29">
        <v>24</v>
      </c>
      <c r="C217" s="26" t="s">
        <v>59</v>
      </c>
      <c r="D217" s="26" t="s">
        <v>60</v>
      </c>
      <c r="E217" s="27" t="s">
        <v>73</v>
      </c>
      <c r="F217" s="26" t="s">
        <v>1094</v>
      </c>
      <c r="G217" s="59">
        <v>3584530</v>
      </c>
      <c r="H217" s="29">
        <v>10</v>
      </c>
      <c r="I217" s="26" t="s">
        <v>67</v>
      </c>
      <c r="J217" s="26" t="s">
        <v>1096</v>
      </c>
    </row>
    <row r="218" spans="1:10" ht="15.75" customHeight="1">
      <c r="A218" s="26" t="s">
        <v>309</v>
      </c>
      <c r="B218" s="29">
        <v>26</v>
      </c>
      <c r="C218" s="26" t="s">
        <v>59</v>
      </c>
      <c r="D218" s="26" t="s">
        <v>60</v>
      </c>
      <c r="E218" s="27" t="s">
        <v>78</v>
      </c>
      <c r="F218" s="26" t="s">
        <v>62</v>
      </c>
      <c r="G218" s="59">
        <v>5928595</v>
      </c>
      <c r="H218" s="29">
        <v>6</v>
      </c>
      <c r="I218" s="26" t="s">
        <v>57</v>
      </c>
      <c r="J218" s="26" t="s">
        <v>1095</v>
      </c>
    </row>
    <row r="219" spans="1:10" ht="15.75" customHeight="1">
      <c r="A219" s="26" t="s">
        <v>310</v>
      </c>
      <c r="B219" s="29">
        <v>28</v>
      </c>
      <c r="C219" s="26" t="s">
        <v>59</v>
      </c>
      <c r="D219" s="26" t="s">
        <v>54</v>
      </c>
      <c r="E219" s="27" t="s">
        <v>65</v>
      </c>
      <c r="F219" s="26" t="s">
        <v>1094</v>
      </c>
      <c r="G219" s="59">
        <v>3959010</v>
      </c>
      <c r="H219" s="29">
        <v>9</v>
      </c>
      <c r="I219" s="26" t="s">
        <v>57</v>
      </c>
      <c r="J219" s="26" t="s">
        <v>1095</v>
      </c>
    </row>
    <row r="220" spans="1:10" ht="15.75" customHeight="1">
      <c r="A220" s="26" t="s">
        <v>311</v>
      </c>
      <c r="B220" s="29">
        <v>48</v>
      </c>
      <c r="C220" s="26" t="s">
        <v>53</v>
      </c>
      <c r="D220" s="26" t="s">
        <v>54</v>
      </c>
      <c r="E220" s="27" t="s">
        <v>55</v>
      </c>
      <c r="F220" s="26" t="s">
        <v>104</v>
      </c>
      <c r="G220" s="59">
        <v>6560065</v>
      </c>
      <c r="H220" s="29">
        <v>12</v>
      </c>
      <c r="I220" s="26" t="s">
        <v>60</v>
      </c>
      <c r="J220" s="26" t="s">
        <v>1096</v>
      </c>
    </row>
    <row r="221" spans="1:10" ht="15.75" customHeight="1">
      <c r="A221" s="26" t="s">
        <v>312</v>
      </c>
      <c r="B221" s="29">
        <v>47</v>
      </c>
      <c r="C221" s="26" t="s">
        <v>59</v>
      </c>
      <c r="D221" s="26" t="s">
        <v>54</v>
      </c>
      <c r="E221" s="27" t="s">
        <v>78</v>
      </c>
      <c r="F221" s="26" t="s">
        <v>137</v>
      </c>
      <c r="G221" s="59">
        <v>4279240</v>
      </c>
      <c r="H221" s="29">
        <v>4</v>
      </c>
      <c r="I221" s="26" t="s">
        <v>60</v>
      </c>
      <c r="J221" s="26" t="s">
        <v>1096</v>
      </c>
    </row>
    <row r="222" spans="1:10" ht="15.75" customHeight="1">
      <c r="A222" s="26" t="s">
        <v>313</v>
      </c>
      <c r="B222" s="29">
        <v>25</v>
      </c>
      <c r="C222" s="26" t="s">
        <v>59</v>
      </c>
      <c r="D222" s="26" t="s">
        <v>54</v>
      </c>
      <c r="E222" s="27" t="s">
        <v>65</v>
      </c>
      <c r="F222" s="26" t="s">
        <v>76</v>
      </c>
      <c r="G222" s="59">
        <v>5170180</v>
      </c>
      <c r="H222" s="29">
        <v>3</v>
      </c>
      <c r="I222" s="26" t="s">
        <v>67</v>
      </c>
      <c r="J222" s="26" t="s">
        <v>1095</v>
      </c>
    </row>
    <row r="223" spans="1:10" ht="15.75" customHeight="1">
      <c r="A223" s="26" t="s">
        <v>314</v>
      </c>
      <c r="B223" s="29">
        <v>39</v>
      </c>
      <c r="C223" s="26" t="s">
        <v>59</v>
      </c>
      <c r="D223" s="26" t="s">
        <v>60</v>
      </c>
      <c r="E223" s="27" t="s">
        <v>61</v>
      </c>
      <c r="F223" s="26" t="s">
        <v>121</v>
      </c>
      <c r="G223" s="59">
        <v>2012210</v>
      </c>
      <c r="H223" s="29">
        <v>12</v>
      </c>
      <c r="I223" s="26" t="s">
        <v>60</v>
      </c>
      <c r="J223" s="26" t="s">
        <v>1096</v>
      </c>
    </row>
    <row r="224" spans="1:10" ht="15.75" customHeight="1">
      <c r="A224" s="26" t="s">
        <v>315</v>
      </c>
      <c r="B224" s="29">
        <v>41</v>
      </c>
      <c r="C224" s="26" t="s">
        <v>53</v>
      </c>
      <c r="D224" s="26" t="s">
        <v>60</v>
      </c>
      <c r="E224" s="27" t="s">
        <v>73</v>
      </c>
      <c r="F224" s="26" t="s">
        <v>134</v>
      </c>
      <c r="G224" s="59">
        <v>4321090</v>
      </c>
      <c r="H224" s="29">
        <v>3</v>
      </c>
      <c r="I224" s="26" t="s">
        <v>63</v>
      </c>
      <c r="J224" s="26" t="s">
        <v>1095</v>
      </c>
    </row>
    <row r="225" spans="1:10" ht="15.75" customHeight="1">
      <c r="A225" s="26" t="s">
        <v>316</v>
      </c>
      <c r="B225" s="29">
        <v>37</v>
      </c>
      <c r="C225" s="26" t="s">
        <v>59</v>
      </c>
      <c r="D225" s="26" t="s">
        <v>54</v>
      </c>
      <c r="E225" s="27" t="s">
        <v>61</v>
      </c>
      <c r="F225" s="26" t="s">
        <v>56</v>
      </c>
      <c r="G225" s="59">
        <v>1744525</v>
      </c>
      <c r="H225" s="29">
        <v>5</v>
      </c>
      <c r="I225" s="26" t="s">
        <v>57</v>
      </c>
      <c r="J225" s="26" t="s">
        <v>1095</v>
      </c>
    </row>
    <row r="226" spans="1:10" ht="15.75" customHeight="1">
      <c r="A226" s="26" t="s">
        <v>317</v>
      </c>
      <c r="B226" s="29">
        <v>50</v>
      </c>
      <c r="C226" s="26" t="s">
        <v>53</v>
      </c>
      <c r="D226" s="26" t="s">
        <v>54</v>
      </c>
      <c r="E226" s="27" t="s">
        <v>85</v>
      </c>
      <c r="F226" s="26" t="s">
        <v>104</v>
      </c>
      <c r="G226" s="59">
        <v>2201310</v>
      </c>
      <c r="H226" s="29">
        <v>7</v>
      </c>
      <c r="I226" s="26" t="s">
        <v>67</v>
      </c>
      <c r="J226" s="26" t="s">
        <v>1095</v>
      </c>
    </row>
    <row r="227" spans="1:10" ht="15.75" customHeight="1">
      <c r="A227" s="26" t="s">
        <v>318</v>
      </c>
      <c r="B227" s="29">
        <v>33</v>
      </c>
      <c r="C227" s="26" t="s">
        <v>53</v>
      </c>
      <c r="D227" s="26" t="s">
        <v>60</v>
      </c>
      <c r="E227" s="27" t="s">
        <v>61</v>
      </c>
      <c r="F227" s="26" t="s">
        <v>1093</v>
      </c>
      <c r="G227" s="59">
        <v>7468520</v>
      </c>
      <c r="H227" s="29">
        <v>10</v>
      </c>
      <c r="I227" s="26" t="s">
        <v>60</v>
      </c>
      <c r="J227" s="26" t="s">
        <v>1096</v>
      </c>
    </row>
    <row r="228" spans="1:10" ht="15.75" customHeight="1">
      <c r="A228" s="26" t="s">
        <v>319</v>
      </c>
      <c r="B228" s="29">
        <v>50</v>
      </c>
      <c r="C228" s="26" t="s">
        <v>53</v>
      </c>
      <c r="D228" s="26" t="s">
        <v>60</v>
      </c>
      <c r="E228" s="27" t="s">
        <v>55</v>
      </c>
      <c r="F228" s="26" t="s">
        <v>1093</v>
      </c>
      <c r="G228" s="59">
        <v>2557655</v>
      </c>
      <c r="H228" s="29">
        <v>10</v>
      </c>
      <c r="I228" s="26" t="s">
        <v>63</v>
      </c>
      <c r="J228" s="26" t="s">
        <v>1095</v>
      </c>
    </row>
    <row r="229" spans="1:10" ht="15.75" customHeight="1">
      <c r="A229" s="26" t="s">
        <v>320</v>
      </c>
      <c r="B229" s="29">
        <v>25</v>
      </c>
      <c r="C229" s="26" t="s">
        <v>59</v>
      </c>
      <c r="D229" s="26" t="s">
        <v>54</v>
      </c>
      <c r="E229" s="27" t="s">
        <v>78</v>
      </c>
      <c r="F229" s="26" t="s">
        <v>102</v>
      </c>
      <c r="G229" s="59">
        <v>881175</v>
      </c>
      <c r="H229" s="29">
        <v>5</v>
      </c>
      <c r="I229" s="26" t="s">
        <v>57</v>
      </c>
      <c r="J229" s="26" t="s">
        <v>1095</v>
      </c>
    </row>
    <row r="230" spans="1:10" ht="15.75" customHeight="1">
      <c r="A230" s="26" t="s">
        <v>321</v>
      </c>
      <c r="B230" s="29">
        <v>34</v>
      </c>
      <c r="C230" s="26" t="s">
        <v>53</v>
      </c>
      <c r="D230" s="26" t="s">
        <v>60</v>
      </c>
      <c r="E230" s="27" t="s">
        <v>55</v>
      </c>
      <c r="F230" s="26" t="s">
        <v>92</v>
      </c>
      <c r="G230" s="59">
        <v>2834795</v>
      </c>
      <c r="H230" s="29">
        <v>2</v>
      </c>
      <c r="I230" s="26" t="s">
        <v>67</v>
      </c>
      <c r="J230" s="26" t="s">
        <v>1096</v>
      </c>
    </row>
    <row r="231" spans="1:10" ht="15.75" customHeight="1">
      <c r="A231" s="26" t="s">
        <v>322</v>
      </c>
      <c r="B231" s="29">
        <v>39</v>
      </c>
      <c r="C231" s="26" t="s">
        <v>59</v>
      </c>
      <c r="D231" s="26" t="s">
        <v>60</v>
      </c>
      <c r="E231" s="27" t="s">
        <v>55</v>
      </c>
      <c r="F231" s="26" t="s">
        <v>76</v>
      </c>
      <c r="G231" s="59">
        <v>5781655</v>
      </c>
      <c r="H231" s="29">
        <v>5</v>
      </c>
      <c r="I231" s="26" t="s">
        <v>67</v>
      </c>
      <c r="J231" s="26" t="s">
        <v>1096</v>
      </c>
    </row>
    <row r="232" spans="1:10" ht="15.75" customHeight="1">
      <c r="A232" s="26" t="s">
        <v>323</v>
      </c>
      <c r="B232" s="29">
        <v>41</v>
      </c>
      <c r="C232" s="26" t="s">
        <v>59</v>
      </c>
      <c r="D232" s="26" t="s">
        <v>54</v>
      </c>
      <c r="E232" s="27" t="s">
        <v>65</v>
      </c>
      <c r="F232" s="26" t="s">
        <v>69</v>
      </c>
      <c r="G232" s="59">
        <v>3421935</v>
      </c>
      <c r="H232" s="29">
        <v>7</v>
      </c>
      <c r="I232" s="26" t="s">
        <v>67</v>
      </c>
      <c r="J232" s="26" t="s">
        <v>1095</v>
      </c>
    </row>
    <row r="233" spans="1:10" ht="15.75" customHeight="1">
      <c r="A233" s="26" t="s">
        <v>324</v>
      </c>
      <c r="B233" s="29">
        <v>27</v>
      </c>
      <c r="C233" s="26" t="s">
        <v>59</v>
      </c>
      <c r="D233" s="26" t="s">
        <v>54</v>
      </c>
      <c r="E233" s="27" t="s">
        <v>85</v>
      </c>
      <c r="F233" s="26" t="s">
        <v>92</v>
      </c>
      <c r="G233" s="59">
        <v>4511895</v>
      </c>
      <c r="H233" s="29">
        <v>11</v>
      </c>
      <c r="I233" s="26" t="s">
        <v>57</v>
      </c>
      <c r="J233" s="26" t="s">
        <v>1095</v>
      </c>
    </row>
    <row r="234" spans="1:10" ht="15.75" customHeight="1">
      <c r="A234" s="26" t="s">
        <v>325</v>
      </c>
      <c r="B234" s="29">
        <v>23</v>
      </c>
      <c r="C234" s="26" t="s">
        <v>53</v>
      </c>
      <c r="D234" s="26" t="s">
        <v>60</v>
      </c>
      <c r="E234" s="27" t="s">
        <v>73</v>
      </c>
      <c r="F234" s="26" t="s">
        <v>100</v>
      </c>
      <c r="G234" s="59">
        <v>6417930</v>
      </c>
      <c r="H234" s="29">
        <v>9</v>
      </c>
      <c r="I234" s="26" t="s">
        <v>63</v>
      </c>
      <c r="J234" s="26" t="s">
        <v>1095</v>
      </c>
    </row>
    <row r="235" spans="1:10" ht="15.75" customHeight="1">
      <c r="A235" s="26" t="s">
        <v>326</v>
      </c>
      <c r="B235" s="29">
        <v>37</v>
      </c>
      <c r="C235" s="26" t="s">
        <v>59</v>
      </c>
      <c r="D235" s="26" t="s">
        <v>54</v>
      </c>
      <c r="E235" s="27" t="s">
        <v>85</v>
      </c>
      <c r="F235" s="26" t="s">
        <v>88</v>
      </c>
      <c r="G235" s="59">
        <v>6331905</v>
      </c>
      <c r="H235" s="29">
        <v>9</v>
      </c>
      <c r="I235" s="26" t="s">
        <v>60</v>
      </c>
      <c r="J235" s="26" t="s">
        <v>1095</v>
      </c>
    </row>
    <row r="236" spans="1:10" ht="15.75" customHeight="1">
      <c r="A236" s="26" t="s">
        <v>327</v>
      </c>
      <c r="B236" s="29">
        <v>21</v>
      </c>
      <c r="C236" s="26" t="s">
        <v>59</v>
      </c>
      <c r="D236" s="26" t="s">
        <v>54</v>
      </c>
      <c r="E236" s="27" t="s">
        <v>73</v>
      </c>
      <c r="F236" s="26" t="s">
        <v>71</v>
      </c>
      <c r="G236" s="59">
        <v>1602700</v>
      </c>
      <c r="H236" s="29">
        <v>9</v>
      </c>
      <c r="I236" s="26" t="s">
        <v>60</v>
      </c>
      <c r="J236" s="26" t="s">
        <v>1095</v>
      </c>
    </row>
    <row r="237" spans="1:10" ht="15.75" customHeight="1">
      <c r="A237" s="26" t="s">
        <v>328</v>
      </c>
      <c r="B237" s="29">
        <v>47</v>
      </c>
      <c r="C237" s="26" t="s">
        <v>59</v>
      </c>
      <c r="D237" s="26" t="s">
        <v>54</v>
      </c>
      <c r="E237" s="27" t="s">
        <v>85</v>
      </c>
      <c r="F237" s="26" t="s">
        <v>71</v>
      </c>
      <c r="G237" s="59">
        <v>1052760</v>
      </c>
      <c r="H237" s="29">
        <v>0</v>
      </c>
      <c r="I237" s="26" t="s">
        <v>67</v>
      </c>
      <c r="J237" s="26" t="s">
        <v>1096</v>
      </c>
    </row>
    <row r="238" spans="1:10" ht="15.75" customHeight="1">
      <c r="A238" s="26" t="s">
        <v>329</v>
      </c>
      <c r="B238" s="29">
        <v>42</v>
      </c>
      <c r="C238" s="26" t="s">
        <v>53</v>
      </c>
      <c r="D238" s="26" t="s">
        <v>54</v>
      </c>
      <c r="E238" s="27" t="s">
        <v>78</v>
      </c>
      <c r="F238" s="26" t="s">
        <v>113</v>
      </c>
      <c r="G238" s="59">
        <v>5489480</v>
      </c>
      <c r="H238" s="29">
        <v>8</v>
      </c>
      <c r="I238" s="26" t="s">
        <v>67</v>
      </c>
      <c r="J238" s="26" t="s">
        <v>1095</v>
      </c>
    </row>
    <row r="239" spans="1:10" ht="15.75" customHeight="1">
      <c r="A239" s="26" t="s">
        <v>330</v>
      </c>
      <c r="B239" s="29">
        <v>30</v>
      </c>
      <c r="C239" s="26" t="s">
        <v>59</v>
      </c>
      <c r="D239" s="26" t="s">
        <v>54</v>
      </c>
      <c r="E239" s="27" t="s">
        <v>65</v>
      </c>
      <c r="F239" s="26" t="s">
        <v>76</v>
      </c>
      <c r="G239" s="59">
        <v>4289935</v>
      </c>
      <c r="H239" s="29">
        <v>2</v>
      </c>
      <c r="I239" s="26" t="s">
        <v>67</v>
      </c>
      <c r="J239" s="26" t="s">
        <v>1095</v>
      </c>
    </row>
    <row r="240" spans="1:10" ht="15.75" customHeight="1">
      <c r="A240" s="26" t="s">
        <v>331</v>
      </c>
      <c r="B240" s="29">
        <v>49</v>
      </c>
      <c r="C240" s="26" t="s">
        <v>59</v>
      </c>
      <c r="D240" s="26" t="s">
        <v>54</v>
      </c>
      <c r="E240" s="27" t="s">
        <v>61</v>
      </c>
      <c r="F240" s="26" t="s">
        <v>90</v>
      </c>
      <c r="G240" s="59">
        <v>2948875</v>
      </c>
      <c r="H240" s="29">
        <v>6</v>
      </c>
      <c r="I240" s="26" t="s">
        <v>57</v>
      </c>
      <c r="J240" s="26" t="s">
        <v>1096</v>
      </c>
    </row>
    <row r="241" spans="1:10" ht="15.75" customHeight="1">
      <c r="A241" s="26" t="s">
        <v>332</v>
      </c>
      <c r="B241" s="29">
        <v>28</v>
      </c>
      <c r="C241" s="26" t="s">
        <v>53</v>
      </c>
      <c r="D241" s="26" t="s">
        <v>54</v>
      </c>
      <c r="E241" s="27" t="s">
        <v>85</v>
      </c>
      <c r="F241" s="26" t="s">
        <v>88</v>
      </c>
      <c r="G241" s="59">
        <v>3154095</v>
      </c>
      <c r="H241" s="29">
        <v>7</v>
      </c>
      <c r="I241" s="26" t="s">
        <v>63</v>
      </c>
      <c r="J241" s="26" t="s">
        <v>1096</v>
      </c>
    </row>
    <row r="242" spans="1:10" ht="15.75" customHeight="1">
      <c r="A242" s="26" t="s">
        <v>333</v>
      </c>
      <c r="B242" s="29">
        <v>24</v>
      </c>
      <c r="C242" s="26" t="s">
        <v>59</v>
      </c>
      <c r="D242" s="26" t="s">
        <v>54</v>
      </c>
      <c r="E242" s="27" t="s">
        <v>65</v>
      </c>
      <c r="F242" s="26" t="s">
        <v>113</v>
      </c>
      <c r="G242" s="59">
        <v>4084250</v>
      </c>
      <c r="H242" s="29">
        <v>6</v>
      </c>
      <c r="I242" s="26" t="s">
        <v>57</v>
      </c>
      <c r="J242" s="26" t="s">
        <v>1096</v>
      </c>
    </row>
    <row r="243" spans="1:10" ht="15.75" customHeight="1">
      <c r="A243" s="26" t="s">
        <v>334</v>
      </c>
      <c r="B243" s="29">
        <v>40</v>
      </c>
      <c r="C243" s="26" t="s">
        <v>53</v>
      </c>
      <c r="D243" s="26" t="s">
        <v>60</v>
      </c>
      <c r="E243" s="27" t="s">
        <v>78</v>
      </c>
      <c r="F243" s="26" t="s">
        <v>109</v>
      </c>
      <c r="G243" s="59">
        <v>3833150</v>
      </c>
      <c r="H243" s="29">
        <v>2</v>
      </c>
      <c r="I243" s="26" t="s">
        <v>67</v>
      </c>
      <c r="J243" s="26" t="s">
        <v>1095</v>
      </c>
    </row>
    <row r="244" spans="1:10" ht="15.75" customHeight="1">
      <c r="A244" s="26" t="s">
        <v>335</v>
      </c>
      <c r="B244" s="29">
        <v>18</v>
      </c>
      <c r="C244" s="26" t="s">
        <v>59</v>
      </c>
      <c r="D244" s="26" t="s">
        <v>60</v>
      </c>
      <c r="E244" s="27" t="s">
        <v>65</v>
      </c>
      <c r="F244" s="26" t="s">
        <v>104</v>
      </c>
      <c r="G244" s="59">
        <v>786005</v>
      </c>
      <c r="H244" s="29">
        <v>12</v>
      </c>
      <c r="I244" s="26" t="s">
        <v>57</v>
      </c>
      <c r="J244" s="26" t="s">
        <v>1095</v>
      </c>
    </row>
    <row r="245" spans="1:10" ht="15.75" customHeight="1">
      <c r="A245" s="26" t="s">
        <v>336</v>
      </c>
      <c r="B245" s="29">
        <v>42</v>
      </c>
      <c r="C245" s="26" t="s">
        <v>59</v>
      </c>
      <c r="D245" s="26" t="s">
        <v>60</v>
      </c>
      <c r="E245" s="27" t="s">
        <v>61</v>
      </c>
      <c r="F245" s="26" t="s">
        <v>66</v>
      </c>
      <c r="G245" s="59">
        <v>2043675</v>
      </c>
      <c r="H245" s="29">
        <v>4</v>
      </c>
      <c r="I245" s="26" t="s">
        <v>67</v>
      </c>
      <c r="J245" s="26" t="s">
        <v>1095</v>
      </c>
    </row>
    <row r="246" spans="1:10" ht="15.75" customHeight="1">
      <c r="A246" s="26" t="s">
        <v>337</v>
      </c>
      <c r="B246" s="29">
        <v>19</v>
      </c>
      <c r="C246" s="26" t="s">
        <v>59</v>
      </c>
      <c r="D246" s="26" t="s">
        <v>60</v>
      </c>
      <c r="E246" s="27" t="s">
        <v>85</v>
      </c>
      <c r="F246" s="26" t="s">
        <v>137</v>
      </c>
      <c r="G246" s="59">
        <v>7120545</v>
      </c>
      <c r="H246" s="29">
        <v>6</v>
      </c>
      <c r="I246" s="26" t="s">
        <v>67</v>
      </c>
      <c r="J246" s="26" t="s">
        <v>1096</v>
      </c>
    </row>
    <row r="247" spans="1:10" ht="15.75" customHeight="1">
      <c r="A247" s="26" t="s">
        <v>338</v>
      </c>
      <c r="B247" s="29">
        <v>36</v>
      </c>
      <c r="C247" s="26" t="s">
        <v>53</v>
      </c>
      <c r="D247" s="26" t="s">
        <v>60</v>
      </c>
      <c r="E247" s="27" t="s">
        <v>85</v>
      </c>
      <c r="F247" s="26" t="s">
        <v>66</v>
      </c>
      <c r="G247" s="59">
        <v>5941615</v>
      </c>
      <c r="H247" s="29">
        <v>6</v>
      </c>
      <c r="I247" s="26" t="s">
        <v>63</v>
      </c>
      <c r="J247" s="26" t="s">
        <v>1096</v>
      </c>
    </row>
    <row r="248" spans="1:10" ht="15.75" customHeight="1">
      <c r="A248" s="26" t="s">
        <v>339</v>
      </c>
      <c r="B248" s="29">
        <v>26</v>
      </c>
      <c r="C248" s="26" t="s">
        <v>53</v>
      </c>
      <c r="D248" s="26" t="s">
        <v>60</v>
      </c>
      <c r="E248" s="27" t="s">
        <v>78</v>
      </c>
      <c r="F248" s="26" t="s">
        <v>104</v>
      </c>
      <c r="G248" s="59">
        <v>3287240</v>
      </c>
      <c r="H248" s="29">
        <v>8</v>
      </c>
      <c r="I248" s="26" t="s">
        <v>67</v>
      </c>
      <c r="J248" s="26" t="s">
        <v>1096</v>
      </c>
    </row>
    <row r="249" spans="1:10" ht="15.75" customHeight="1">
      <c r="A249" s="26" t="s">
        <v>340</v>
      </c>
      <c r="B249" s="29">
        <v>35</v>
      </c>
      <c r="C249" s="26" t="s">
        <v>53</v>
      </c>
      <c r="D249" s="26" t="s">
        <v>60</v>
      </c>
      <c r="E249" s="27" t="s">
        <v>78</v>
      </c>
      <c r="F249" s="26" t="s">
        <v>109</v>
      </c>
      <c r="G249" s="59">
        <v>5746315</v>
      </c>
      <c r="H249" s="29">
        <v>7</v>
      </c>
      <c r="I249" s="26" t="s">
        <v>60</v>
      </c>
      <c r="J249" s="26" t="s">
        <v>1096</v>
      </c>
    </row>
    <row r="250" spans="1:10" ht="15.75" customHeight="1">
      <c r="A250" s="26" t="s">
        <v>341</v>
      </c>
      <c r="B250" s="29">
        <v>39</v>
      </c>
      <c r="C250" s="26" t="s">
        <v>59</v>
      </c>
      <c r="D250" s="26" t="s">
        <v>60</v>
      </c>
      <c r="E250" s="27" t="s">
        <v>61</v>
      </c>
      <c r="F250" s="26" t="s">
        <v>134</v>
      </c>
      <c r="G250" s="59">
        <v>4954730</v>
      </c>
      <c r="H250" s="29">
        <v>7</v>
      </c>
      <c r="I250" s="26" t="s">
        <v>60</v>
      </c>
      <c r="J250" s="26" t="s">
        <v>1096</v>
      </c>
    </row>
    <row r="251" spans="1:10" ht="15.75" customHeight="1">
      <c r="A251" s="26" t="s">
        <v>342</v>
      </c>
      <c r="B251" s="29">
        <v>44</v>
      </c>
      <c r="C251" s="26" t="s">
        <v>53</v>
      </c>
      <c r="D251" s="26" t="s">
        <v>54</v>
      </c>
      <c r="E251" s="27" t="s">
        <v>65</v>
      </c>
      <c r="F251" s="26" t="s">
        <v>167</v>
      </c>
      <c r="G251" s="59">
        <v>5782275</v>
      </c>
      <c r="H251" s="29">
        <v>3</v>
      </c>
      <c r="I251" s="26" t="s">
        <v>67</v>
      </c>
      <c r="J251" s="26" t="s">
        <v>1096</v>
      </c>
    </row>
    <row r="252" spans="1:10" ht="15.75" customHeight="1">
      <c r="A252" s="26" t="s">
        <v>343</v>
      </c>
      <c r="B252" s="29">
        <v>19</v>
      </c>
      <c r="C252" s="26" t="s">
        <v>53</v>
      </c>
      <c r="D252" s="26" t="s">
        <v>60</v>
      </c>
      <c r="E252" s="27" t="s">
        <v>85</v>
      </c>
      <c r="F252" s="26" t="s">
        <v>80</v>
      </c>
      <c r="G252" s="59">
        <v>6103590</v>
      </c>
      <c r="H252" s="29">
        <v>6</v>
      </c>
      <c r="I252" s="26" t="s">
        <v>63</v>
      </c>
      <c r="J252" s="26" t="s">
        <v>1095</v>
      </c>
    </row>
    <row r="253" spans="1:10" ht="15.75" customHeight="1">
      <c r="A253" s="26" t="s">
        <v>344</v>
      </c>
      <c r="B253" s="29">
        <v>27</v>
      </c>
      <c r="C253" s="26" t="s">
        <v>53</v>
      </c>
      <c r="D253" s="26" t="s">
        <v>60</v>
      </c>
      <c r="E253" s="27" t="s">
        <v>78</v>
      </c>
      <c r="F253" s="26" t="s">
        <v>134</v>
      </c>
      <c r="G253" s="59">
        <v>3798120</v>
      </c>
      <c r="H253" s="29">
        <v>4</v>
      </c>
      <c r="I253" s="26" t="s">
        <v>60</v>
      </c>
      <c r="J253" s="26" t="s">
        <v>1095</v>
      </c>
    </row>
    <row r="254" spans="1:10" ht="15.75" customHeight="1">
      <c r="A254" s="26" t="s">
        <v>345</v>
      </c>
      <c r="B254" s="29">
        <v>26</v>
      </c>
      <c r="C254" s="26" t="s">
        <v>53</v>
      </c>
      <c r="D254" s="26" t="s">
        <v>60</v>
      </c>
      <c r="E254" s="27" t="s">
        <v>85</v>
      </c>
      <c r="F254" s="26" t="s">
        <v>137</v>
      </c>
      <c r="G254" s="59">
        <v>1724685</v>
      </c>
      <c r="H254" s="29">
        <v>3</v>
      </c>
      <c r="I254" s="26" t="s">
        <v>60</v>
      </c>
      <c r="J254" s="26" t="s">
        <v>1096</v>
      </c>
    </row>
    <row r="255" spans="1:10" ht="15.75" customHeight="1">
      <c r="A255" s="26" t="s">
        <v>346</v>
      </c>
      <c r="B255" s="29">
        <v>26</v>
      </c>
      <c r="C255" s="26" t="s">
        <v>53</v>
      </c>
      <c r="D255" s="26" t="s">
        <v>60</v>
      </c>
      <c r="E255" s="27" t="s">
        <v>61</v>
      </c>
      <c r="F255" s="26" t="s">
        <v>102</v>
      </c>
      <c r="G255" s="59">
        <v>1445995</v>
      </c>
      <c r="H255" s="29">
        <v>11</v>
      </c>
      <c r="I255" s="26" t="s">
        <v>60</v>
      </c>
      <c r="J255" s="26" t="s">
        <v>1095</v>
      </c>
    </row>
    <row r="256" spans="1:10" ht="15.75" customHeight="1">
      <c r="A256" s="26" t="s">
        <v>347</v>
      </c>
      <c r="B256" s="29">
        <v>27</v>
      </c>
      <c r="C256" s="26" t="s">
        <v>53</v>
      </c>
      <c r="D256" s="26" t="s">
        <v>60</v>
      </c>
      <c r="E256" s="27" t="s">
        <v>65</v>
      </c>
      <c r="F256" s="26" t="s">
        <v>92</v>
      </c>
      <c r="G256" s="59">
        <v>2425750</v>
      </c>
      <c r="H256" s="29">
        <v>5</v>
      </c>
      <c r="I256" s="26" t="s">
        <v>60</v>
      </c>
      <c r="J256" s="26" t="s">
        <v>1095</v>
      </c>
    </row>
    <row r="257" spans="1:10" ht="15.75" customHeight="1">
      <c r="A257" s="26" t="s">
        <v>348</v>
      </c>
      <c r="B257" s="29">
        <v>37</v>
      </c>
      <c r="C257" s="26" t="s">
        <v>59</v>
      </c>
      <c r="D257" s="26" t="s">
        <v>54</v>
      </c>
      <c r="E257" s="27" t="s">
        <v>55</v>
      </c>
      <c r="F257" s="26" t="s">
        <v>1093</v>
      </c>
      <c r="G257" s="59">
        <v>4496705</v>
      </c>
      <c r="H257" s="29">
        <v>8</v>
      </c>
      <c r="I257" s="26" t="s">
        <v>63</v>
      </c>
      <c r="J257" s="26" t="s">
        <v>1096</v>
      </c>
    </row>
    <row r="258" spans="1:10" ht="15.75" customHeight="1">
      <c r="A258" s="26" t="s">
        <v>349</v>
      </c>
      <c r="B258" s="29">
        <v>23</v>
      </c>
      <c r="C258" s="26" t="s">
        <v>53</v>
      </c>
      <c r="D258" s="26" t="s">
        <v>54</v>
      </c>
      <c r="E258" s="27" t="s">
        <v>85</v>
      </c>
      <c r="F258" s="26" t="s">
        <v>100</v>
      </c>
      <c r="G258" s="59">
        <v>5506840</v>
      </c>
      <c r="H258" s="29">
        <v>3</v>
      </c>
      <c r="I258" s="26" t="s">
        <v>67</v>
      </c>
      <c r="J258" s="26" t="s">
        <v>1095</v>
      </c>
    </row>
    <row r="259" spans="1:10" ht="15.75" customHeight="1">
      <c r="A259" s="26" t="s">
        <v>350</v>
      </c>
      <c r="B259" s="29">
        <v>31</v>
      </c>
      <c r="C259" s="26" t="s">
        <v>53</v>
      </c>
      <c r="D259" s="26" t="s">
        <v>54</v>
      </c>
      <c r="E259" s="27" t="s">
        <v>65</v>
      </c>
      <c r="F259" s="26" t="s">
        <v>56</v>
      </c>
      <c r="G259" s="59">
        <v>1142970</v>
      </c>
      <c r="H259" s="29">
        <v>7</v>
      </c>
      <c r="I259" s="26" t="s">
        <v>60</v>
      </c>
      <c r="J259" s="26" t="s">
        <v>1096</v>
      </c>
    </row>
    <row r="260" spans="1:10" ht="15.75" customHeight="1">
      <c r="A260" s="26" t="s">
        <v>351</v>
      </c>
      <c r="B260" s="29">
        <v>21</v>
      </c>
      <c r="C260" s="26" t="s">
        <v>53</v>
      </c>
      <c r="D260" s="26" t="s">
        <v>54</v>
      </c>
      <c r="E260" s="27" t="s">
        <v>78</v>
      </c>
      <c r="F260" s="26" t="s">
        <v>80</v>
      </c>
      <c r="G260" s="59">
        <v>2640425</v>
      </c>
      <c r="H260" s="29">
        <v>10</v>
      </c>
      <c r="I260" s="26" t="s">
        <v>63</v>
      </c>
      <c r="J260" s="26" t="s">
        <v>1095</v>
      </c>
    </row>
    <row r="261" spans="1:10" ht="15.75" customHeight="1">
      <c r="A261" s="26" t="s">
        <v>352</v>
      </c>
      <c r="B261" s="29">
        <v>36</v>
      </c>
      <c r="C261" s="26" t="s">
        <v>53</v>
      </c>
      <c r="D261" s="26" t="s">
        <v>60</v>
      </c>
      <c r="E261" s="27" t="s">
        <v>85</v>
      </c>
      <c r="F261" s="26" t="s">
        <v>69</v>
      </c>
      <c r="G261" s="59">
        <v>1917350</v>
      </c>
      <c r="H261" s="29">
        <v>6</v>
      </c>
      <c r="I261" s="26" t="s">
        <v>60</v>
      </c>
      <c r="J261" s="26" t="s">
        <v>1096</v>
      </c>
    </row>
    <row r="262" spans="1:10" ht="15.75" customHeight="1">
      <c r="A262" s="26" t="s">
        <v>353</v>
      </c>
      <c r="B262" s="29">
        <v>21</v>
      </c>
      <c r="C262" s="26" t="s">
        <v>53</v>
      </c>
      <c r="D262" s="26" t="s">
        <v>54</v>
      </c>
      <c r="E262" s="27" t="s">
        <v>85</v>
      </c>
      <c r="F262" s="26" t="s">
        <v>56</v>
      </c>
      <c r="G262" s="59">
        <v>3124800</v>
      </c>
      <c r="H262" s="29">
        <v>9</v>
      </c>
      <c r="I262" s="26" t="s">
        <v>63</v>
      </c>
      <c r="J262" s="26" t="s">
        <v>1096</v>
      </c>
    </row>
    <row r="263" spans="1:10" ht="15.75" customHeight="1">
      <c r="A263" s="26" t="s">
        <v>354</v>
      </c>
      <c r="B263" s="29">
        <v>27</v>
      </c>
      <c r="C263" s="26" t="s">
        <v>53</v>
      </c>
      <c r="D263" s="26" t="s">
        <v>54</v>
      </c>
      <c r="E263" s="27" t="s">
        <v>85</v>
      </c>
      <c r="F263" s="26" t="s">
        <v>71</v>
      </c>
      <c r="G263" s="59">
        <v>1800170</v>
      </c>
      <c r="H263" s="29">
        <v>11</v>
      </c>
      <c r="I263" s="26" t="s">
        <v>60</v>
      </c>
      <c r="J263" s="26" t="s">
        <v>1096</v>
      </c>
    </row>
    <row r="264" spans="1:10" ht="15.75" customHeight="1">
      <c r="A264" s="26" t="s">
        <v>355</v>
      </c>
      <c r="B264" s="29">
        <v>29</v>
      </c>
      <c r="C264" s="26" t="s">
        <v>53</v>
      </c>
      <c r="D264" s="26" t="s">
        <v>54</v>
      </c>
      <c r="E264" s="27" t="s">
        <v>73</v>
      </c>
      <c r="F264" s="26" t="s">
        <v>167</v>
      </c>
      <c r="G264" s="59">
        <v>7492390</v>
      </c>
      <c r="H264" s="29">
        <v>9</v>
      </c>
      <c r="I264" s="26" t="s">
        <v>60</v>
      </c>
      <c r="J264" s="26" t="s">
        <v>1096</v>
      </c>
    </row>
    <row r="265" spans="1:10" ht="15.75" customHeight="1">
      <c r="A265" s="26" t="s">
        <v>356</v>
      </c>
      <c r="B265" s="29">
        <v>24</v>
      </c>
      <c r="C265" s="26" t="s">
        <v>59</v>
      </c>
      <c r="D265" s="26" t="s">
        <v>54</v>
      </c>
      <c r="E265" s="27" t="s">
        <v>85</v>
      </c>
      <c r="F265" s="26" t="s">
        <v>113</v>
      </c>
      <c r="G265" s="59">
        <v>6488610</v>
      </c>
      <c r="H265" s="29">
        <v>9</v>
      </c>
      <c r="I265" s="26" t="s">
        <v>67</v>
      </c>
      <c r="J265" s="26" t="s">
        <v>1095</v>
      </c>
    </row>
    <row r="266" spans="1:10" ht="15.75" customHeight="1">
      <c r="A266" s="26" t="s">
        <v>357</v>
      </c>
      <c r="B266" s="29">
        <v>33</v>
      </c>
      <c r="C266" s="26" t="s">
        <v>53</v>
      </c>
      <c r="D266" s="26" t="s">
        <v>54</v>
      </c>
      <c r="E266" s="27" t="s">
        <v>65</v>
      </c>
      <c r="F266" s="26" t="s">
        <v>76</v>
      </c>
      <c r="G266" s="59">
        <v>2167365</v>
      </c>
      <c r="H266" s="29">
        <v>12</v>
      </c>
      <c r="I266" s="26" t="s">
        <v>57</v>
      </c>
      <c r="J266" s="26" t="s">
        <v>1096</v>
      </c>
    </row>
    <row r="267" spans="1:10" ht="15.75" customHeight="1">
      <c r="A267" s="26" t="s">
        <v>358</v>
      </c>
      <c r="B267" s="29">
        <v>38</v>
      </c>
      <c r="C267" s="26" t="s">
        <v>53</v>
      </c>
      <c r="D267" s="26" t="s">
        <v>60</v>
      </c>
      <c r="E267" s="27" t="s">
        <v>85</v>
      </c>
      <c r="F267" s="26" t="s">
        <v>109</v>
      </c>
      <c r="G267" s="59">
        <v>839635</v>
      </c>
      <c r="H267" s="29">
        <v>4</v>
      </c>
      <c r="I267" s="26" t="s">
        <v>63</v>
      </c>
      <c r="J267" s="26" t="s">
        <v>1096</v>
      </c>
    </row>
    <row r="268" spans="1:10" ht="15.75" customHeight="1">
      <c r="A268" s="26" t="s">
        <v>359</v>
      </c>
      <c r="B268" s="29">
        <v>47</v>
      </c>
      <c r="C268" s="26" t="s">
        <v>59</v>
      </c>
      <c r="D268" s="26" t="s">
        <v>60</v>
      </c>
      <c r="E268" s="27" t="s">
        <v>55</v>
      </c>
      <c r="F268" s="26" t="s">
        <v>167</v>
      </c>
      <c r="G268" s="59">
        <v>6782645</v>
      </c>
      <c r="H268" s="29">
        <v>10</v>
      </c>
      <c r="I268" s="26" t="s">
        <v>57</v>
      </c>
      <c r="J268" s="26" t="s">
        <v>1095</v>
      </c>
    </row>
    <row r="269" spans="1:10" ht="15.75" customHeight="1">
      <c r="A269" s="26" t="s">
        <v>360</v>
      </c>
      <c r="B269" s="29">
        <v>32</v>
      </c>
      <c r="C269" s="26" t="s">
        <v>59</v>
      </c>
      <c r="D269" s="26" t="s">
        <v>54</v>
      </c>
      <c r="E269" s="27" t="s">
        <v>65</v>
      </c>
      <c r="F269" s="26" t="s">
        <v>92</v>
      </c>
      <c r="G269" s="59">
        <v>1760335</v>
      </c>
      <c r="H269" s="29">
        <v>5</v>
      </c>
      <c r="I269" s="26" t="s">
        <v>63</v>
      </c>
      <c r="J269" s="26" t="s">
        <v>1096</v>
      </c>
    </row>
    <row r="270" spans="1:10" ht="15.75" customHeight="1">
      <c r="A270" s="26" t="s">
        <v>361</v>
      </c>
      <c r="B270" s="29">
        <v>21</v>
      </c>
      <c r="C270" s="26" t="s">
        <v>53</v>
      </c>
      <c r="D270" s="26" t="s">
        <v>60</v>
      </c>
      <c r="E270" s="27" t="s">
        <v>61</v>
      </c>
      <c r="F270" s="26" t="s">
        <v>1093</v>
      </c>
      <c r="G270" s="59">
        <v>4735870</v>
      </c>
      <c r="H270" s="29">
        <v>6</v>
      </c>
      <c r="I270" s="26" t="s">
        <v>63</v>
      </c>
      <c r="J270" s="26" t="s">
        <v>1095</v>
      </c>
    </row>
    <row r="271" spans="1:10" ht="15.75" customHeight="1">
      <c r="A271" s="26" t="s">
        <v>362</v>
      </c>
      <c r="B271" s="29">
        <v>23</v>
      </c>
      <c r="C271" s="26" t="s">
        <v>53</v>
      </c>
      <c r="D271" s="26" t="s">
        <v>60</v>
      </c>
      <c r="E271" s="27" t="s">
        <v>78</v>
      </c>
      <c r="F271" s="26" t="s">
        <v>62</v>
      </c>
      <c r="G271" s="59">
        <v>5256360</v>
      </c>
      <c r="H271" s="29">
        <v>2</v>
      </c>
      <c r="I271" s="26" t="s">
        <v>63</v>
      </c>
      <c r="J271" s="26" t="s">
        <v>1096</v>
      </c>
    </row>
    <row r="272" spans="1:10" ht="15.75" customHeight="1">
      <c r="A272" s="26" t="s">
        <v>363</v>
      </c>
      <c r="B272" s="29">
        <v>45</v>
      </c>
      <c r="C272" s="26" t="s">
        <v>53</v>
      </c>
      <c r="D272" s="26" t="s">
        <v>54</v>
      </c>
      <c r="E272" s="27" t="s">
        <v>65</v>
      </c>
      <c r="F272" s="26" t="s">
        <v>167</v>
      </c>
      <c r="G272" s="59">
        <v>5012700</v>
      </c>
      <c r="H272" s="29">
        <v>11</v>
      </c>
      <c r="I272" s="26" t="s">
        <v>67</v>
      </c>
      <c r="J272" s="26" t="s">
        <v>1095</v>
      </c>
    </row>
    <row r="273" spans="1:10" ht="15.75" customHeight="1">
      <c r="A273" s="26" t="s">
        <v>364</v>
      </c>
      <c r="B273" s="29">
        <v>24</v>
      </c>
      <c r="C273" s="26" t="s">
        <v>53</v>
      </c>
      <c r="D273" s="26" t="s">
        <v>54</v>
      </c>
      <c r="E273" s="27" t="s">
        <v>73</v>
      </c>
      <c r="F273" s="26" t="s">
        <v>134</v>
      </c>
      <c r="G273" s="59">
        <v>7325455</v>
      </c>
      <c r="H273" s="29">
        <v>9</v>
      </c>
      <c r="I273" s="26" t="s">
        <v>57</v>
      </c>
      <c r="J273" s="26" t="s">
        <v>1095</v>
      </c>
    </row>
    <row r="274" spans="1:10" ht="15.75" customHeight="1">
      <c r="A274" s="26" t="s">
        <v>365</v>
      </c>
      <c r="B274" s="29">
        <v>20</v>
      </c>
      <c r="C274" s="26" t="s">
        <v>53</v>
      </c>
      <c r="D274" s="26" t="s">
        <v>54</v>
      </c>
      <c r="E274" s="27" t="s">
        <v>78</v>
      </c>
      <c r="F274" s="26" t="s">
        <v>71</v>
      </c>
      <c r="G274" s="59">
        <v>1054310</v>
      </c>
      <c r="H274" s="29">
        <v>10</v>
      </c>
      <c r="I274" s="26" t="s">
        <v>57</v>
      </c>
      <c r="J274" s="26" t="s">
        <v>1095</v>
      </c>
    </row>
    <row r="275" spans="1:10" ht="15.75" customHeight="1">
      <c r="A275" s="26" t="s">
        <v>366</v>
      </c>
      <c r="B275" s="29">
        <v>27</v>
      </c>
      <c r="C275" s="26" t="s">
        <v>59</v>
      </c>
      <c r="D275" s="26" t="s">
        <v>60</v>
      </c>
      <c r="E275" s="27" t="s">
        <v>61</v>
      </c>
      <c r="F275" s="26" t="s">
        <v>104</v>
      </c>
      <c r="G275" s="59">
        <v>3091320</v>
      </c>
      <c r="H275" s="29">
        <v>7</v>
      </c>
      <c r="I275" s="26" t="s">
        <v>57</v>
      </c>
      <c r="J275" s="26" t="s">
        <v>1096</v>
      </c>
    </row>
    <row r="276" spans="1:10" ht="15.75" customHeight="1">
      <c r="A276" s="26" t="s">
        <v>367</v>
      </c>
      <c r="B276" s="29">
        <v>47</v>
      </c>
      <c r="C276" s="26" t="s">
        <v>59</v>
      </c>
      <c r="D276" s="26" t="s">
        <v>60</v>
      </c>
      <c r="E276" s="27" t="s">
        <v>61</v>
      </c>
      <c r="F276" s="26" t="s">
        <v>80</v>
      </c>
      <c r="G276" s="59">
        <v>3886315</v>
      </c>
      <c r="H276" s="29">
        <v>0</v>
      </c>
      <c r="I276" s="26" t="s">
        <v>67</v>
      </c>
      <c r="J276" s="26" t="s">
        <v>1096</v>
      </c>
    </row>
    <row r="277" spans="1:10" ht="15.75" customHeight="1">
      <c r="A277" s="26" t="s">
        <v>368</v>
      </c>
      <c r="B277" s="29">
        <v>34</v>
      </c>
      <c r="C277" s="26" t="s">
        <v>59</v>
      </c>
      <c r="D277" s="26" t="s">
        <v>54</v>
      </c>
      <c r="E277" s="27" t="s">
        <v>78</v>
      </c>
      <c r="F277" s="26" t="s">
        <v>134</v>
      </c>
      <c r="G277" s="59">
        <v>5773595</v>
      </c>
      <c r="H277" s="29">
        <v>12</v>
      </c>
      <c r="I277" s="26" t="s">
        <v>60</v>
      </c>
      <c r="J277" s="26" t="s">
        <v>1095</v>
      </c>
    </row>
    <row r="278" spans="1:10" ht="15.75" customHeight="1">
      <c r="A278" s="26" t="s">
        <v>369</v>
      </c>
      <c r="B278" s="29">
        <v>41</v>
      </c>
      <c r="C278" s="26" t="s">
        <v>59</v>
      </c>
      <c r="D278" s="26" t="s">
        <v>60</v>
      </c>
      <c r="E278" s="27" t="s">
        <v>78</v>
      </c>
      <c r="F278" s="26" t="s">
        <v>76</v>
      </c>
      <c r="G278" s="59">
        <v>2896175</v>
      </c>
      <c r="H278" s="29">
        <v>2</v>
      </c>
      <c r="I278" s="26" t="s">
        <v>60</v>
      </c>
      <c r="J278" s="26" t="s">
        <v>1095</v>
      </c>
    </row>
    <row r="279" spans="1:10" ht="15.75" customHeight="1">
      <c r="A279" s="26" t="s">
        <v>370</v>
      </c>
      <c r="B279" s="29">
        <v>26</v>
      </c>
      <c r="C279" s="26" t="s">
        <v>59</v>
      </c>
      <c r="D279" s="26" t="s">
        <v>60</v>
      </c>
      <c r="E279" s="27" t="s">
        <v>61</v>
      </c>
      <c r="F279" s="26" t="s">
        <v>80</v>
      </c>
      <c r="G279" s="59">
        <v>1136460</v>
      </c>
      <c r="H279" s="29">
        <v>10</v>
      </c>
      <c r="I279" s="26" t="s">
        <v>57</v>
      </c>
      <c r="J279" s="26" t="s">
        <v>1095</v>
      </c>
    </row>
    <row r="280" spans="1:10" ht="15.75" customHeight="1">
      <c r="A280" s="26" t="s">
        <v>371</v>
      </c>
      <c r="B280" s="29">
        <v>49</v>
      </c>
      <c r="C280" s="26" t="s">
        <v>59</v>
      </c>
      <c r="D280" s="26" t="s">
        <v>54</v>
      </c>
      <c r="E280" s="27" t="s">
        <v>65</v>
      </c>
      <c r="F280" s="26" t="s">
        <v>134</v>
      </c>
      <c r="G280" s="59">
        <v>3326145</v>
      </c>
      <c r="H280" s="29">
        <v>6</v>
      </c>
      <c r="I280" s="26" t="s">
        <v>57</v>
      </c>
      <c r="J280" s="26" t="s">
        <v>1095</v>
      </c>
    </row>
    <row r="281" spans="1:10" ht="15.75" customHeight="1">
      <c r="A281" s="26" t="s">
        <v>372</v>
      </c>
      <c r="B281" s="29">
        <v>47</v>
      </c>
      <c r="C281" s="26" t="s">
        <v>53</v>
      </c>
      <c r="D281" s="26" t="s">
        <v>54</v>
      </c>
      <c r="E281" s="27" t="s">
        <v>85</v>
      </c>
      <c r="F281" s="26" t="s">
        <v>71</v>
      </c>
      <c r="G281" s="59">
        <v>7243460</v>
      </c>
      <c r="H281" s="29">
        <v>12</v>
      </c>
      <c r="I281" s="26" t="s">
        <v>63</v>
      </c>
      <c r="J281" s="26" t="s">
        <v>1096</v>
      </c>
    </row>
    <row r="282" spans="1:10" ht="15.75" customHeight="1">
      <c r="A282" s="26" t="s">
        <v>373</v>
      </c>
      <c r="B282" s="29">
        <v>18</v>
      </c>
      <c r="C282" s="26" t="s">
        <v>59</v>
      </c>
      <c r="D282" s="26" t="s">
        <v>54</v>
      </c>
      <c r="E282" s="27" t="s">
        <v>78</v>
      </c>
      <c r="F282" s="26" t="s">
        <v>1094</v>
      </c>
      <c r="G282" s="59">
        <v>7372575</v>
      </c>
      <c r="H282" s="29">
        <v>4</v>
      </c>
      <c r="I282" s="26" t="s">
        <v>60</v>
      </c>
      <c r="J282" s="26" t="s">
        <v>1095</v>
      </c>
    </row>
    <row r="283" spans="1:10" ht="15.75" customHeight="1">
      <c r="A283" s="26" t="s">
        <v>374</v>
      </c>
      <c r="B283" s="29">
        <v>48</v>
      </c>
      <c r="C283" s="26" t="s">
        <v>53</v>
      </c>
      <c r="D283" s="26" t="s">
        <v>54</v>
      </c>
      <c r="E283" s="27" t="s">
        <v>65</v>
      </c>
      <c r="F283" s="26" t="s">
        <v>88</v>
      </c>
      <c r="G283" s="59">
        <v>2501390</v>
      </c>
      <c r="H283" s="29">
        <v>11</v>
      </c>
      <c r="I283" s="26" t="s">
        <v>57</v>
      </c>
      <c r="J283" s="26" t="s">
        <v>1095</v>
      </c>
    </row>
    <row r="284" spans="1:10" ht="15.75" customHeight="1">
      <c r="A284" s="26" t="s">
        <v>375</v>
      </c>
      <c r="B284" s="29">
        <v>19</v>
      </c>
      <c r="C284" s="26" t="s">
        <v>59</v>
      </c>
      <c r="D284" s="26" t="s">
        <v>54</v>
      </c>
      <c r="E284" s="27" t="s">
        <v>85</v>
      </c>
      <c r="F284" s="26" t="s">
        <v>102</v>
      </c>
      <c r="G284" s="59">
        <v>3871590</v>
      </c>
      <c r="H284" s="29">
        <v>4</v>
      </c>
      <c r="I284" s="26" t="s">
        <v>67</v>
      </c>
      <c r="J284" s="26" t="s">
        <v>1096</v>
      </c>
    </row>
    <row r="285" spans="1:10" ht="15.75" customHeight="1">
      <c r="A285" s="26" t="s">
        <v>376</v>
      </c>
      <c r="B285" s="29">
        <v>39</v>
      </c>
      <c r="C285" s="26" t="s">
        <v>53</v>
      </c>
      <c r="D285" s="26" t="s">
        <v>54</v>
      </c>
      <c r="E285" s="27" t="s">
        <v>73</v>
      </c>
      <c r="F285" s="26" t="s">
        <v>134</v>
      </c>
      <c r="G285" s="59">
        <v>2323140</v>
      </c>
      <c r="H285" s="29">
        <v>9</v>
      </c>
      <c r="I285" s="26" t="s">
        <v>67</v>
      </c>
      <c r="J285" s="26" t="s">
        <v>1096</v>
      </c>
    </row>
    <row r="286" spans="1:10" ht="15.75" customHeight="1">
      <c r="A286" s="26" t="s">
        <v>377</v>
      </c>
      <c r="B286" s="29">
        <v>48</v>
      </c>
      <c r="C286" s="26" t="s">
        <v>53</v>
      </c>
      <c r="D286" s="26" t="s">
        <v>60</v>
      </c>
      <c r="E286" s="27" t="s">
        <v>55</v>
      </c>
      <c r="F286" s="26" t="s">
        <v>167</v>
      </c>
      <c r="G286" s="59">
        <v>5379895</v>
      </c>
      <c r="H286" s="29">
        <v>5</v>
      </c>
      <c r="I286" s="26" t="s">
        <v>63</v>
      </c>
      <c r="J286" s="26" t="s">
        <v>1096</v>
      </c>
    </row>
    <row r="287" spans="1:10" ht="15.75" customHeight="1">
      <c r="A287" s="26" t="s">
        <v>378</v>
      </c>
      <c r="B287" s="29">
        <v>43</v>
      </c>
      <c r="C287" s="26" t="s">
        <v>53</v>
      </c>
      <c r="D287" s="26" t="s">
        <v>60</v>
      </c>
      <c r="E287" s="27" t="s">
        <v>73</v>
      </c>
      <c r="F287" s="26" t="s">
        <v>90</v>
      </c>
      <c r="G287" s="59">
        <v>5355095</v>
      </c>
      <c r="H287" s="29">
        <v>9</v>
      </c>
      <c r="I287" s="26" t="s">
        <v>60</v>
      </c>
      <c r="J287" s="26" t="s">
        <v>1095</v>
      </c>
    </row>
    <row r="288" spans="1:10" ht="15.75" customHeight="1">
      <c r="A288" s="26" t="s">
        <v>379</v>
      </c>
      <c r="B288" s="29">
        <v>31</v>
      </c>
      <c r="C288" s="26" t="s">
        <v>53</v>
      </c>
      <c r="D288" s="26" t="s">
        <v>60</v>
      </c>
      <c r="E288" s="27" t="s">
        <v>61</v>
      </c>
      <c r="F288" s="26" t="s">
        <v>90</v>
      </c>
      <c r="G288" s="59">
        <v>4607220</v>
      </c>
      <c r="H288" s="29">
        <v>2</v>
      </c>
      <c r="I288" s="26" t="s">
        <v>63</v>
      </c>
      <c r="J288" s="26" t="s">
        <v>1095</v>
      </c>
    </row>
    <row r="289" spans="1:10" ht="15.75" customHeight="1">
      <c r="A289" s="26" t="s">
        <v>380</v>
      </c>
      <c r="B289" s="29">
        <v>28</v>
      </c>
      <c r="C289" s="26" t="s">
        <v>53</v>
      </c>
      <c r="D289" s="26" t="s">
        <v>54</v>
      </c>
      <c r="E289" s="27" t="s">
        <v>78</v>
      </c>
      <c r="F289" s="26" t="s">
        <v>69</v>
      </c>
      <c r="G289" s="59">
        <v>7662270</v>
      </c>
      <c r="H289" s="29">
        <v>12</v>
      </c>
      <c r="I289" s="26" t="s">
        <v>60</v>
      </c>
      <c r="J289" s="26" t="s">
        <v>1096</v>
      </c>
    </row>
    <row r="290" spans="1:10" ht="15.75" customHeight="1">
      <c r="A290" s="26" t="s">
        <v>381</v>
      </c>
      <c r="B290" s="29">
        <v>29</v>
      </c>
      <c r="C290" s="26" t="s">
        <v>59</v>
      </c>
      <c r="D290" s="26" t="s">
        <v>54</v>
      </c>
      <c r="E290" s="27" t="s">
        <v>78</v>
      </c>
      <c r="F290" s="26" t="s">
        <v>88</v>
      </c>
      <c r="G290" s="59">
        <v>6874560</v>
      </c>
      <c r="H290" s="29">
        <v>5</v>
      </c>
      <c r="I290" s="26" t="s">
        <v>57</v>
      </c>
      <c r="J290" s="26" t="s">
        <v>1095</v>
      </c>
    </row>
    <row r="291" spans="1:10" ht="15.75" customHeight="1">
      <c r="A291" s="26" t="s">
        <v>382</v>
      </c>
      <c r="B291" s="29">
        <v>45</v>
      </c>
      <c r="C291" s="26" t="s">
        <v>53</v>
      </c>
      <c r="D291" s="26" t="s">
        <v>54</v>
      </c>
      <c r="E291" s="27" t="s">
        <v>85</v>
      </c>
      <c r="F291" s="26" t="s">
        <v>167</v>
      </c>
      <c r="G291" s="59">
        <v>7086290</v>
      </c>
      <c r="H291" s="29">
        <v>7</v>
      </c>
      <c r="I291" s="26" t="s">
        <v>60</v>
      </c>
      <c r="J291" s="26" t="s">
        <v>1095</v>
      </c>
    </row>
    <row r="292" spans="1:10" ht="15.75" customHeight="1">
      <c r="A292" s="26" t="s">
        <v>383</v>
      </c>
      <c r="B292" s="29">
        <v>38</v>
      </c>
      <c r="C292" s="26" t="s">
        <v>59</v>
      </c>
      <c r="D292" s="26" t="s">
        <v>54</v>
      </c>
      <c r="E292" s="27" t="s">
        <v>85</v>
      </c>
      <c r="F292" s="26" t="s">
        <v>76</v>
      </c>
      <c r="G292" s="59">
        <v>6322140</v>
      </c>
      <c r="H292" s="29">
        <v>4</v>
      </c>
      <c r="I292" s="26" t="s">
        <v>57</v>
      </c>
      <c r="J292" s="26" t="s">
        <v>1096</v>
      </c>
    </row>
    <row r="293" spans="1:10" ht="15.75" customHeight="1">
      <c r="A293" s="26" t="s">
        <v>384</v>
      </c>
      <c r="B293" s="29">
        <v>30</v>
      </c>
      <c r="C293" s="26" t="s">
        <v>59</v>
      </c>
      <c r="D293" s="26" t="s">
        <v>54</v>
      </c>
      <c r="E293" s="27" t="s">
        <v>85</v>
      </c>
      <c r="F293" s="26" t="s">
        <v>76</v>
      </c>
      <c r="G293" s="59">
        <v>6954540</v>
      </c>
      <c r="H293" s="29">
        <v>8</v>
      </c>
      <c r="I293" s="26" t="s">
        <v>60</v>
      </c>
      <c r="J293" s="26" t="s">
        <v>1095</v>
      </c>
    </row>
    <row r="294" spans="1:10" ht="15.75" customHeight="1">
      <c r="A294" s="26" t="s">
        <v>385</v>
      </c>
      <c r="B294" s="29">
        <v>40</v>
      </c>
      <c r="C294" s="26" t="s">
        <v>53</v>
      </c>
      <c r="D294" s="26" t="s">
        <v>60</v>
      </c>
      <c r="E294" s="27" t="s">
        <v>65</v>
      </c>
      <c r="F294" s="26" t="s">
        <v>98</v>
      </c>
      <c r="G294" s="59">
        <v>3967380</v>
      </c>
      <c r="H294" s="29">
        <v>7</v>
      </c>
      <c r="I294" s="26" t="s">
        <v>60</v>
      </c>
      <c r="J294" s="26" t="s">
        <v>1096</v>
      </c>
    </row>
    <row r="295" spans="1:10" ht="15.75" customHeight="1">
      <c r="A295" s="26" t="s">
        <v>386</v>
      </c>
      <c r="B295" s="29">
        <v>45</v>
      </c>
      <c r="C295" s="26" t="s">
        <v>59</v>
      </c>
      <c r="D295" s="26" t="s">
        <v>54</v>
      </c>
      <c r="E295" s="27" t="s">
        <v>65</v>
      </c>
      <c r="F295" s="26" t="s">
        <v>86</v>
      </c>
      <c r="G295" s="59">
        <v>2264085</v>
      </c>
      <c r="H295" s="29">
        <v>7</v>
      </c>
      <c r="I295" s="26" t="s">
        <v>67</v>
      </c>
      <c r="J295" s="26" t="s">
        <v>1095</v>
      </c>
    </row>
    <row r="296" spans="1:10" ht="15.75" customHeight="1">
      <c r="A296" s="26" t="s">
        <v>387</v>
      </c>
      <c r="B296" s="29">
        <v>44</v>
      </c>
      <c r="C296" s="26" t="s">
        <v>53</v>
      </c>
      <c r="D296" s="26" t="s">
        <v>60</v>
      </c>
      <c r="E296" s="27" t="s">
        <v>85</v>
      </c>
      <c r="F296" s="26" t="s">
        <v>113</v>
      </c>
      <c r="G296" s="59">
        <v>4834450</v>
      </c>
      <c r="H296" s="29">
        <v>4</v>
      </c>
      <c r="I296" s="26" t="s">
        <v>67</v>
      </c>
      <c r="J296" s="26" t="s">
        <v>1096</v>
      </c>
    </row>
    <row r="297" spans="1:10" ht="15.75" customHeight="1">
      <c r="A297" s="26" t="s">
        <v>388</v>
      </c>
      <c r="B297" s="29">
        <v>38</v>
      </c>
      <c r="C297" s="26" t="s">
        <v>53</v>
      </c>
      <c r="D297" s="26" t="s">
        <v>54</v>
      </c>
      <c r="E297" s="27" t="s">
        <v>85</v>
      </c>
      <c r="F297" s="26" t="s">
        <v>56</v>
      </c>
      <c r="G297" s="59">
        <v>4674800</v>
      </c>
      <c r="H297" s="29">
        <v>4</v>
      </c>
      <c r="I297" s="26" t="s">
        <v>67</v>
      </c>
      <c r="J297" s="26" t="s">
        <v>1096</v>
      </c>
    </row>
    <row r="298" spans="1:10" ht="15.75" customHeight="1">
      <c r="A298" s="26" t="s">
        <v>389</v>
      </c>
      <c r="B298" s="29">
        <v>23</v>
      </c>
      <c r="C298" s="26" t="s">
        <v>59</v>
      </c>
      <c r="D298" s="26" t="s">
        <v>54</v>
      </c>
      <c r="E298" s="27" t="s">
        <v>61</v>
      </c>
      <c r="F298" s="26" t="s">
        <v>100</v>
      </c>
      <c r="G298" s="59">
        <v>4610475</v>
      </c>
      <c r="H298" s="29">
        <v>3</v>
      </c>
      <c r="I298" s="26" t="s">
        <v>63</v>
      </c>
      <c r="J298" s="26" t="s">
        <v>1096</v>
      </c>
    </row>
    <row r="299" spans="1:10" ht="15.75" customHeight="1">
      <c r="A299" s="26" t="s">
        <v>390</v>
      </c>
      <c r="B299" s="29">
        <v>30</v>
      </c>
      <c r="C299" s="26" t="s">
        <v>59</v>
      </c>
      <c r="D299" s="26" t="s">
        <v>60</v>
      </c>
      <c r="E299" s="27" t="s">
        <v>65</v>
      </c>
      <c r="F299" s="26" t="s">
        <v>80</v>
      </c>
      <c r="G299" s="59">
        <v>2437530</v>
      </c>
      <c r="H299" s="29">
        <v>3</v>
      </c>
      <c r="I299" s="26" t="s">
        <v>63</v>
      </c>
      <c r="J299" s="26" t="s">
        <v>1096</v>
      </c>
    </row>
    <row r="300" spans="1:10" ht="15.75" customHeight="1">
      <c r="A300" s="26" t="s">
        <v>391</v>
      </c>
      <c r="B300" s="29">
        <v>42</v>
      </c>
      <c r="C300" s="26" t="s">
        <v>59</v>
      </c>
      <c r="D300" s="26" t="s">
        <v>60</v>
      </c>
      <c r="E300" s="27" t="s">
        <v>73</v>
      </c>
      <c r="F300" s="26" t="s">
        <v>113</v>
      </c>
      <c r="G300" s="59">
        <v>3711630</v>
      </c>
      <c r="H300" s="29">
        <v>3</v>
      </c>
      <c r="I300" s="26" t="s">
        <v>67</v>
      </c>
      <c r="J300" s="26" t="s">
        <v>1095</v>
      </c>
    </row>
    <row r="301" spans="1:10" ht="15.75" customHeight="1">
      <c r="A301" s="26" t="s">
        <v>392</v>
      </c>
      <c r="B301" s="29">
        <v>28</v>
      </c>
      <c r="C301" s="26" t="s">
        <v>53</v>
      </c>
      <c r="D301" s="26" t="s">
        <v>60</v>
      </c>
      <c r="E301" s="27" t="s">
        <v>85</v>
      </c>
      <c r="F301" s="26" t="s">
        <v>56</v>
      </c>
      <c r="G301" s="59">
        <v>3732710</v>
      </c>
      <c r="H301" s="29">
        <v>10</v>
      </c>
      <c r="I301" s="26" t="s">
        <v>60</v>
      </c>
      <c r="J301" s="26" t="s">
        <v>1095</v>
      </c>
    </row>
    <row r="302" spans="1:10" ht="15.75" customHeight="1">
      <c r="A302" s="26" t="s">
        <v>393</v>
      </c>
      <c r="B302" s="29">
        <v>44</v>
      </c>
      <c r="C302" s="26" t="s">
        <v>53</v>
      </c>
      <c r="D302" s="26" t="s">
        <v>54</v>
      </c>
      <c r="E302" s="27" t="s">
        <v>73</v>
      </c>
      <c r="F302" s="26" t="s">
        <v>80</v>
      </c>
      <c r="G302" s="59">
        <v>4682085</v>
      </c>
      <c r="H302" s="29">
        <v>6</v>
      </c>
      <c r="I302" s="26" t="s">
        <v>63</v>
      </c>
      <c r="J302" s="26" t="s">
        <v>1095</v>
      </c>
    </row>
    <row r="303" spans="1:10" ht="15.75" customHeight="1">
      <c r="A303" s="26" t="s">
        <v>394</v>
      </c>
      <c r="B303" s="29">
        <v>45</v>
      </c>
      <c r="C303" s="26" t="s">
        <v>59</v>
      </c>
      <c r="D303" s="26" t="s">
        <v>54</v>
      </c>
      <c r="E303" s="27" t="s">
        <v>61</v>
      </c>
      <c r="F303" s="26" t="s">
        <v>100</v>
      </c>
      <c r="G303" s="59">
        <v>5703845</v>
      </c>
      <c r="H303" s="29">
        <v>2</v>
      </c>
      <c r="I303" s="26" t="s">
        <v>57</v>
      </c>
      <c r="J303" s="26" t="s">
        <v>1096</v>
      </c>
    </row>
    <row r="304" spans="1:10" ht="15.75" customHeight="1">
      <c r="A304" s="26" t="s">
        <v>395</v>
      </c>
      <c r="B304" s="29">
        <v>46</v>
      </c>
      <c r="C304" s="26" t="s">
        <v>53</v>
      </c>
      <c r="D304" s="26" t="s">
        <v>60</v>
      </c>
      <c r="E304" s="27" t="s">
        <v>73</v>
      </c>
      <c r="F304" s="26" t="s">
        <v>121</v>
      </c>
      <c r="G304" s="59">
        <v>5576125</v>
      </c>
      <c r="H304" s="29">
        <v>7</v>
      </c>
      <c r="I304" s="26" t="s">
        <v>60</v>
      </c>
      <c r="J304" s="26" t="s">
        <v>1096</v>
      </c>
    </row>
    <row r="305" spans="1:10" ht="15.75" customHeight="1">
      <c r="A305" s="26" t="s">
        <v>396</v>
      </c>
      <c r="B305" s="29">
        <v>28</v>
      </c>
      <c r="C305" s="26" t="s">
        <v>53</v>
      </c>
      <c r="D305" s="26" t="s">
        <v>54</v>
      </c>
      <c r="E305" s="27" t="s">
        <v>73</v>
      </c>
      <c r="F305" s="26" t="s">
        <v>1093</v>
      </c>
      <c r="G305" s="59">
        <v>3168820</v>
      </c>
      <c r="H305" s="29">
        <v>2</v>
      </c>
      <c r="I305" s="26" t="s">
        <v>57</v>
      </c>
      <c r="J305" s="26" t="s">
        <v>1096</v>
      </c>
    </row>
    <row r="306" spans="1:10" ht="15.75" customHeight="1">
      <c r="A306" s="26" t="s">
        <v>397</v>
      </c>
      <c r="B306" s="29">
        <v>27</v>
      </c>
      <c r="C306" s="26" t="s">
        <v>59</v>
      </c>
      <c r="D306" s="26" t="s">
        <v>60</v>
      </c>
      <c r="E306" s="27" t="s">
        <v>85</v>
      </c>
      <c r="F306" s="26" t="s">
        <v>56</v>
      </c>
      <c r="G306" s="59">
        <v>3548415</v>
      </c>
      <c r="H306" s="29">
        <v>7</v>
      </c>
      <c r="I306" s="26" t="s">
        <v>67</v>
      </c>
      <c r="J306" s="26" t="s">
        <v>1095</v>
      </c>
    </row>
    <row r="307" spans="1:10" ht="15.75" customHeight="1">
      <c r="A307" s="26" t="s">
        <v>398</v>
      </c>
      <c r="B307" s="29">
        <v>20</v>
      </c>
      <c r="C307" s="26" t="s">
        <v>53</v>
      </c>
      <c r="D307" s="26" t="s">
        <v>60</v>
      </c>
      <c r="E307" s="27" t="s">
        <v>55</v>
      </c>
      <c r="F307" s="26" t="s">
        <v>66</v>
      </c>
      <c r="G307" s="59">
        <v>5507305</v>
      </c>
      <c r="H307" s="29">
        <v>11</v>
      </c>
      <c r="I307" s="26" t="s">
        <v>60</v>
      </c>
      <c r="J307" s="26" t="s">
        <v>1096</v>
      </c>
    </row>
    <row r="308" spans="1:10" ht="15.75" customHeight="1">
      <c r="A308" s="26" t="s">
        <v>399</v>
      </c>
      <c r="B308" s="29">
        <v>40</v>
      </c>
      <c r="C308" s="26" t="s">
        <v>59</v>
      </c>
      <c r="D308" s="26" t="s">
        <v>60</v>
      </c>
      <c r="E308" s="27" t="s">
        <v>55</v>
      </c>
      <c r="F308" s="26" t="s">
        <v>88</v>
      </c>
      <c r="G308" s="59">
        <v>5187385</v>
      </c>
      <c r="H308" s="29">
        <v>12</v>
      </c>
      <c r="I308" s="26" t="s">
        <v>57</v>
      </c>
      <c r="J308" s="26" t="s">
        <v>1095</v>
      </c>
    </row>
    <row r="309" spans="1:10" ht="15.75" customHeight="1">
      <c r="A309" s="26" t="s">
        <v>400</v>
      </c>
      <c r="B309" s="29">
        <v>36</v>
      </c>
      <c r="C309" s="26" t="s">
        <v>59</v>
      </c>
      <c r="D309" s="26" t="s">
        <v>54</v>
      </c>
      <c r="E309" s="27" t="s">
        <v>55</v>
      </c>
      <c r="F309" s="26" t="s">
        <v>76</v>
      </c>
      <c r="G309" s="59">
        <v>2832160</v>
      </c>
      <c r="H309" s="29">
        <v>5</v>
      </c>
      <c r="I309" s="26" t="s">
        <v>60</v>
      </c>
      <c r="J309" s="26" t="s">
        <v>1096</v>
      </c>
    </row>
    <row r="310" spans="1:10" ht="15.75" customHeight="1">
      <c r="A310" s="26" t="s">
        <v>401</v>
      </c>
      <c r="B310" s="29">
        <v>43</v>
      </c>
      <c r="C310" s="26" t="s">
        <v>59</v>
      </c>
      <c r="D310" s="26" t="s">
        <v>60</v>
      </c>
      <c r="E310" s="27" t="s">
        <v>78</v>
      </c>
      <c r="F310" s="26" t="s">
        <v>167</v>
      </c>
      <c r="G310" s="59">
        <v>4033410</v>
      </c>
      <c r="H310" s="29">
        <v>11</v>
      </c>
      <c r="I310" s="26" t="s">
        <v>57</v>
      </c>
      <c r="J310" s="26" t="s">
        <v>1096</v>
      </c>
    </row>
    <row r="311" spans="1:10" ht="15.75" customHeight="1">
      <c r="A311" s="26" t="s">
        <v>402</v>
      </c>
      <c r="B311" s="29">
        <v>26</v>
      </c>
      <c r="C311" s="26" t="s">
        <v>53</v>
      </c>
      <c r="D311" s="26" t="s">
        <v>60</v>
      </c>
      <c r="E311" s="27" t="s">
        <v>73</v>
      </c>
      <c r="F311" s="26" t="s">
        <v>62</v>
      </c>
      <c r="G311" s="59">
        <v>7051415</v>
      </c>
      <c r="H311" s="29">
        <v>8</v>
      </c>
      <c r="I311" s="26" t="s">
        <v>67</v>
      </c>
      <c r="J311" s="26" t="s">
        <v>1096</v>
      </c>
    </row>
    <row r="312" spans="1:10" ht="15.75" customHeight="1">
      <c r="A312" s="26" t="s">
        <v>403</v>
      </c>
      <c r="B312" s="29">
        <v>29</v>
      </c>
      <c r="C312" s="26" t="s">
        <v>59</v>
      </c>
      <c r="D312" s="26" t="s">
        <v>54</v>
      </c>
      <c r="E312" s="27" t="s">
        <v>85</v>
      </c>
      <c r="F312" s="26" t="s">
        <v>137</v>
      </c>
      <c r="G312" s="59">
        <v>5044010</v>
      </c>
      <c r="H312" s="29">
        <v>11</v>
      </c>
      <c r="I312" s="26" t="s">
        <v>67</v>
      </c>
      <c r="J312" s="26" t="s">
        <v>1095</v>
      </c>
    </row>
    <row r="313" spans="1:10" ht="15.75" customHeight="1">
      <c r="A313" s="26" t="s">
        <v>404</v>
      </c>
      <c r="B313" s="29">
        <v>34</v>
      </c>
      <c r="C313" s="26" t="s">
        <v>53</v>
      </c>
      <c r="D313" s="26" t="s">
        <v>54</v>
      </c>
      <c r="E313" s="27" t="s">
        <v>78</v>
      </c>
      <c r="F313" s="26" t="s">
        <v>167</v>
      </c>
      <c r="G313" s="59">
        <v>5446080</v>
      </c>
      <c r="H313" s="29">
        <v>2</v>
      </c>
      <c r="I313" s="26" t="s">
        <v>60</v>
      </c>
      <c r="J313" s="26" t="s">
        <v>1096</v>
      </c>
    </row>
    <row r="314" spans="1:10" ht="15.75" customHeight="1">
      <c r="A314" s="26" t="s">
        <v>405</v>
      </c>
      <c r="B314" s="29">
        <v>40</v>
      </c>
      <c r="C314" s="26" t="s">
        <v>59</v>
      </c>
      <c r="D314" s="26" t="s">
        <v>60</v>
      </c>
      <c r="E314" s="27" t="s">
        <v>85</v>
      </c>
      <c r="F314" s="26" t="s">
        <v>102</v>
      </c>
      <c r="G314" s="59">
        <v>5171265</v>
      </c>
      <c r="H314" s="29">
        <v>0</v>
      </c>
      <c r="I314" s="26" t="s">
        <v>57</v>
      </c>
      <c r="J314" s="26" t="s">
        <v>1096</v>
      </c>
    </row>
    <row r="315" spans="1:10" ht="15.75" customHeight="1">
      <c r="A315" s="26" t="s">
        <v>406</v>
      </c>
      <c r="B315" s="29">
        <v>42</v>
      </c>
      <c r="C315" s="26" t="s">
        <v>53</v>
      </c>
      <c r="D315" s="26" t="s">
        <v>60</v>
      </c>
      <c r="E315" s="27" t="s">
        <v>78</v>
      </c>
      <c r="F315" s="26" t="s">
        <v>137</v>
      </c>
      <c r="G315" s="59">
        <v>7283450</v>
      </c>
      <c r="H315" s="29">
        <v>4</v>
      </c>
      <c r="I315" s="26" t="s">
        <v>67</v>
      </c>
      <c r="J315" s="26" t="s">
        <v>1096</v>
      </c>
    </row>
    <row r="316" spans="1:10" ht="15.75" customHeight="1">
      <c r="A316" s="26" t="s">
        <v>407</v>
      </c>
      <c r="B316" s="29">
        <v>28</v>
      </c>
      <c r="C316" s="26" t="s">
        <v>59</v>
      </c>
      <c r="D316" s="26" t="s">
        <v>60</v>
      </c>
      <c r="E316" s="27" t="s">
        <v>73</v>
      </c>
      <c r="F316" s="26" t="s">
        <v>82</v>
      </c>
      <c r="G316" s="59">
        <v>3216560</v>
      </c>
      <c r="H316" s="29">
        <v>4</v>
      </c>
      <c r="I316" s="26" t="s">
        <v>67</v>
      </c>
      <c r="J316" s="26" t="s">
        <v>1096</v>
      </c>
    </row>
    <row r="317" spans="1:10" ht="15.75" customHeight="1">
      <c r="A317" s="26" t="s">
        <v>408</v>
      </c>
      <c r="B317" s="29">
        <v>49</v>
      </c>
      <c r="C317" s="26" t="s">
        <v>59</v>
      </c>
      <c r="D317" s="26" t="s">
        <v>60</v>
      </c>
      <c r="E317" s="27" t="s">
        <v>55</v>
      </c>
      <c r="F317" s="26" t="s">
        <v>104</v>
      </c>
      <c r="G317" s="59">
        <v>1951295</v>
      </c>
      <c r="H317" s="29">
        <v>7</v>
      </c>
      <c r="I317" s="26" t="s">
        <v>67</v>
      </c>
      <c r="J317" s="26" t="s">
        <v>1096</v>
      </c>
    </row>
    <row r="318" spans="1:10" ht="15.75" customHeight="1">
      <c r="A318" s="26" t="s">
        <v>409</v>
      </c>
      <c r="B318" s="29">
        <v>46</v>
      </c>
      <c r="C318" s="26" t="s">
        <v>53</v>
      </c>
      <c r="D318" s="26" t="s">
        <v>60</v>
      </c>
      <c r="E318" s="27" t="s">
        <v>61</v>
      </c>
      <c r="F318" s="26" t="s">
        <v>98</v>
      </c>
      <c r="G318" s="59">
        <v>2646935</v>
      </c>
      <c r="H318" s="29">
        <v>9</v>
      </c>
      <c r="I318" s="26" t="s">
        <v>63</v>
      </c>
      <c r="J318" s="26" t="s">
        <v>1096</v>
      </c>
    </row>
    <row r="319" spans="1:10" ht="15.75" customHeight="1">
      <c r="A319" s="26" t="s">
        <v>410</v>
      </c>
      <c r="B319" s="29">
        <v>44</v>
      </c>
      <c r="C319" s="26" t="s">
        <v>53</v>
      </c>
      <c r="D319" s="26" t="s">
        <v>60</v>
      </c>
      <c r="E319" s="27" t="s">
        <v>55</v>
      </c>
      <c r="F319" s="26" t="s">
        <v>98</v>
      </c>
      <c r="G319" s="59">
        <v>990605</v>
      </c>
      <c r="H319" s="29">
        <v>2</v>
      </c>
      <c r="I319" s="26" t="s">
        <v>57</v>
      </c>
      <c r="J319" s="26" t="s">
        <v>1096</v>
      </c>
    </row>
    <row r="320" spans="1:10" ht="15.75" customHeight="1">
      <c r="A320" s="26" t="s">
        <v>411</v>
      </c>
      <c r="B320" s="29">
        <v>29</v>
      </c>
      <c r="C320" s="26" t="s">
        <v>59</v>
      </c>
      <c r="D320" s="26" t="s">
        <v>60</v>
      </c>
      <c r="E320" s="27" t="s">
        <v>55</v>
      </c>
      <c r="F320" s="26" t="s">
        <v>134</v>
      </c>
      <c r="G320" s="59">
        <v>5278525</v>
      </c>
      <c r="H320" s="29">
        <v>7</v>
      </c>
      <c r="I320" s="26" t="s">
        <v>67</v>
      </c>
      <c r="J320" s="26" t="s">
        <v>1096</v>
      </c>
    </row>
    <row r="321" spans="1:10" ht="15.75" customHeight="1">
      <c r="A321" s="26" t="s">
        <v>412</v>
      </c>
      <c r="B321" s="29">
        <v>47</v>
      </c>
      <c r="C321" s="26" t="s">
        <v>59</v>
      </c>
      <c r="D321" s="26" t="s">
        <v>54</v>
      </c>
      <c r="E321" s="27" t="s">
        <v>55</v>
      </c>
      <c r="F321" s="26" t="s">
        <v>100</v>
      </c>
      <c r="G321" s="59">
        <v>5861170</v>
      </c>
      <c r="H321" s="29">
        <v>6</v>
      </c>
      <c r="I321" s="26" t="s">
        <v>63</v>
      </c>
      <c r="J321" s="26" t="s">
        <v>1096</v>
      </c>
    </row>
    <row r="322" spans="1:10" ht="15.75" customHeight="1">
      <c r="A322" s="26" t="s">
        <v>413</v>
      </c>
      <c r="B322" s="29">
        <v>37</v>
      </c>
      <c r="C322" s="26" t="s">
        <v>53</v>
      </c>
      <c r="D322" s="26" t="s">
        <v>54</v>
      </c>
      <c r="E322" s="27" t="s">
        <v>78</v>
      </c>
      <c r="F322" s="26" t="s">
        <v>104</v>
      </c>
      <c r="G322" s="59">
        <v>3655520</v>
      </c>
      <c r="H322" s="29">
        <v>9</v>
      </c>
      <c r="I322" s="26" t="s">
        <v>57</v>
      </c>
      <c r="J322" s="26" t="s">
        <v>1096</v>
      </c>
    </row>
    <row r="323" spans="1:10" ht="15.75" customHeight="1">
      <c r="A323" s="26" t="s">
        <v>414</v>
      </c>
      <c r="B323" s="29">
        <v>47</v>
      </c>
      <c r="C323" s="26" t="s">
        <v>59</v>
      </c>
      <c r="D323" s="26" t="s">
        <v>60</v>
      </c>
      <c r="E323" s="27" t="s">
        <v>78</v>
      </c>
      <c r="F323" s="26" t="s">
        <v>109</v>
      </c>
      <c r="G323" s="59">
        <v>2548820</v>
      </c>
      <c r="H323" s="29">
        <v>5</v>
      </c>
      <c r="I323" s="26" t="s">
        <v>67</v>
      </c>
      <c r="J323" s="26" t="s">
        <v>1096</v>
      </c>
    </row>
    <row r="324" spans="1:10" ht="15.75" customHeight="1">
      <c r="A324" s="26" t="s">
        <v>415</v>
      </c>
      <c r="B324" s="29">
        <v>24</v>
      </c>
      <c r="C324" s="26" t="s">
        <v>59</v>
      </c>
      <c r="D324" s="26" t="s">
        <v>60</v>
      </c>
      <c r="E324" s="27" t="s">
        <v>61</v>
      </c>
      <c r="F324" s="26" t="s">
        <v>80</v>
      </c>
      <c r="G324" s="59">
        <v>7065055</v>
      </c>
      <c r="H324" s="29">
        <v>3</v>
      </c>
      <c r="I324" s="26" t="s">
        <v>67</v>
      </c>
      <c r="J324" s="26" t="s">
        <v>1096</v>
      </c>
    </row>
    <row r="325" spans="1:10" ht="15.75" customHeight="1">
      <c r="A325" s="26" t="s">
        <v>416</v>
      </c>
      <c r="B325" s="29">
        <v>36</v>
      </c>
      <c r="C325" s="26" t="s">
        <v>59</v>
      </c>
      <c r="D325" s="26" t="s">
        <v>60</v>
      </c>
      <c r="E325" s="27" t="s">
        <v>73</v>
      </c>
      <c r="F325" s="26" t="s">
        <v>90</v>
      </c>
      <c r="G325" s="59">
        <v>4623960</v>
      </c>
      <c r="H325" s="29">
        <v>7</v>
      </c>
      <c r="I325" s="26" t="s">
        <v>67</v>
      </c>
      <c r="J325" s="26" t="s">
        <v>1095</v>
      </c>
    </row>
    <row r="326" spans="1:10" ht="15.75" customHeight="1">
      <c r="A326" s="26" t="s">
        <v>417</v>
      </c>
      <c r="B326" s="29">
        <v>36</v>
      </c>
      <c r="C326" s="26" t="s">
        <v>53</v>
      </c>
      <c r="D326" s="26" t="s">
        <v>60</v>
      </c>
      <c r="E326" s="27" t="s">
        <v>55</v>
      </c>
      <c r="F326" s="26" t="s">
        <v>92</v>
      </c>
      <c r="G326" s="59">
        <v>5451505</v>
      </c>
      <c r="H326" s="29">
        <v>7</v>
      </c>
      <c r="I326" s="26" t="s">
        <v>63</v>
      </c>
      <c r="J326" s="26" t="s">
        <v>1095</v>
      </c>
    </row>
    <row r="327" spans="1:10" ht="15.75" customHeight="1">
      <c r="A327" s="26" t="s">
        <v>418</v>
      </c>
      <c r="B327" s="29">
        <v>49</v>
      </c>
      <c r="C327" s="26" t="s">
        <v>59</v>
      </c>
      <c r="D327" s="26" t="s">
        <v>54</v>
      </c>
      <c r="E327" s="27" t="s">
        <v>73</v>
      </c>
      <c r="F327" s="26" t="s">
        <v>104</v>
      </c>
      <c r="G327" s="59">
        <v>6098940</v>
      </c>
      <c r="H327" s="29">
        <v>11</v>
      </c>
      <c r="I327" s="26" t="s">
        <v>60</v>
      </c>
      <c r="J327" s="26" t="s">
        <v>1095</v>
      </c>
    </row>
    <row r="328" spans="1:10" ht="15.75" customHeight="1">
      <c r="A328" s="26" t="s">
        <v>419</v>
      </c>
      <c r="B328" s="29">
        <v>19</v>
      </c>
      <c r="C328" s="26" t="s">
        <v>53</v>
      </c>
      <c r="D328" s="26" t="s">
        <v>60</v>
      </c>
      <c r="E328" s="27" t="s">
        <v>85</v>
      </c>
      <c r="F328" s="26" t="s">
        <v>66</v>
      </c>
      <c r="G328" s="59">
        <v>3746660</v>
      </c>
      <c r="H328" s="29">
        <v>6</v>
      </c>
      <c r="I328" s="26" t="s">
        <v>63</v>
      </c>
      <c r="J328" s="26" t="s">
        <v>1096</v>
      </c>
    </row>
    <row r="329" spans="1:10" ht="15.75" customHeight="1">
      <c r="A329" s="26" t="s">
        <v>420</v>
      </c>
      <c r="B329" s="29">
        <v>27</v>
      </c>
      <c r="C329" s="26" t="s">
        <v>53</v>
      </c>
      <c r="D329" s="26" t="s">
        <v>60</v>
      </c>
      <c r="E329" s="27" t="s">
        <v>61</v>
      </c>
      <c r="F329" s="26" t="s">
        <v>100</v>
      </c>
      <c r="G329" s="59">
        <v>4343100</v>
      </c>
      <c r="H329" s="29">
        <v>3</v>
      </c>
      <c r="I329" s="26" t="s">
        <v>63</v>
      </c>
      <c r="J329" s="26" t="s">
        <v>1096</v>
      </c>
    </row>
    <row r="330" spans="1:10" ht="15.75" customHeight="1">
      <c r="A330" s="26" t="s">
        <v>421</v>
      </c>
      <c r="B330" s="29">
        <v>36</v>
      </c>
      <c r="C330" s="26" t="s">
        <v>53</v>
      </c>
      <c r="D330" s="26" t="s">
        <v>54</v>
      </c>
      <c r="E330" s="27" t="s">
        <v>78</v>
      </c>
      <c r="F330" s="26" t="s">
        <v>113</v>
      </c>
      <c r="G330" s="59">
        <v>2759620</v>
      </c>
      <c r="H330" s="29">
        <v>5</v>
      </c>
      <c r="I330" s="26" t="s">
        <v>57</v>
      </c>
      <c r="J330" s="26" t="s">
        <v>1095</v>
      </c>
    </row>
    <row r="331" spans="1:10" ht="15.75" customHeight="1">
      <c r="A331" s="26" t="s">
        <v>422</v>
      </c>
      <c r="B331" s="29">
        <v>37</v>
      </c>
      <c r="C331" s="26" t="s">
        <v>59</v>
      </c>
      <c r="D331" s="26" t="s">
        <v>60</v>
      </c>
      <c r="E331" s="27" t="s">
        <v>78</v>
      </c>
      <c r="F331" s="26" t="s">
        <v>1093</v>
      </c>
      <c r="G331" s="59">
        <v>5393845</v>
      </c>
      <c r="H331" s="29">
        <v>5</v>
      </c>
      <c r="I331" s="26" t="s">
        <v>67</v>
      </c>
      <c r="J331" s="26" t="s">
        <v>1095</v>
      </c>
    </row>
    <row r="332" spans="1:10" ht="15.75" customHeight="1">
      <c r="A332" s="26" t="s">
        <v>423</v>
      </c>
      <c r="B332" s="29">
        <v>45</v>
      </c>
      <c r="C332" s="26" t="s">
        <v>53</v>
      </c>
      <c r="D332" s="26" t="s">
        <v>54</v>
      </c>
      <c r="E332" s="27" t="s">
        <v>55</v>
      </c>
      <c r="F332" s="26" t="s">
        <v>66</v>
      </c>
      <c r="G332" s="59">
        <v>5329055</v>
      </c>
      <c r="H332" s="29">
        <v>3</v>
      </c>
      <c r="I332" s="26" t="s">
        <v>60</v>
      </c>
      <c r="J332" s="26" t="s">
        <v>1096</v>
      </c>
    </row>
    <row r="333" spans="1:10" ht="15.75" customHeight="1">
      <c r="A333" s="26" t="s">
        <v>424</v>
      </c>
      <c r="B333" s="29">
        <v>47</v>
      </c>
      <c r="C333" s="26" t="s">
        <v>53</v>
      </c>
      <c r="D333" s="26" t="s">
        <v>54</v>
      </c>
      <c r="E333" s="27" t="s">
        <v>85</v>
      </c>
      <c r="F333" s="26" t="s">
        <v>88</v>
      </c>
      <c r="G333" s="59">
        <v>1631995</v>
      </c>
      <c r="H333" s="29">
        <v>7</v>
      </c>
      <c r="I333" s="26" t="s">
        <v>67</v>
      </c>
      <c r="J333" s="26" t="s">
        <v>1096</v>
      </c>
    </row>
    <row r="334" spans="1:10" ht="15.75" customHeight="1">
      <c r="A334" s="26" t="s">
        <v>425</v>
      </c>
      <c r="B334" s="29">
        <v>32</v>
      </c>
      <c r="C334" s="26" t="s">
        <v>59</v>
      </c>
      <c r="D334" s="26" t="s">
        <v>54</v>
      </c>
      <c r="E334" s="27" t="s">
        <v>78</v>
      </c>
      <c r="F334" s="26" t="s">
        <v>92</v>
      </c>
      <c r="G334" s="59">
        <v>7496730</v>
      </c>
      <c r="H334" s="29">
        <v>3</v>
      </c>
      <c r="I334" s="26" t="s">
        <v>63</v>
      </c>
      <c r="J334" s="26" t="s">
        <v>1096</v>
      </c>
    </row>
    <row r="335" spans="1:10" ht="15.75" customHeight="1">
      <c r="A335" s="26" t="s">
        <v>426</v>
      </c>
      <c r="B335" s="29">
        <v>48</v>
      </c>
      <c r="C335" s="26" t="s">
        <v>59</v>
      </c>
      <c r="D335" s="26" t="s">
        <v>54</v>
      </c>
      <c r="E335" s="27" t="s">
        <v>55</v>
      </c>
      <c r="F335" s="26" t="s">
        <v>69</v>
      </c>
      <c r="G335" s="59">
        <v>1075855</v>
      </c>
      <c r="H335" s="29">
        <v>8</v>
      </c>
      <c r="I335" s="26" t="s">
        <v>60</v>
      </c>
      <c r="J335" s="26" t="s">
        <v>1096</v>
      </c>
    </row>
    <row r="336" spans="1:10" ht="15.75" customHeight="1">
      <c r="A336" s="26" t="s">
        <v>427</v>
      </c>
      <c r="B336" s="29">
        <v>20</v>
      </c>
      <c r="C336" s="26" t="s">
        <v>53</v>
      </c>
      <c r="D336" s="26" t="s">
        <v>60</v>
      </c>
      <c r="E336" s="27" t="s">
        <v>85</v>
      </c>
      <c r="F336" s="26" t="s">
        <v>104</v>
      </c>
      <c r="G336" s="59">
        <v>3211290</v>
      </c>
      <c r="H336" s="29">
        <v>11</v>
      </c>
      <c r="I336" s="26" t="s">
        <v>67</v>
      </c>
      <c r="J336" s="26" t="s">
        <v>1096</v>
      </c>
    </row>
    <row r="337" spans="1:10" ht="15.75" customHeight="1">
      <c r="A337" s="26" t="s">
        <v>428</v>
      </c>
      <c r="B337" s="29">
        <v>32</v>
      </c>
      <c r="C337" s="26" t="s">
        <v>59</v>
      </c>
      <c r="D337" s="26" t="s">
        <v>54</v>
      </c>
      <c r="E337" s="27" t="s">
        <v>61</v>
      </c>
      <c r="F337" s="26" t="s">
        <v>113</v>
      </c>
      <c r="G337" s="59">
        <v>7039325</v>
      </c>
      <c r="H337" s="29">
        <v>11</v>
      </c>
      <c r="I337" s="26" t="s">
        <v>60</v>
      </c>
      <c r="J337" s="26" t="s">
        <v>1095</v>
      </c>
    </row>
    <row r="338" spans="1:10" ht="15.75" customHeight="1">
      <c r="A338" s="26" t="s">
        <v>429</v>
      </c>
      <c r="B338" s="29">
        <v>25</v>
      </c>
      <c r="C338" s="26" t="s">
        <v>59</v>
      </c>
      <c r="D338" s="26" t="s">
        <v>60</v>
      </c>
      <c r="E338" s="27" t="s">
        <v>78</v>
      </c>
      <c r="F338" s="26" t="s">
        <v>121</v>
      </c>
      <c r="G338" s="59">
        <v>1751655</v>
      </c>
      <c r="H338" s="29">
        <v>11</v>
      </c>
      <c r="I338" s="26" t="s">
        <v>67</v>
      </c>
      <c r="J338" s="26" t="s">
        <v>1096</v>
      </c>
    </row>
    <row r="339" spans="1:10" ht="15.75" customHeight="1">
      <c r="A339" s="26" t="s">
        <v>430</v>
      </c>
      <c r="B339" s="29">
        <v>42</v>
      </c>
      <c r="C339" s="26" t="s">
        <v>59</v>
      </c>
      <c r="D339" s="26" t="s">
        <v>54</v>
      </c>
      <c r="E339" s="27" t="s">
        <v>65</v>
      </c>
      <c r="F339" s="26" t="s">
        <v>1093</v>
      </c>
      <c r="G339" s="59">
        <v>6496515</v>
      </c>
      <c r="H339" s="29">
        <v>4</v>
      </c>
      <c r="I339" s="26" t="s">
        <v>57</v>
      </c>
      <c r="J339" s="26" t="s">
        <v>1096</v>
      </c>
    </row>
    <row r="340" spans="1:10" ht="15.75" customHeight="1">
      <c r="A340" s="26" t="s">
        <v>431</v>
      </c>
      <c r="B340" s="29">
        <v>37</v>
      </c>
      <c r="C340" s="26" t="s">
        <v>53</v>
      </c>
      <c r="D340" s="26" t="s">
        <v>60</v>
      </c>
      <c r="E340" s="27" t="s">
        <v>78</v>
      </c>
      <c r="F340" s="26" t="s">
        <v>167</v>
      </c>
      <c r="G340" s="59">
        <v>2849830</v>
      </c>
      <c r="H340" s="29">
        <v>5</v>
      </c>
      <c r="I340" s="26" t="s">
        <v>63</v>
      </c>
      <c r="J340" s="26" t="s">
        <v>1096</v>
      </c>
    </row>
    <row r="341" spans="1:10" ht="15.75" customHeight="1">
      <c r="A341" s="26" t="s">
        <v>432</v>
      </c>
      <c r="B341" s="29">
        <v>21</v>
      </c>
      <c r="C341" s="26" t="s">
        <v>53</v>
      </c>
      <c r="D341" s="26" t="s">
        <v>54</v>
      </c>
      <c r="E341" s="27" t="s">
        <v>73</v>
      </c>
      <c r="F341" s="26" t="s">
        <v>1093</v>
      </c>
      <c r="G341" s="59">
        <v>834985</v>
      </c>
      <c r="H341" s="29">
        <v>10</v>
      </c>
      <c r="I341" s="26" t="s">
        <v>63</v>
      </c>
      <c r="J341" s="26" t="s">
        <v>1095</v>
      </c>
    </row>
    <row r="342" spans="1:10" ht="15.75" customHeight="1">
      <c r="A342" s="26" t="s">
        <v>433</v>
      </c>
      <c r="B342" s="29">
        <v>43</v>
      </c>
      <c r="C342" s="26" t="s">
        <v>53</v>
      </c>
      <c r="D342" s="26" t="s">
        <v>60</v>
      </c>
      <c r="E342" s="27" t="s">
        <v>85</v>
      </c>
      <c r="F342" s="26" t="s">
        <v>62</v>
      </c>
      <c r="G342" s="59">
        <v>6631210</v>
      </c>
      <c r="H342" s="29">
        <v>9</v>
      </c>
      <c r="I342" s="26" t="s">
        <v>63</v>
      </c>
      <c r="J342" s="26" t="s">
        <v>1095</v>
      </c>
    </row>
    <row r="343" spans="1:10" ht="15.75" customHeight="1">
      <c r="A343" s="26" t="s">
        <v>434</v>
      </c>
      <c r="B343" s="29">
        <v>29</v>
      </c>
      <c r="C343" s="26" t="s">
        <v>53</v>
      </c>
      <c r="D343" s="26" t="s">
        <v>60</v>
      </c>
      <c r="E343" s="27" t="s">
        <v>65</v>
      </c>
      <c r="F343" s="26" t="s">
        <v>1093</v>
      </c>
      <c r="G343" s="59">
        <v>4383710</v>
      </c>
      <c r="H343" s="29">
        <v>6</v>
      </c>
      <c r="I343" s="26" t="s">
        <v>63</v>
      </c>
      <c r="J343" s="26" t="s">
        <v>1096</v>
      </c>
    </row>
    <row r="344" spans="1:10" ht="15.75" customHeight="1">
      <c r="A344" s="26" t="s">
        <v>435</v>
      </c>
      <c r="B344" s="29">
        <v>28</v>
      </c>
      <c r="C344" s="26" t="s">
        <v>59</v>
      </c>
      <c r="D344" s="26" t="s">
        <v>54</v>
      </c>
      <c r="E344" s="27" t="s">
        <v>78</v>
      </c>
      <c r="F344" s="26" t="s">
        <v>98</v>
      </c>
      <c r="G344" s="59">
        <v>3337305</v>
      </c>
      <c r="H344" s="29">
        <v>7</v>
      </c>
      <c r="I344" s="26" t="s">
        <v>63</v>
      </c>
      <c r="J344" s="26" t="s">
        <v>1096</v>
      </c>
    </row>
    <row r="345" spans="1:10" ht="15.75" customHeight="1">
      <c r="A345" s="26" t="s">
        <v>436</v>
      </c>
      <c r="B345" s="29">
        <v>43</v>
      </c>
      <c r="C345" s="26" t="s">
        <v>59</v>
      </c>
      <c r="D345" s="26" t="s">
        <v>54</v>
      </c>
      <c r="E345" s="27" t="s">
        <v>65</v>
      </c>
      <c r="F345" s="26" t="s">
        <v>71</v>
      </c>
      <c r="G345" s="59">
        <v>2846730</v>
      </c>
      <c r="H345" s="29">
        <v>11</v>
      </c>
      <c r="I345" s="26" t="s">
        <v>67</v>
      </c>
      <c r="J345" s="26" t="s">
        <v>1095</v>
      </c>
    </row>
    <row r="346" spans="1:10" ht="15.75" customHeight="1">
      <c r="A346" s="26" t="s">
        <v>437</v>
      </c>
      <c r="B346" s="29">
        <v>48</v>
      </c>
      <c r="C346" s="26" t="s">
        <v>53</v>
      </c>
      <c r="D346" s="26" t="s">
        <v>60</v>
      </c>
      <c r="E346" s="27" t="s">
        <v>78</v>
      </c>
      <c r="F346" s="26" t="s">
        <v>102</v>
      </c>
      <c r="G346" s="59">
        <v>3080315</v>
      </c>
      <c r="H346" s="29">
        <v>10</v>
      </c>
      <c r="I346" s="26" t="s">
        <v>60</v>
      </c>
      <c r="J346" s="26" t="s">
        <v>1095</v>
      </c>
    </row>
    <row r="347" spans="1:10" ht="15.75" customHeight="1">
      <c r="A347" s="26" t="s">
        <v>438</v>
      </c>
      <c r="B347" s="29">
        <v>26</v>
      </c>
      <c r="C347" s="26" t="s">
        <v>53</v>
      </c>
      <c r="D347" s="26" t="s">
        <v>54</v>
      </c>
      <c r="E347" s="27" t="s">
        <v>78</v>
      </c>
      <c r="F347" s="26" t="s">
        <v>1094</v>
      </c>
      <c r="G347" s="59">
        <v>4118660</v>
      </c>
      <c r="H347" s="29">
        <v>0</v>
      </c>
      <c r="I347" s="26" t="s">
        <v>57</v>
      </c>
      <c r="J347" s="26" t="s">
        <v>1095</v>
      </c>
    </row>
    <row r="348" spans="1:10" ht="15.75" customHeight="1">
      <c r="A348" s="26" t="s">
        <v>439</v>
      </c>
      <c r="B348" s="29">
        <v>42</v>
      </c>
      <c r="C348" s="26" t="s">
        <v>59</v>
      </c>
      <c r="D348" s="26" t="s">
        <v>54</v>
      </c>
      <c r="E348" s="27" t="s">
        <v>61</v>
      </c>
      <c r="F348" s="26" t="s">
        <v>100</v>
      </c>
      <c r="G348" s="59">
        <v>2144425</v>
      </c>
      <c r="H348" s="29">
        <v>2</v>
      </c>
      <c r="I348" s="26" t="s">
        <v>67</v>
      </c>
      <c r="J348" s="26" t="s">
        <v>1095</v>
      </c>
    </row>
    <row r="349" spans="1:10" ht="15.75" customHeight="1">
      <c r="A349" s="26" t="s">
        <v>440</v>
      </c>
      <c r="B349" s="29">
        <v>27</v>
      </c>
      <c r="C349" s="26" t="s">
        <v>59</v>
      </c>
      <c r="D349" s="26" t="s">
        <v>54</v>
      </c>
      <c r="E349" s="27" t="s">
        <v>85</v>
      </c>
      <c r="F349" s="26" t="s">
        <v>121</v>
      </c>
      <c r="G349" s="59">
        <v>6848985</v>
      </c>
      <c r="H349" s="29">
        <v>3</v>
      </c>
      <c r="I349" s="26" t="s">
        <v>60</v>
      </c>
      <c r="J349" s="26" t="s">
        <v>1095</v>
      </c>
    </row>
    <row r="350" spans="1:10" ht="15.75" customHeight="1">
      <c r="A350" s="26" t="s">
        <v>441</v>
      </c>
      <c r="B350" s="29">
        <v>40</v>
      </c>
      <c r="C350" s="26" t="s">
        <v>53</v>
      </c>
      <c r="D350" s="26" t="s">
        <v>54</v>
      </c>
      <c r="E350" s="27" t="s">
        <v>55</v>
      </c>
      <c r="F350" s="26" t="s">
        <v>134</v>
      </c>
      <c r="G350" s="59">
        <v>2763495</v>
      </c>
      <c r="H350" s="29">
        <v>4</v>
      </c>
      <c r="I350" s="26" t="s">
        <v>67</v>
      </c>
      <c r="J350" s="26" t="s">
        <v>1096</v>
      </c>
    </row>
    <row r="351" spans="1:10" ht="15.75" customHeight="1">
      <c r="A351" s="26" t="s">
        <v>442</v>
      </c>
      <c r="B351" s="29">
        <v>23</v>
      </c>
      <c r="C351" s="26" t="s">
        <v>59</v>
      </c>
      <c r="D351" s="26" t="s">
        <v>54</v>
      </c>
      <c r="E351" s="27" t="s">
        <v>65</v>
      </c>
      <c r="F351" s="26" t="s">
        <v>80</v>
      </c>
      <c r="G351" s="59">
        <v>1194740</v>
      </c>
      <c r="H351" s="29">
        <v>10</v>
      </c>
      <c r="I351" s="26" t="s">
        <v>60</v>
      </c>
      <c r="J351" s="26" t="s">
        <v>1095</v>
      </c>
    </row>
    <row r="352" spans="1:10" ht="15.75" customHeight="1">
      <c r="A352" s="26" t="s">
        <v>443</v>
      </c>
      <c r="B352" s="29">
        <v>46</v>
      </c>
      <c r="C352" s="26" t="s">
        <v>59</v>
      </c>
      <c r="D352" s="26" t="s">
        <v>60</v>
      </c>
      <c r="E352" s="27" t="s">
        <v>78</v>
      </c>
      <c r="F352" s="26" t="s">
        <v>66</v>
      </c>
      <c r="G352" s="59">
        <v>4136950</v>
      </c>
      <c r="H352" s="29">
        <v>11</v>
      </c>
      <c r="I352" s="26" t="s">
        <v>67</v>
      </c>
      <c r="J352" s="26" t="s">
        <v>1096</v>
      </c>
    </row>
    <row r="353" spans="1:10" ht="15.75" customHeight="1">
      <c r="A353" s="26" t="s">
        <v>444</v>
      </c>
      <c r="B353" s="29">
        <v>38</v>
      </c>
      <c r="C353" s="26" t="s">
        <v>53</v>
      </c>
      <c r="D353" s="26" t="s">
        <v>54</v>
      </c>
      <c r="E353" s="27" t="s">
        <v>85</v>
      </c>
      <c r="F353" s="26" t="s">
        <v>98</v>
      </c>
      <c r="G353" s="59">
        <v>4182520</v>
      </c>
      <c r="H353" s="29">
        <v>4</v>
      </c>
      <c r="I353" s="26" t="s">
        <v>67</v>
      </c>
      <c r="J353" s="26" t="s">
        <v>1095</v>
      </c>
    </row>
    <row r="354" spans="1:10" ht="15.75" customHeight="1">
      <c r="A354" s="26" t="s">
        <v>445</v>
      </c>
      <c r="B354" s="29">
        <v>23</v>
      </c>
      <c r="C354" s="26" t="s">
        <v>59</v>
      </c>
      <c r="D354" s="26" t="s">
        <v>54</v>
      </c>
      <c r="E354" s="27" t="s">
        <v>73</v>
      </c>
      <c r="F354" s="26" t="s">
        <v>69</v>
      </c>
      <c r="G354" s="59">
        <v>5180410</v>
      </c>
      <c r="H354" s="29">
        <v>8</v>
      </c>
      <c r="I354" s="26" t="s">
        <v>57</v>
      </c>
      <c r="J354" s="26" t="s">
        <v>1096</v>
      </c>
    </row>
    <row r="355" spans="1:10" ht="15.75" customHeight="1">
      <c r="A355" s="26" t="s">
        <v>446</v>
      </c>
      <c r="B355" s="29">
        <v>40</v>
      </c>
      <c r="C355" s="26" t="s">
        <v>53</v>
      </c>
      <c r="D355" s="26" t="s">
        <v>54</v>
      </c>
      <c r="E355" s="27" t="s">
        <v>85</v>
      </c>
      <c r="F355" s="26" t="s">
        <v>1094</v>
      </c>
      <c r="G355" s="59">
        <v>7355680</v>
      </c>
      <c r="H355" s="29">
        <v>8</v>
      </c>
      <c r="I355" s="26" t="s">
        <v>67</v>
      </c>
      <c r="J355" s="26" t="s">
        <v>1095</v>
      </c>
    </row>
    <row r="356" spans="1:10" ht="15.75" customHeight="1">
      <c r="A356" s="26" t="s">
        <v>447</v>
      </c>
      <c r="B356" s="29">
        <v>34</v>
      </c>
      <c r="C356" s="26" t="s">
        <v>59</v>
      </c>
      <c r="D356" s="26" t="s">
        <v>60</v>
      </c>
      <c r="E356" s="27" t="s">
        <v>65</v>
      </c>
      <c r="F356" s="26" t="s">
        <v>98</v>
      </c>
      <c r="G356" s="59">
        <v>5594105</v>
      </c>
      <c r="H356" s="29">
        <v>4</v>
      </c>
      <c r="I356" s="26" t="s">
        <v>60</v>
      </c>
      <c r="J356" s="26" t="s">
        <v>1095</v>
      </c>
    </row>
    <row r="357" spans="1:10" ht="15.75" customHeight="1">
      <c r="A357" s="26" t="s">
        <v>448</v>
      </c>
      <c r="B357" s="29">
        <v>44</v>
      </c>
      <c r="C357" s="26" t="s">
        <v>53</v>
      </c>
      <c r="D357" s="26" t="s">
        <v>54</v>
      </c>
      <c r="E357" s="27" t="s">
        <v>61</v>
      </c>
      <c r="F357" s="26" t="s">
        <v>121</v>
      </c>
      <c r="G357" s="59">
        <v>5789095</v>
      </c>
      <c r="H357" s="29">
        <v>6</v>
      </c>
      <c r="I357" s="26" t="s">
        <v>63</v>
      </c>
      <c r="J357" s="26" t="s">
        <v>1095</v>
      </c>
    </row>
    <row r="358" spans="1:10" ht="15.75" customHeight="1">
      <c r="A358" s="26" t="s">
        <v>449</v>
      </c>
      <c r="B358" s="29">
        <v>32</v>
      </c>
      <c r="C358" s="26" t="s">
        <v>53</v>
      </c>
      <c r="D358" s="26" t="s">
        <v>60</v>
      </c>
      <c r="E358" s="27" t="s">
        <v>65</v>
      </c>
      <c r="F358" s="26" t="s">
        <v>80</v>
      </c>
      <c r="G358" s="59">
        <v>7165650</v>
      </c>
      <c r="H358" s="29">
        <v>5</v>
      </c>
      <c r="I358" s="26" t="s">
        <v>57</v>
      </c>
      <c r="J358" s="26" t="s">
        <v>1095</v>
      </c>
    </row>
    <row r="359" spans="1:10" ht="15.75" customHeight="1">
      <c r="A359" s="26" t="s">
        <v>450</v>
      </c>
      <c r="B359" s="29">
        <v>42</v>
      </c>
      <c r="C359" s="26" t="s">
        <v>53</v>
      </c>
      <c r="D359" s="26" t="s">
        <v>54</v>
      </c>
      <c r="E359" s="27" t="s">
        <v>78</v>
      </c>
      <c r="F359" s="26" t="s">
        <v>104</v>
      </c>
      <c r="G359" s="59">
        <v>5156385</v>
      </c>
      <c r="H359" s="29">
        <v>8</v>
      </c>
      <c r="I359" s="26" t="s">
        <v>63</v>
      </c>
      <c r="J359" s="26" t="s">
        <v>1096</v>
      </c>
    </row>
    <row r="360" spans="1:10" ht="15.75" customHeight="1">
      <c r="A360" s="26" t="s">
        <v>451</v>
      </c>
      <c r="B360" s="29">
        <v>22</v>
      </c>
      <c r="C360" s="26" t="s">
        <v>53</v>
      </c>
      <c r="D360" s="26" t="s">
        <v>60</v>
      </c>
      <c r="E360" s="27" t="s">
        <v>78</v>
      </c>
      <c r="F360" s="26" t="s">
        <v>69</v>
      </c>
      <c r="G360" s="59">
        <v>3648545</v>
      </c>
      <c r="H360" s="29">
        <v>9</v>
      </c>
      <c r="I360" s="26" t="s">
        <v>57</v>
      </c>
      <c r="J360" s="26" t="s">
        <v>1096</v>
      </c>
    </row>
    <row r="361" spans="1:10" ht="15.75" customHeight="1">
      <c r="A361" s="26" t="s">
        <v>452</v>
      </c>
      <c r="B361" s="29">
        <v>44</v>
      </c>
      <c r="C361" s="26" t="s">
        <v>53</v>
      </c>
      <c r="D361" s="26" t="s">
        <v>54</v>
      </c>
      <c r="E361" s="27" t="s">
        <v>55</v>
      </c>
      <c r="F361" s="26" t="s">
        <v>1093</v>
      </c>
      <c r="G361" s="59">
        <v>4181590</v>
      </c>
      <c r="H361" s="29">
        <v>7</v>
      </c>
      <c r="I361" s="26" t="s">
        <v>63</v>
      </c>
      <c r="J361" s="26" t="s">
        <v>1095</v>
      </c>
    </row>
    <row r="362" spans="1:10" ht="15.75" customHeight="1">
      <c r="A362" s="26" t="s">
        <v>453</v>
      </c>
      <c r="B362" s="29">
        <v>29</v>
      </c>
      <c r="C362" s="26" t="s">
        <v>59</v>
      </c>
      <c r="D362" s="26" t="s">
        <v>54</v>
      </c>
      <c r="E362" s="27" t="s">
        <v>61</v>
      </c>
      <c r="F362" s="26" t="s">
        <v>56</v>
      </c>
      <c r="G362" s="59">
        <v>7724115</v>
      </c>
      <c r="H362" s="29">
        <v>2</v>
      </c>
      <c r="I362" s="26" t="s">
        <v>63</v>
      </c>
      <c r="J362" s="26" t="s">
        <v>1095</v>
      </c>
    </row>
    <row r="363" spans="1:10" ht="15.75" customHeight="1">
      <c r="A363" s="26" t="s">
        <v>454</v>
      </c>
      <c r="B363" s="29">
        <v>30</v>
      </c>
      <c r="C363" s="26" t="s">
        <v>53</v>
      </c>
      <c r="D363" s="26" t="s">
        <v>60</v>
      </c>
      <c r="E363" s="27" t="s">
        <v>78</v>
      </c>
      <c r="F363" s="26" t="s">
        <v>113</v>
      </c>
      <c r="G363" s="59">
        <v>2835570</v>
      </c>
      <c r="H363" s="29">
        <v>7</v>
      </c>
      <c r="I363" s="26" t="s">
        <v>57</v>
      </c>
      <c r="J363" s="26" t="s">
        <v>1095</v>
      </c>
    </row>
    <row r="364" spans="1:10" ht="15.75" customHeight="1">
      <c r="A364" s="26" t="s">
        <v>455</v>
      </c>
      <c r="B364" s="29">
        <v>19</v>
      </c>
      <c r="C364" s="26" t="s">
        <v>53</v>
      </c>
      <c r="D364" s="26" t="s">
        <v>54</v>
      </c>
      <c r="E364" s="27" t="s">
        <v>85</v>
      </c>
      <c r="F364" s="26" t="s">
        <v>113</v>
      </c>
      <c r="G364" s="59">
        <v>1886350</v>
      </c>
      <c r="H364" s="29">
        <v>7</v>
      </c>
      <c r="I364" s="26" t="s">
        <v>60</v>
      </c>
      <c r="J364" s="26" t="s">
        <v>1095</v>
      </c>
    </row>
    <row r="365" spans="1:10" ht="15.75" customHeight="1">
      <c r="A365" s="26" t="s">
        <v>456</v>
      </c>
      <c r="B365" s="29">
        <v>45</v>
      </c>
      <c r="C365" s="26" t="s">
        <v>53</v>
      </c>
      <c r="D365" s="26" t="s">
        <v>60</v>
      </c>
      <c r="E365" s="27" t="s">
        <v>61</v>
      </c>
      <c r="F365" s="26" t="s">
        <v>100</v>
      </c>
      <c r="G365" s="59">
        <v>7583685</v>
      </c>
      <c r="H365" s="29">
        <v>4</v>
      </c>
      <c r="I365" s="26" t="s">
        <v>60</v>
      </c>
      <c r="J365" s="26" t="s">
        <v>1096</v>
      </c>
    </row>
    <row r="366" spans="1:10" ht="15.75" customHeight="1">
      <c r="A366" s="26" t="s">
        <v>457</v>
      </c>
      <c r="B366" s="29">
        <v>38</v>
      </c>
      <c r="C366" s="26" t="s">
        <v>59</v>
      </c>
      <c r="D366" s="26" t="s">
        <v>54</v>
      </c>
      <c r="E366" s="27" t="s">
        <v>73</v>
      </c>
      <c r="F366" s="26" t="s">
        <v>100</v>
      </c>
      <c r="G366" s="59">
        <v>4710915</v>
      </c>
      <c r="H366" s="29">
        <v>6</v>
      </c>
      <c r="I366" s="26" t="s">
        <v>60</v>
      </c>
      <c r="J366" s="26" t="s">
        <v>1095</v>
      </c>
    </row>
    <row r="367" spans="1:10" ht="15.75" customHeight="1">
      <c r="A367" s="26" t="s">
        <v>458</v>
      </c>
      <c r="B367" s="29">
        <v>24</v>
      </c>
      <c r="C367" s="26" t="s">
        <v>53</v>
      </c>
      <c r="D367" s="26" t="s">
        <v>54</v>
      </c>
      <c r="E367" s="27" t="s">
        <v>65</v>
      </c>
      <c r="F367" s="26" t="s">
        <v>62</v>
      </c>
      <c r="G367" s="59">
        <v>4692470</v>
      </c>
      <c r="H367" s="29">
        <v>11</v>
      </c>
      <c r="I367" s="26" t="s">
        <v>60</v>
      </c>
      <c r="J367" s="26" t="s">
        <v>1095</v>
      </c>
    </row>
    <row r="368" spans="1:10" ht="15.75" customHeight="1">
      <c r="A368" s="26" t="s">
        <v>459</v>
      </c>
      <c r="B368" s="29">
        <v>42</v>
      </c>
      <c r="C368" s="26" t="s">
        <v>59</v>
      </c>
      <c r="D368" s="26" t="s">
        <v>60</v>
      </c>
      <c r="E368" s="27" t="s">
        <v>73</v>
      </c>
      <c r="F368" s="26" t="s">
        <v>137</v>
      </c>
      <c r="G368" s="59">
        <v>2436755</v>
      </c>
      <c r="H368" s="29">
        <v>11</v>
      </c>
      <c r="I368" s="26" t="s">
        <v>63</v>
      </c>
      <c r="J368" s="26" t="s">
        <v>1095</v>
      </c>
    </row>
    <row r="369" spans="1:10" ht="15.75" customHeight="1">
      <c r="A369" s="26" t="s">
        <v>460</v>
      </c>
      <c r="B369" s="29">
        <v>46</v>
      </c>
      <c r="C369" s="26" t="s">
        <v>53</v>
      </c>
      <c r="D369" s="26" t="s">
        <v>60</v>
      </c>
      <c r="E369" s="27" t="s">
        <v>55</v>
      </c>
      <c r="F369" s="26" t="s">
        <v>80</v>
      </c>
      <c r="G369" s="59">
        <v>2471475</v>
      </c>
      <c r="H369" s="29">
        <v>2</v>
      </c>
      <c r="I369" s="26" t="s">
        <v>63</v>
      </c>
      <c r="J369" s="26" t="s">
        <v>1095</v>
      </c>
    </row>
    <row r="370" spans="1:10" ht="15.75" customHeight="1">
      <c r="A370" s="26" t="s">
        <v>461</v>
      </c>
      <c r="B370" s="29">
        <v>44</v>
      </c>
      <c r="C370" s="26" t="s">
        <v>53</v>
      </c>
      <c r="D370" s="26" t="s">
        <v>60</v>
      </c>
      <c r="E370" s="27" t="s">
        <v>73</v>
      </c>
      <c r="F370" s="26" t="s">
        <v>86</v>
      </c>
      <c r="G370" s="59">
        <v>4850415</v>
      </c>
      <c r="H370" s="29">
        <v>2</v>
      </c>
      <c r="I370" s="26" t="s">
        <v>60</v>
      </c>
      <c r="J370" s="26" t="s">
        <v>1095</v>
      </c>
    </row>
    <row r="371" spans="1:10" ht="15.75" customHeight="1">
      <c r="A371" s="26" t="s">
        <v>462</v>
      </c>
      <c r="B371" s="29">
        <v>38</v>
      </c>
      <c r="C371" s="26" t="s">
        <v>59</v>
      </c>
      <c r="D371" s="26" t="s">
        <v>60</v>
      </c>
      <c r="E371" s="27" t="s">
        <v>85</v>
      </c>
      <c r="F371" s="26" t="s">
        <v>92</v>
      </c>
      <c r="G371" s="59">
        <v>1018040</v>
      </c>
      <c r="H371" s="29">
        <v>4</v>
      </c>
      <c r="I371" s="26" t="s">
        <v>63</v>
      </c>
      <c r="J371" s="26" t="s">
        <v>1096</v>
      </c>
    </row>
    <row r="372" spans="1:10" ht="15.75" customHeight="1">
      <c r="A372" s="26" t="s">
        <v>463</v>
      </c>
      <c r="B372" s="29">
        <v>44</v>
      </c>
      <c r="C372" s="26" t="s">
        <v>59</v>
      </c>
      <c r="D372" s="26" t="s">
        <v>54</v>
      </c>
      <c r="E372" s="27" t="s">
        <v>61</v>
      </c>
      <c r="F372" s="26" t="s">
        <v>100</v>
      </c>
      <c r="G372" s="59">
        <v>958830</v>
      </c>
      <c r="H372" s="29">
        <v>5</v>
      </c>
      <c r="I372" s="26" t="s">
        <v>57</v>
      </c>
      <c r="J372" s="26" t="s">
        <v>1096</v>
      </c>
    </row>
    <row r="373" spans="1:10" ht="15.75" customHeight="1">
      <c r="A373" s="26" t="s">
        <v>464</v>
      </c>
      <c r="B373" s="29">
        <v>18</v>
      </c>
      <c r="C373" s="26" t="s">
        <v>53</v>
      </c>
      <c r="D373" s="26" t="s">
        <v>60</v>
      </c>
      <c r="E373" s="27" t="s">
        <v>78</v>
      </c>
      <c r="F373" s="26" t="s">
        <v>98</v>
      </c>
      <c r="G373" s="59">
        <v>5328435</v>
      </c>
      <c r="H373" s="29">
        <v>6</v>
      </c>
      <c r="I373" s="26" t="s">
        <v>57</v>
      </c>
      <c r="J373" s="26" t="s">
        <v>1095</v>
      </c>
    </row>
    <row r="374" spans="1:10" ht="15.75" customHeight="1">
      <c r="A374" s="26" t="s">
        <v>465</v>
      </c>
      <c r="B374" s="29">
        <v>37</v>
      </c>
      <c r="C374" s="26" t="s">
        <v>59</v>
      </c>
      <c r="D374" s="26" t="s">
        <v>54</v>
      </c>
      <c r="E374" s="27" t="s">
        <v>78</v>
      </c>
      <c r="F374" s="26" t="s">
        <v>69</v>
      </c>
      <c r="G374" s="59">
        <v>1661755</v>
      </c>
      <c r="H374" s="29">
        <v>2</v>
      </c>
      <c r="I374" s="26" t="s">
        <v>57</v>
      </c>
      <c r="J374" s="26" t="s">
        <v>1095</v>
      </c>
    </row>
    <row r="375" spans="1:10" ht="15.75" customHeight="1">
      <c r="A375" s="26" t="s">
        <v>466</v>
      </c>
      <c r="B375" s="29">
        <v>31</v>
      </c>
      <c r="C375" s="26" t="s">
        <v>53</v>
      </c>
      <c r="D375" s="26" t="s">
        <v>60</v>
      </c>
      <c r="E375" s="27" t="s">
        <v>55</v>
      </c>
      <c r="F375" s="26" t="s">
        <v>69</v>
      </c>
      <c r="G375" s="59">
        <v>2309190</v>
      </c>
      <c r="H375" s="29">
        <v>12</v>
      </c>
      <c r="I375" s="26" t="s">
        <v>57</v>
      </c>
      <c r="J375" s="26" t="s">
        <v>1095</v>
      </c>
    </row>
    <row r="376" spans="1:10" ht="15.75" customHeight="1">
      <c r="A376" s="26" t="s">
        <v>467</v>
      </c>
      <c r="B376" s="29">
        <v>22</v>
      </c>
      <c r="C376" s="26" t="s">
        <v>53</v>
      </c>
      <c r="D376" s="26" t="s">
        <v>60</v>
      </c>
      <c r="E376" s="27" t="s">
        <v>55</v>
      </c>
      <c r="F376" s="26" t="s">
        <v>90</v>
      </c>
      <c r="G376" s="59">
        <v>7601355</v>
      </c>
      <c r="H376" s="29">
        <v>4</v>
      </c>
      <c r="I376" s="26" t="s">
        <v>67</v>
      </c>
      <c r="J376" s="26" t="s">
        <v>1096</v>
      </c>
    </row>
    <row r="377" spans="1:10" ht="15.75" customHeight="1">
      <c r="A377" s="26" t="s">
        <v>468</v>
      </c>
      <c r="B377" s="29">
        <v>33</v>
      </c>
      <c r="C377" s="26" t="s">
        <v>59</v>
      </c>
      <c r="D377" s="26" t="s">
        <v>60</v>
      </c>
      <c r="E377" s="27" t="s">
        <v>65</v>
      </c>
      <c r="F377" s="26" t="s">
        <v>121</v>
      </c>
      <c r="G377" s="59">
        <v>7150770</v>
      </c>
      <c r="H377" s="29">
        <v>4</v>
      </c>
      <c r="I377" s="26" t="s">
        <v>60</v>
      </c>
      <c r="J377" s="26" t="s">
        <v>1096</v>
      </c>
    </row>
    <row r="378" spans="1:10" ht="15.75" customHeight="1">
      <c r="A378" s="26" t="s">
        <v>469</v>
      </c>
      <c r="B378" s="29">
        <v>20</v>
      </c>
      <c r="C378" s="26" t="s">
        <v>53</v>
      </c>
      <c r="D378" s="26" t="s">
        <v>60</v>
      </c>
      <c r="E378" s="27" t="s">
        <v>78</v>
      </c>
      <c r="F378" s="26" t="s">
        <v>66</v>
      </c>
      <c r="G378" s="59">
        <v>5252795</v>
      </c>
      <c r="H378" s="29">
        <v>7</v>
      </c>
      <c r="I378" s="26" t="s">
        <v>67</v>
      </c>
      <c r="J378" s="26" t="s">
        <v>1095</v>
      </c>
    </row>
    <row r="379" spans="1:10" ht="15.75" customHeight="1">
      <c r="A379" s="26" t="s">
        <v>470</v>
      </c>
      <c r="B379" s="29">
        <v>26</v>
      </c>
      <c r="C379" s="26" t="s">
        <v>59</v>
      </c>
      <c r="D379" s="26" t="s">
        <v>60</v>
      </c>
      <c r="E379" s="27" t="s">
        <v>55</v>
      </c>
      <c r="F379" s="26" t="s">
        <v>56</v>
      </c>
      <c r="G379" s="59">
        <v>3450765</v>
      </c>
      <c r="H379" s="29">
        <v>3</v>
      </c>
      <c r="I379" s="26" t="s">
        <v>63</v>
      </c>
      <c r="J379" s="26" t="s">
        <v>1096</v>
      </c>
    </row>
    <row r="380" spans="1:10" ht="15.75" customHeight="1">
      <c r="A380" s="26" t="s">
        <v>471</v>
      </c>
      <c r="B380" s="29">
        <v>26</v>
      </c>
      <c r="C380" s="26" t="s">
        <v>59</v>
      </c>
      <c r="D380" s="26" t="s">
        <v>60</v>
      </c>
      <c r="E380" s="27" t="s">
        <v>61</v>
      </c>
      <c r="F380" s="26" t="s">
        <v>104</v>
      </c>
      <c r="G380" s="59">
        <v>1115225</v>
      </c>
      <c r="H380" s="29">
        <v>2</v>
      </c>
      <c r="I380" s="26" t="s">
        <v>57</v>
      </c>
      <c r="J380" s="26" t="s">
        <v>1096</v>
      </c>
    </row>
    <row r="381" spans="1:10" ht="15.75" customHeight="1">
      <c r="A381" s="26" t="s">
        <v>472</v>
      </c>
      <c r="B381" s="29">
        <v>21</v>
      </c>
      <c r="C381" s="26" t="s">
        <v>59</v>
      </c>
      <c r="D381" s="26" t="s">
        <v>60</v>
      </c>
      <c r="E381" s="27" t="s">
        <v>85</v>
      </c>
      <c r="F381" s="26" t="s">
        <v>100</v>
      </c>
      <c r="G381" s="59">
        <v>4100060</v>
      </c>
      <c r="H381" s="29">
        <v>9</v>
      </c>
      <c r="I381" s="26" t="s">
        <v>57</v>
      </c>
      <c r="J381" s="26" t="s">
        <v>1095</v>
      </c>
    </row>
    <row r="382" spans="1:10" ht="15.75" customHeight="1">
      <c r="A382" s="26" t="s">
        <v>473</v>
      </c>
      <c r="B382" s="29">
        <v>43</v>
      </c>
      <c r="C382" s="26" t="s">
        <v>59</v>
      </c>
      <c r="D382" s="26" t="s">
        <v>60</v>
      </c>
      <c r="E382" s="27" t="s">
        <v>78</v>
      </c>
      <c r="F382" s="26" t="s">
        <v>62</v>
      </c>
      <c r="G382" s="59">
        <v>6429400</v>
      </c>
      <c r="H382" s="29">
        <v>9</v>
      </c>
      <c r="I382" s="26" t="s">
        <v>67</v>
      </c>
      <c r="J382" s="26" t="s">
        <v>1096</v>
      </c>
    </row>
    <row r="383" spans="1:10" ht="15.75" customHeight="1">
      <c r="A383" s="26" t="s">
        <v>474</v>
      </c>
      <c r="B383" s="29">
        <v>50</v>
      </c>
      <c r="C383" s="26" t="s">
        <v>59</v>
      </c>
      <c r="D383" s="26" t="s">
        <v>54</v>
      </c>
      <c r="E383" s="27" t="s">
        <v>85</v>
      </c>
      <c r="F383" s="26" t="s">
        <v>121</v>
      </c>
      <c r="G383" s="59">
        <v>787245</v>
      </c>
      <c r="H383" s="29">
        <v>12</v>
      </c>
      <c r="I383" s="26" t="s">
        <v>63</v>
      </c>
      <c r="J383" s="26" t="s">
        <v>1095</v>
      </c>
    </row>
    <row r="384" spans="1:10" ht="15.75" customHeight="1">
      <c r="A384" s="26" t="s">
        <v>475</v>
      </c>
      <c r="B384" s="29">
        <v>42</v>
      </c>
      <c r="C384" s="26" t="s">
        <v>53</v>
      </c>
      <c r="D384" s="26" t="s">
        <v>54</v>
      </c>
      <c r="E384" s="27" t="s">
        <v>61</v>
      </c>
      <c r="F384" s="26" t="s">
        <v>92</v>
      </c>
      <c r="G384" s="59">
        <v>4096650</v>
      </c>
      <c r="H384" s="29">
        <v>10</v>
      </c>
      <c r="I384" s="26" t="s">
        <v>67</v>
      </c>
      <c r="J384" s="26" t="s">
        <v>1095</v>
      </c>
    </row>
    <row r="385" spans="1:10" ht="15.75" customHeight="1">
      <c r="A385" s="26" t="s">
        <v>476</v>
      </c>
      <c r="B385" s="29">
        <v>29</v>
      </c>
      <c r="C385" s="26" t="s">
        <v>59</v>
      </c>
      <c r="D385" s="26" t="s">
        <v>60</v>
      </c>
      <c r="E385" s="27" t="s">
        <v>55</v>
      </c>
      <c r="F385" s="26" t="s">
        <v>88</v>
      </c>
      <c r="G385" s="59">
        <v>1898130</v>
      </c>
      <c r="H385" s="29">
        <v>0</v>
      </c>
      <c r="I385" s="26" t="s">
        <v>60</v>
      </c>
      <c r="J385" s="26" t="s">
        <v>1096</v>
      </c>
    </row>
    <row r="386" spans="1:10" ht="15.75" customHeight="1">
      <c r="A386" s="26" t="s">
        <v>477</v>
      </c>
      <c r="B386" s="29">
        <v>20</v>
      </c>
      <c r="C386" s="26" t="s">
        <v>59</v>
      </c>
      <c r="D386" s="26" t="s">
        <v>54</v>
      </c>
      <c r="E386" s="27" t="s">
        <v>73</v>
      </c>
      <c r="F386" s="26" t="s">
        <v>100</v>
      </c>
      <c r="G386" s="59">
        <v>3689155</v>
      </c>
      <c r="H386" s="29">
        <v>8</v>
      </c>
      <c r="I386" s="26" t="s">
        <v>60</v>
      </c>
      <c r="J386" s="26" t="s">
        <v>1096</v>
      </c>
    </row>
    <row r="387" spans="1:10" ht="15.75" customHeight="1">
      <c r="A387" s="26" t="s">
        <v>478</v>
      </c>
      <c r="B387" s="29">
        <v>40</v>
      </c>
      <c r="C387" s="26" t="s">
        <v>53</v>
      </c>
      <c r="D387" s="26" t="s">
        <v>60</v>
      </c>
      <c r="E387" s="27" t="s">
        <v>65</v>
      </c>
      <c r="F387" s="26" t="s">
        <v>69</v>
      </c>
      <c r="G387" s="59">
        <v>7600270</v>
      </c>
      <c r="H387" s="29">
        <v>4</v>
      </c>
      <c r="I387" s="26" t="s">
        <v>57</v>
      </c>
      <c r="J387" s="26" t="s">
        <v>1096</v>
      </c>
    </row>
    <row r="388" spans="1:10" ht="15.75" customHeight="1">
      <c r="A388" s="26" t="s">
        <v>479</v>
      </c>
      <c r="B388" s="29">
        <v>38</v>
      </c>
      <c r="C388" s="26" t="s">
        <v>59</v>
      </c>
      <c r="D388" s="26" t="s">
        <v>60</v>
      </c>
      <c r="E388" s="27" t="s">
        <v>85</v>
      </c>
      <c r="F388" s="26" t="s">
        <v>167</v>
      </c>
      <c r="G388" s="59">
        <v>3812690</v>
      </c>
      <c r="H388" s="29">
        <v>4</v>
      </c>
      <c r="I388" s="26" t="s">
        <v>60</v>
      </c>
      <c r="J388" s="26" t="s">
        <v>1096</v>
      </c>
    </row>
    <row r="389" spans="1:10" ht="15.75" customHeight="1">
      <c r="A389" s="26" t="s">
        <v>480</v>
      </c>
      <c r="B389" s="29">
        <v>45</v>
      </c>
      <c r="C389" s="26" t="s">
        <v>59</v>
      </c>
      <c r="D389" s="26" t="s">
        <v>54</v>
      </c>
      <c r="E389" s="27" t="s">
        <v>73</v>
      </c>
      <c r="F389" s="26" t="s">
        <v>92</v>
      </c>
      <c r="G389" s="59">
        <v>6057865</v>
      </c>
      <c r="H389" s="29">
        <v>9</v>
      </c>
      <c r="I389" s="26" t="s">
        <v>63</v>
      </c>
      <c r="J389" s="26" t="s">
        <v>1096</v>
      </c>
    </row>
    <row r="390" spans="1:10" ht="15.75" customHeight="1">
      <c r="A390" s="26" t="s">
        <v>481</v>
      </c>
      <c r="B390" s="29">
        <v>49</v>
      </c>
      <c r="C390" s="26" t="s">
        <v>59</v>
      </c>
      <c r="D390" s="26" t="s">
        <v>60</v>
      </c>
      <c r="E390" s="27" t="s">
        <v>73</v>
      </c>
      <c r="F390" s="26" t="s">
        <v>167</v>
      </c>
      <c r="G390" s="59">
        <v>2462020</v>
      </c>
      <c r="H390" s="29">
        <v>6</v>
      </c>
      <c r="I390" s="26" t="s">
        <v>57</v>
      </c>
      <c r="J390" s="26" t="s">
        <v>1095</v>
      </c>
    </row>
    <row r="391" spans="1:10" ht="15.75" customHeight="1">
      <c r="A391" s="26" t="s">
        <v>482</v>
      </c>
      <c r="B391" s="29">
        <v>37</v>
      </c>
      <c r="C391" s="26" t="s">
        <v>59</v>
      </c>
      <c r="D391" s="26" t="s">
        <v>54</v>
      </c>
      <c r="E391" s="27" t="s">
        <v>78</v>
      </c>
      <c r="F391" s="26" t="s">
        <v>102</v>
      </c>
      <c r="G391" s="59">
        <v>6808220</v>
      </c>
      <c r="H391" s="29">
        <v>8</v>
      </c>
      <c r="I391" s="26" t="s">
        <v>60</v>
      </c>
      <c r="J391" s="26" t="s">
        <v>1096</v>
      </c>
    </row>
    <row r="392" spans="1:10" ht="15.75" customHeight="1">
      <c r="A392" s="26" t="s">
        <v>483</v>
      </c>
      <c r="B392" s="29">
        <v>23</v>
      </c>
      <c r="C392" s="26" t="s">
        <v>59</v>
      </c>
      <c r="D392" s="26" t="s">
        <v>54</v>
      </c>
      <c r="E392" s="27" t="s">
        <v>65</v>
      </c>
      <c r="F392" s="26" t="s">
        <v>104</v>
      </c>
      <c r="G392" s="59">
        <v>1432665</v>
      </c>
      <c r="H392" s="29">
        <v>12</v>
      </c>
      <c r="I392" s="26" t="s">
        <v>63</v>
      </c>
      <c r="J392" s="26" t="s">
        <v>1096</v>
      </c>
    </row>
    <row r="393" spans="1:10" ht="15.75" customHeight="1">
      <c r="A393" s="26" t="s">
        <v>484</v>
      </c>
      <c r="B393" s="29">
        <v>48</v>
      </c>
      <c r="C393" s="26" t="s">
        <v>53</v>
      </c>
      <c r="D393" s="26" t="s">
        <v>60</v>
      </c>
      <c r="E393" s="27" t="s">
        <v>73</v>
      </c>
      <c r="F393" s="26" t="s">
        <v>134</v>
      </c>
      <c r="G393" s="59">
        <v>5163825</v>
      </c>
      <c r="H393" s="29">
        <v>9</v>
      </c>
      <c r="I393" s="26" t="s">
        <v>60</v>
      </c>
      <c r="J393" s="26" t="s">
        <v>1096</v>
      </c>
    </row>
    <row r="394" spans="1:10" ht="15.75" customHeight="1">
      <c r="A394" s="26" t="s">
        <v>485</v>
      </c>
      <c r="B394" s="29">
        <v>19</v>
      </c>
      <c r="C394" s="26" t="s">
        <v>59</v>
      </c>
      <c r="D394" s="26" t="s">
        <v>54</v>
      </c>
      <c r="E394" s="27" t="s">
        <v>73</v>
      </c>
      <c r="F394" s="26" t="s">
        <v>86</v>
      </c>
      <c r="G394" s="59">
        <v>995410</v>
      </c>
      <c r="H394" s="29">
        <v>9</v>
      </c>
      <c r="I394" s="26" t="s">
        <v>60</v>
      </c>
      <c r="J394" s="26" t="s">
        <v>1095</v>
      </c>
    </row>
    <row r="395" spans="1:10" ht="15.75" customHeight="1">
      <c r="A395" s="26" t="s">
        <v>486</v>
      </c>
      <c r="B395" s="29">
        <v>46</v>
      </c>
      <c r="C395" s="26" t="s">
        <v>53</v>
      </c>
      <c r="D395" s="26" t="s">
        <v>60</v>
      </c>
      <c r="E395" s="27" t="s">
        <v>65</v>
      </c>
      <c r="F395" s="26" t="s">
        <v>69</v>
      </c>
      <c r="G395" s="59">
        <v>4503215</v>
      </c>
      <c r="H395" s="29">
        <v>3</v>
      </c>
      <c r="I395" s="26" t="s">
        <v>67</v>
      </c>
      <c r="J395" s="26" t="s">
        <v>1095</v>
      </c>
    </row>
    <row r="396" spans="1:10" ht="15.75" customHeight="1">
      <c r="A396" s="26" t="s">
        <v>487</v>
      </c>
      <c r="B396" s="29">
        <v>39</v>
      </c>
      <c r="C396" s="26" t="s">
        <v>59</v>
      </c>
      <c r="D396" s="26" t="s">
        <v>54</v>
      </c>
      <c r="E396" s="27" t="s">
        <v>61</v>
      </c>
      <c r="F396" s="26" t="s">
        <v>102</v>
      </c>
      <c r="G396" s="59">
        <v>3902900</v>
      </c>
      <c r="H396" s="29">
        <v>6</v>
      </c>
      <c r="I396" s="26" t="s">
        <v>60</v>
      </c>
      <c r="J396" s="26" t="s">
        <v>1095</v>
      </c>
    </row>
    <row r="397" spans="1:10" ht="15.75" customHeight="1">
      <c r="A397" s="26" t="s">
        <v>488</v>
      </c>
      <c r="B397" s="29">
        <v>27</v>
      </c>
      <c r="C397" s="26" t="s">
        <v>59</v>
      </c>
      <c r="D397" s="26" t="s">
        <v>54</v>
      </c>
      <c r="E397" s="27" t="s">
        <v>78</v>
      </c>
      <c r="F397" s="26" t="s">
        <v>80</v>
      </c>
      <c r="G397" s="59">
        <v>7448060</v>
      </c>
      <c r="H397" s="29">
        <v>3</v>
      </c>
      <c r="I397" s="26" t="s">
        <v>67</v>
      </c>
      <c r="J397" s="26" t="s">
        <v>1096</v>
      </c>
    </row>
    <row r="398" spans="1:10" ht="15.75" customHeight="1">
      <c r="A398" s="26" t="s">
        <v>489</v>
      </c>
      <c r="B398" s="29">
        <v>28</v>
      </c>
      <c r="C398" s="26" t="s">
        <v>53</v>
      </c>
      <c r="D398" s="26" t="s">
        <v>54</v>
      </c>
      <c r="E398" s="27" t="s">
        <v>55</v>
      </c>
      <c r="F398" s="26" t="s">
        <v>1093</v>
      </c>
      <c r="G398" s="59">
        <v>7156505</v>
      </c>
      <c r="H398" s="29">
        <v>10</v>
      </c>
      <c r="I398" s="26" t="s">
        <v>67</v>
      </c>
      <c r="J398" s="26" t="s">
        <v>1096</v>
      </c>
    </row>
    <row r="399" spans="1:10" ht="15.75" customHeight="1">
      <c r="A399" s="26" t="s">
        <v>490</v>
      </c>
      <c r="B399" s="29">
        <v>50</v>
      </c>
      <c r="C399" s="26" t="s">
        <v>53</v>
      </c>
      <c r="D399" s="26" t="s">
        <v>60</v>
      </c>
      <c r="E399" s="27" t="s">
        <v>55</v>
      </c>
      <c r="F399" s="26" t="s">
        <v>100</v>
      </c>
      <c r="G399" s="59">
        <v>4469270</v>
      </c>
      <c r="H399" s="29">
        <v>12</v>
      </c>
      <c r="I399" s="26" t="s">
        <v>57</v>
      </c>
      <c r="J399" s="26" t="s">
        <v>1096</v>
      </c>
    </row>
    <row r="400" spans="1:10" ht="15.75" customHeight="1">
      <c r="A400" s="26" t="s">
        <v>491</v>
      </c>
      <c r="B400" s="29">
        <v>19</v>
      </c>
      <c r="C400" s="26" t="s">
        <v>53</v>
      </c>
      <c r="D400" s="26" t="s">
        <v>60</v>
      </c>
      <c r="E400" s="27" t="s">
        <v>55</v>
      </c>
      <c r="F400" s="26" t="s">
        <v>56</v>
      </c>
      <c r="G400" s="59">
        <v>3008240</v>
      </c>
      <c r="H400" s="29">
        <v>3</v>
      </c>
      <c r="I400" s="26" t="s">
        <v>67</v>
      </c>
      <c r="J400" s="26" t="s">
        <v>1095</v>
      </c>
    </row>
    <row r="401" spans="1:10" ht="15.75" customHeight="1">
      <c r="A401" s="26" t="s">
        <v>492</v>
      </c>
      <c r="B401" s="29">
        <v>27</v>
      </c>
      <c r="C401" s="26" t="s">
        <v>53</v>
      </c>
      <c r="D401" s="26" t="s">
        <v>54</v>
      </c>
      <c r="E401" s="27" t="s">
        <v>78</v>
      </c>
      <c r="F401" s="26" t="s">
        <v>1094</v>
      </c>
      <c r="G401" s="59">
        <v>3075975</v>
      </c>
      <c r="H401" s="29">
        <v>11</v>
      </c>
      <c r="I401" s="26" t="s">
        <v>60</v>
      </c>
      <c r="J401" s="26" t="s">
        <v>1095</v>
      </c>
    </row>
    <row r="402" spans="1:10" ht="15.75" customHeight="1">
      <c r="A402" s="26" t="s">
        <v>493</v>
      </c>
      <c r="B402" s="29">
        <v>23</v>
      </c>
      <c r="C402" s="26" t="s">
        <v>59</v>
      </c>
      <c r="D402" s="26" t="s">
        <v>60</v>
      </c>
      <c r="E402" s="27" t="s">
        <v>61</v>
      </c>
      <c r="F402" s="26" t="s">
        <v>102</v>
      </c>
      <c r="G402" s="59">
        <v>3354975</v>
      </c>
      <c r="H402" s="29">
        <v>5</v>
      </c>
      <c r="I402" s="26" t="s">
        <v>63</v>
      </c>
      <c r="J402" s="26" t="s">
        <v>1096</v>
      </c>
    </row>
    <row r="403" spans="1:10" ht="15.75" customHeight="1">
      <c r="A403" s="26" t="s">
        <v>494</v>
      </c>
      <c r="B403" s="29">
        <v>19</v>
      </c>
      <c r="C403" s="26" t="s">
        <v>53</v>
      </c>
      <c r="D403" s="26" t="s">
        <v>60</v>
      </c>
      <c r="E403" s="27" t="s">
        <v>73</v>
      </c>
      <c r="F403" s="26" t="s">
        <v>102</v>
      </c>
      <c r="G403" s="59">
        <v>5560160</v>
      </c>
      <c r="H403" s="29">
        <v>5</v>
      </c>
      <c r="I403" s="26" t="s">
        <v>67</v>
      </c>
      <c r="J403" s="26" t="s">
        <v>1095</v>
      </c>
    </row>
    <row r="404" spans="1:10" ht="15.75" customHeight="1">
      <c r="A404" s="26" t="s">
        <v>495</v>
      </c>
      <c r="B404" s="29">
        <v>22</v>
      </c>
      <c r="C404" s="26" t="s">
        <v>53</v>
      </c>
      <c r="D404" s="26" t="s">
        <v>54</v>
      </c>
      <c r="E404" s="27" t="s">
        <v>78</v>
      </c>
      <c r="F404" s="26" t="s">
        <v>86</v>
      </c>
      <c r="G404" s="59">
        <v>5697180</v>
      </c>
      <c r="H404" s="29">
        <v>9</v>
      </c>
      <c r="I404" s="26" t="s">
        <v>57</v>
      </c>
      <c r="J404" s="26" t="s">
        <v>1096</v>
      </c>
    </row>
    <row r="405" spans="1:10" ht="15.75" customHeight="1">
      <c r="A405" s="26" t="s">
        <v>496</v>
      </c>
      <c r="B405" s="29">
        <v>40</v>
      </c>
      <c r="C405" s="26" t="s">
        <v>59</v>
      </c>
      <c r="D405" s="26" t="s">
        <v>54</v>
      </c>
      <c r="E405" s="27" t="s">
        <v>55</v>
      </c>
      <c r="F405" s="26" t="s">
        <v>134</v>
      </c>
      <c r="G405" s="59">
        <v>1376090</v>
      </c>
      <c r="H405" s="29">
        <v>10</v>
      </c>
      <c r="I405" s="26" t="s">
        <v>60</v>
      </c>
      <c r="J405" s="26" t="s">
        <v>1096</v>
      </c>
    </row>
    <row r="406" spans="1:10" ht="15.75" customHeight="1">
      <c r="A406" s="26" t="s">
        <v>497</v>
      </c>
      <c r="B406" s="29">
        <v>48</v>
      </c>
      <c r="C406" s="26" t="s">
        <v>59</v>
      </c>
      <c r="D406" s="26" t="s">
        <v>54</v>
      </c>
      <c r="E406" s="27" t="s">
        <v>61</v>
      </c>
      <c r="F406" s="26" t="s">
        <v>62</v>
      </c>
      <c r="G406" s="59">
        <v>7220675</v>
      </c>
      <c r="H406" s="29">
        <v>10</v>
      </c>
      <c r="I406" s="26" t="s">
        <v>57</v>
      </c>
      <c r="J406" s="26" t="s">
        <v>1095</v>
      </c>
    </row>
    <row r="407" spans="1:10" ht="15.75" customHeight="1">
      <c r="A407" s="26" t="s">
        <v>498</v>
      </c>
      <c r="B407" s="29">
        <v>49</v>
      </c>
      <c r="C407" s="26" t="s">
        <v>59</v>
      </c>
      <c r="D407" s="26" t="s">
        <v>54</v>
      </c>
      <c r="E407" s="27" t="s">
        <v>85</v>
      </c>
      <c r="F407" s="26" t="s">
        <v>134</v>
      </c>
      <c r="G407" s="59">
        <v>4070455</v>
      </c>
      <c r="H407" s="29">
        <v>3</v>
      </c>
      <c r="I407" s="26" t="s">
        <v>63</v>
      </c>
      <c r="J407" s="26" t="s">
        <v>1096</v>
      </c>
    </row>
    <row r="408" spans="1:10" ht="15.75" customHeight="1">
      <c r="A408" s="26" t="s">
        <v>499</v>
      </c>
      <c r="B408" s="29">
        <v>45</v>
      </c>
      <c r="C408" s="26" t="s">
        <v>53</v>
      </c>
      <c r="D408" s="26" t="s">
        <v>54</v>
      </c>
      <c r="E408" s="27" t="s">
        <v>61</v>
      </c>
      <c r="F408" s="26" t="s">
        <v>69</v>
      </c>
      <c r="G408" s="59">
        <v>1414220</v>
      </c>
      <c r="H408" s="29">
        <v>8</v>
      </c>
      <c r="I408" s="26" t="s">
        <v>60</v>
      </c>
      <c r="J408" s="26" t="s">
        <v>1095</v>
      </c>
    </row>
    <row r="409" spans="1:10" ht="15.75" customHeight="1">
      <c r="A409" s="26" t="s">
        <v>500</v>
      </c>
      <c r="B409" s="29">
        <v>42</v>
      </c>
      <c r="C409" s="26" t="s">
        <v>53</v>
      </c>
      <c r="D409" s="26" t="s">
        <v>60</v>
      </c>
      <c r="E409" s="27" t="s">
        <v>65</v>
      </c>
      <c r="F409" s="26" t="s">
        <v>86</v>
      </c>
      <c r="G409" s="59">
        <v>6598195</v>
      </c>
      <c r="H409" s="29">
        <v>5</v>
      </c>
      <c r="I409" s="26" t="s">
        <v>60</v>
      </c>
      <c r="J409" s="26" t="s">
        <v>1096</v>
      </c>
    </row>
    <row r="410" spans="1:10" ht="15.75" customHeight="1">
      <c r="A410" s="26" t="s">
        <v>501</v>
      </c>
      <c r="B410" s="29">
        <v>41</v>
      </c>
      <c r="C410" s="26" t="s">
        <v>53</v>
      </c>
      <c r="D410" s="26" t="s">
        <v>60</v>
      </c>
      <c r="E410" s="27" t="s">
        <v>65</v>
      </c>
      <c r="F410" s="26" t="s">
        <v>1093</v>
      </c>
      <c r="G410" s="59">
        <v>6914705</v>
      </c>
      <c r="H410" s="29">
        <v>9</v>
      </c>
      <c r="I410" s="26" t="s">
        <v>63</v>
      </c>
      <c r="J410" s="26" t="s">
        <v>1095</v>
      </c>
    </row>
    <row r="411" spans="1:10" ht="15.75" customHeight="1">
      <c r="A411" s="26" t="s">
        <v>502</v>
      </c>
      <c r="B411" s="29">
        <v>23</v>
      </c>
      <c r="C411" s="26" t="s">
        <v>53</v>
      </c>
      <c r="D411" s="26" t="s">
        <v>60</v>
      </c>
      <c r="E411" s="27" t="s">
        <v>61</v>
      </c>
      <c r="F411" s="26" t="s">
        <v>100</v>
      </c>
      <c r="G411" s="59">
        <v>7596705</v>
      </c>
      <c r="H411" s="29">
        <v>8</v>
      </c>
      <c r="I411" s="26" t="s">
        <v>67</v>
      </c>
      <c r="J411" s="26" t="s">
        <v>1096</v>
      </c>
    </row>
    <row r="412" spans="1:10" ht="15.75" customHeight="1">
      <c r="A412" s="26" t="s">
        <v>503</v>
      </c>
      <c r="B412" s="29">
        <v>44</v>
      </c>
      <c r="C412" s="26" t="s">
        <v>53</v>
      </c>
      <c r="D412" s="26" t="s">
        <v>60</v>
      </c>
      <c r="E412" s="27" t="s">
        <v>61</v>
      </c>
      <c r="F412" s="26" t="s">
        <v>80</v>
      </c>
      <c r="G412" s="59">
        <v>6255335</v>
      </c>
      <c r="H412" s="29">
        <v>6</v>
      </c>
      <c r="I412" s="26" t="s">
        <v>60</v>
      </c>
      <c r="J412" s="26" t="s">
        <v>1096</v>
      </c>
    </row>
    <row r="413" spans="1:10" ht="15.75" customHeight="1">
      <c r="A413" s="26" t="s">
        <v>504</v>
      </c>
      <c r="B413" s="29">
        <v>42</v>
      </c>
      <c r="C413" s="26" t="s">
        <v>53</v>
      </c>
      <c r="D413" s="26" t="s">
        <v>60</v>
      </c>
      <c r="E413" s="27" t="s">
        <v>73</v>
      </c>
      <c r="F413" s="26" t="s">
        <v>1093</v>
      </c>
      <c r="G413" s="59">
        <v>6853325</v>
      </c>
      <c r="H413" s="29">
        <v>10</v>
      </c>
      <c r="I413" s="26" t="s">
        <v>60</v>
      </c>
      <c r="J413" s="26" t="s">
        <v>1096</v>
      </c>
    </row>
    <row r="414" spans="1:10" ht="15.75" customHeight="1">
      <c r="A414" s="26" t="s">
        <v>505</v>
      </c>
      <c r="B414" s="29">
        <v>49</v>
      </c>
      <c r="C414" s="26" t="s">
        <v>53</v>
      </c>
      <c r="D414" s="26" t="s">
        <v>54</v>
      </c>
      <c r="E414" s="27" t="s">
        <v>78</v>
      </c>
      <c r="F414" s="26" t="s">
        <v>80</v>
      </c>
      <c r="G414" s="59">
        <v>1220005</v>
      </c>
      <c r="H414" s="29">
        <v>5</v>
      </c>
      <c r="I414" s="26" t="s">
        <v>57</v>
      </c>
      <c r="J414" s="26" t="s">
        <v>1095</v>
      </c>
    </row>
    <row r="415" spans="1:10" ht="15.75" customHeight="1">
      <c r="A415" s="26" t="s">
        <v>506</v>
      </c>
      <c r="B415" s="29">
        <v>45</v>
      </c>
      <c r="C415" s="26" t="s">
        <v>53</v>
      </c>
      <c r="D415" s="26" t="s">
        <v>54</v>
      </c>
      <c r="E415" s="27" t="s">
        <v>85</v>
      </c>
      <c r="F415" s="26" t="s">
        <v>71</v>
      </c>
      <c r="G415" s="59">
        <v>7618405</v>
      </c>
      <c r="H415" s="29">
        <v>2</v>
      </c>
      <c r="I415" s="26" t="s">
        <v>63</v>
      </c>
      <c r="J415" s="26" t="s">
        <v>1095</v>
      </c>
    </row>
    <row r="416" spans="1:10" ht="15.75" customHeight="1">
      <c r="A416" s="26" t="s">
        <v>507</v>
      </c>
      <c r="B416" s="29">
        <v>36</v>
      </c>
      <c r="C416" s="26" t="s">
        <v>53</v>
      </c>
      <c r="D416" s="26" t="s">
        <v>54</v>
      </c>
      <c r="E416" s="27" t="s">
        <v>61</v>
      </c>
      <c r="F416" s="26" t="s">
        <v>71</v>
      </c>
      <c r="G416" s="59">
        <v>7089545</v>
      </c>
      <c r="H416" s="29">
        <v>12</v>
      </c>
      <c r="I416" s="26" t="s">
        <v>60</v>
      </c>
      <c r="J416" s="26" t="s">
        <v>1095</v>
      </c>
    </row>
    <row r="417" spans="1:10" ht="15.75" customHeight="1">
      <c r="A417" s="26" t="s">
        <v>508</v>
      </c>
      <c r="B417" s="29">
        <v>38</v>
      </c>
      <c r="C417" s="26" t="s">
        <v>53</v>
      </c>
      <c r="D417" s="26" t="s">
        <v>60</v>
      </c>
      <c r="E417" s="27" t="s">
        <v>61</v>
      </c>
      <c r="F417" s="26" t="s">
        <v>62</v>
      </c>
      <c r="G417" s="59">
        <v>2768455</v>
      </c>
      <c r="H417" s="29">
        <v>12</v>
      </c>
      <c r="I417" s="26" t="s">
        <v>60</v>
      </c>
      <c r="J417" s="26" t="s">
        <v>1095</v>
      </c>
    </row>
    <row r="418" spans="1:10" ht="15.75" customHeight="1">
      <c r="A418" s="26" t="s">
        <v>509</v>
      </c>
      <c r="B418" s="29">
        <v>44</v>
      </c>
      <c r="C418" s="26" t="s">
        <v>59</v>
      </c>
      <c r="D418" s="26" t="s">
        <v>54</v>
      </c>
      <c r="E418" s="27" t="s">
        <v>78</v>
      </c>
      <c r="F418" s="26" t="s">
        <v>90</v>
      </c>
      <c r="G418" s="59">
        <v>7633905</v>
      </c>
      <c r="H418" s="29">
        <v>7</v>
      </c>
      <c r="I418" s="26" t="s">
        <v>67</v>
      </c>
      <c r="J418" s="26" t="s">
        <v>1095</v>
      </c>
    </row>
    <row r="419" spans="1:10" ht="15.75" customHeight="1">
      <c r="A419" s="26" t="s">
        <v>510</v>
      </c>
      <c r="B419" s="29">
        <v>37</v>
      </c>
      <c r="C419" s="26" t="s">
        <v>53</v>
      </c>
      <c r="D419" s="26" t="s">
        <v>60</v>
      </c>
      <c r="E419" s="27" t="s">
        <v>78</v>
      </c>
      <c r="F419" s="26" t="s">
        <v>69</v>
      </c>
      <c r="G419" s="59">
        <v>6376700</v>
      </c>
      <c r="H419" s="29">
        <v>3</v>
      </c>
      <c r="I419" s="26" t="s">
        <v>60</v>
      </c>
      <c r="J419" s="26" t="s">
        <v>1095</v>
      </c>
    </row>
    <row r="420" spans="1:10" ht="15.75" customHeight="1">
      <c r="A420" s="26" t="s">
        <v>511</v>
      </c>
      <c r="B420" s="29">
        <v>36</v>
      </c>
      <c r="C420" s="26" t="s">
        <v>59</v>
      </c>
      <c r="D420" s="26" t="s">
        <v>54</v>
      </c>
      <c r="E420" s="27" t="s">
        <v>61</v>
      </c>
      <c r="F420" s="26" t="s">
        <v>134</v>
      </c>
      <c r="G420" s="59">
        <v>1496060</v>
      </c>
      <c r="H420" s="29">
        <v>0</v>
      </c>
      <c r="I420" s="26" t="s">
        <v>67</v>
      </c>
      <c r="J420" s="26" t="s">
        <v>1096</v>
      </c>
    </row>
    <row r="421" spans="1:10" ht="15.75" customHeight="1">
      <c r="A421" s="26" t="s">
        <v>512</v>
      </c>
      <c r="B421" s="29">
        <v>34</v>
      </c>
      <c r="C421" s="26" t="s">
        <v>59</v>
      </c>
      <c r="D421" s="26" t="s">
        <v>60</v>
      </c>
      <c r="E421" s="27" t="s">
        <v>78</v>
      </c>
      <c r="F421" s="26" t="s">
        <v>82</v>
      </c>
      <c r="G421" s="59">
        <v>1014475</v>
      </c>
      <c r="H421" s="29">
        <v>6</v>
      </c>
      <c r="I421" s="26" t="s">
        <v>60</v>
      </c>
      <c r="J421" s="26" t="s">
        <v>1095</v>
      </c>
    </row>
    <row r="422" spans="1:10" ht="15.75" customHeight="1">
      <c r="A422" s="26" t="s">
        <v>513</v>
      </c>
      <c r="B422" s="29">
        <v>23</v>
      </c>
      <c r="C422" s="26" t="s">
        <v>59</v>
      </c>
      <c r="D422" s="26" t="s">
        <v>54</v>
      </c>
      <c r="E422" s="27" t="s">
        <v>85</v>
      </c>
      <c r="F422" s="26" t="s">
        <v>90</v>
      </c>
      <c r="G422" s="59">
        <v>3965830</v>
      </c>
      <c r="H422" s="29">
        <v>3</v>
      </c>
      <c r="I422" s="26" t="s">
        <v>60</v>
      </c>
      <c r="J422" s="26" t="s">
        <v>1095</v>
      </c>
    </row>
    <row r="423" spans="1:10" ht="15.75" customHeight="1">
      <c r="A423" s="26" t="s">
        <v>514</v>
      </c>
      <c r="B423" s="29">
        <v>35</v>
      </c>
      <c r="C423" s="26" t="s">
        <v>59</v>
      </c>
      <c r="D423" s="26" t="s">
        <v>60</v>
      </c>
      <c r="E423" s="27" t="s">
        <v>61</v>
      </c>
      <c r="F423" s="26" t="s">
        <v>71</v>
      </c>
      <c r="G423" s="59">
        <v>1157695</v>
      </c>
      <c r="H423" s="29">
        <v>10</v>
      </c>
      <c r="I423" s="26" t="s">
        <v>67</v>
      </c>
      <c r="J423" s="26" t="s">
        <v>1096</v>
      </c>
    </row>
    <row r="424" spans="1:10" ht="15.75" customHeight="1">
      <c r="A424" s="26" t="s">
        <v>515</v>
      </c>
      <c r="B424" s="29">
        <v>45</v>
      </c>
      <c r="C424" s="26" t="s">
        <v>59</v>
      </c>
      <c r="D424" s="26" t="s">
        <v>54</v>
      </c>
      <c r="E424" s="27" t="s">
        <v>78</v>
      </c>
      <c r="F424" s="26" t="s">
        <v>69</v>
      </c>
      <c r="G424" s="59">
        <v>6676625</v>
      </c>
      <c r="H424" s="29">
        <v>8</v>
      </c>
      <c r="I424" s="26" t="s">
        <v>67</v>
      </c>
      <c r="J424" s="26" t="s">
        <v>1096</v>
      </c>
    </row>
    <row r="425" spans="1:10" ht="15.75" customHeight="1">
      <c r="A425" s="26" t="s">
        <v>516</v>
      </c>
      <c r="B425" s="29">
        <v>38</v>
      </c>
      <c r="C425" s="26" t="s">
        <v>59</v>
      </c>
      <c r="D425" s="26" t="s">
        <v>60</v>
      </c>
      <c r="E425" s="27" t="s">
        <v>78</v>
      </c>
      <c r="F425" s="26" t="s">
        <v>100</v>
      </c>
      <c r="G425" s="59">
        <v>5737635</v>
      </c>
      <c r="H425" s="29">
        <v>2</v>
      </c>
      <c r="I425" s="26" t="s">
        <v>63</v>
      </c>
      <c r="J425" s="26" t="s">
        <v>1096</v>
      </c>
    </row>
    <row r="426" spans="1:10" ht="15.75" customHeight="1">
      <c r="A426" s="26" t="s">
        <v>517</v>
      </c>
      <c r="B426" s="29">
        <v>25</v>
      </c>
      <c r="C426" s="26" t="s">
        <v>59</v>
      </c>
      <c r="D426" s="26" t="s">
        <v>54</v>
      </c>
      <c r="E426" s="27" t="s">
        <v>78</v>
      </c>
      <c r="F426" s="26" t="s">
        <v>98</v>
      </c>
      <c r="G426" s="59">
        <v>5956030</v>
      </c>
      <c r="H426" s="29">
        <v>6</v>
      </c>
      <c r="I426" s="26" t="s">
        <v>60</v>
      </c>
      <c r="J426" s="26" t="s">
        <v>1096</v>
      </c>
    </row>
    <row r="427" spans="1:10" ht="15.75" customHeight="1">
      <c r="A427" s="26" t="s">
        <v>518</v>
      </c>
      <c r="B427" s="29">
        <v>26</v>
      </c>
      <c r="C427" s="26" t="s">
        <v>59</v>
      </c>
      <c r="D427" s="26" t="s">
        <v>54</v>
      </c>
      <c r="E427" s="27" t="s">
        <v>73</v>
      </c>
      <c r="F427" s="26" t="s">
        <v>69</v>
      </c>
      <c r="G427" s="59">
        <v>1984155</v>
      </c>
      <c r="H427" s="29">
        <v>2</v>
      </c>
      <c r="I427" s="26" t="s">
        <v>63</v>
      </c>
      <c r="J427" s="26" t="s">
        <v>1095</v>
      </c>
    </row>
    <row r="428" spans="1:10" ht="15.75" customHeight="1">
      <c r="A428" s="26" t="s">
        <v>519</v>
      </c>
      <c r="B428" s="29">
        <v>46</v>
      </c>
      <c r="C428" s="26" t="s">
        <v>53</v>
      </c>
      <c r="D428" s="26" t="s">
        <v>60</v>
      </c>
      <c r="E428" s="27" t="s">
        <v>73</v>
      </c>
      <c r="F428" s="26" t="s">
        <v>86</v>
      </c>
      <c r="G428" s="59">
        <v>4671700</v>
      </c>
      <c r="H428" s="29">
        <v>4</v>
      </c>
      <c r="I428" s="26" t="s">
        <v>63</v>
      </c>
      <c r="J428" s="26" t="s">
        <v>1096</v>
      </c>
    </row>
    <row r="429" spans="1:10" ht="15.75" customHeight="1">
      <c r="A429" s="26" t="s">
        <v>520</v>
      </c>
      <c r="B429" s="29">
        <v>18</v>
      </c>
      <c r="C429" s="26" t="s">
        <v>53</v>
      </c>
      <c r="D429" s="26" t="s">
        <v>60</v>
      </c>
      <c r="E429" s="27" t="s">
        <v>73</v>
      </c>
      <c r="F429" s="26" t="s">
        <v>113</v>
      </c>
      <c r="G429" s="59">
        <v>6157375</v>
      </c>
      <c r="H429" s="29">
        <v>6</v>
      </c>
      <c r="I429" s="26" t="s">
        <v>67</v>
      </c>
      <c r="J429" s="26" t="s">
        <v>1096</v>
      </c>
    </row>
    <row r="430" spans="1:10" ht="15.75" customHeight="1">
      <c r="A430" s="26" t="s">
        <v>521</v>
      </c>
      <c r="B430" s="29">
        <v>46</v>
      </c>
      <c r="C430" s="26" t="s">
        <v>59</v>
      </c>
      <c r="D430" s="26" t="s">
        <v>54</v>
      </c>
      <c r="E430" s="27" t="s">
        <v>85</v>
      </c>
      <c r="F430" s="26" t="s">
        <v>56</v>
      </c>
      <c r="G430" s="59">
        <v>1490790</v>
      </c>
      <c r="H430" s="29">
        <v>3</v>
      </c>
      <c r="I430" s="26" t="s">
        <v>57</v>
      </c>
      <c r="J430" s="26" t="s">
        <v>1096</v>
      </c>
    </row>
    <row r="431" spans="1:10" ht="15.75" customHeight="1">
      <c r="A431" s="26" t="s">
        <v>522</v>
      </c>
      <c r="B431" s="29">
        <v>19</v>
      </c>
      <c r="C431" s="26" t="s">
        <v>53</v>
      </c>
      <c r="D431" s="26" t="s">
        <v>60</v>
      </c>
      <c r="E431" s="27" t="s">
        <v>73</v>
      </c>
      <c r="F431" s="26" t="s">
        <v>102</v>
      </c>
      <c r="G431" s="59">
        <v>6051820</v>
      </c>
      <c r="H431" s="29">
        <v>4</v>
      </c>
      <c r="I431" s="26" t="s">
        <v>63</v>
      </c>
      <c r="J431" s="26" t="s">
        <v>1095</v>
      </c>
    </row>
    <row r="432" spans="1:10" ht="15.75" customHeight="1">
      <c r="A432" s="26" t="s">
        <v>523</v>
      </c>
      <c r="B432" s="29">
        <v>37</v>
      </c>
      <c r="C432" s="26" t="s">
        <v>53</v>
      </c>
      <c r="D432" s="26" t="s">
        <v>54</v>
      </c>
      <c r="E432" s="27" t="s">
        <v>78</v>
      </c>
      <c r="F432" s="26" t="s">
        <v>90</v>
      </c>
      <c r="G432" s="59">
        <v>953250</v>
      </c>
      <c r="H432" s="29">
        <v>11</v>
      </c>
      <c r="I432" s="26" t="s">
        <v>63</v>
      </c>
      <c r="J432" s="26" t="s">
        <v>1095</v>
      </c>
    </row>
    <row r="433" spans="1:10" ht="15.75" customHeight="1">
      <c r="A433" s="26" t="s">
        <v>524</v>
      </c>
      <c r="B433" s="29">
        <v>35</v>
      </c>
      <c r="C433" s="26" t="s">
        <v>53</v>
      </c>
      <c r="D433" s="26" t="s">
        <v>54</v>
      </c>
      <c r="E433" s="27" t="s">
        <v>61</v>
      </c>
      <c r="F433" s="26" t="s">
        <v>66</v>
      </c>
      <c r="G433" s="59">
        <v>3633820</v>
      </c>
      <c r="H433" s="29">
        <v>6</v>
      </c>
      <c r="I433" s="26" t="s">
        <v>63</v>
      </c>
      <c r="J433" s="26" t="s">
        <v>1096</v>
      </c>
    </row>
    <row r="434" spans="1:10" ht="15.75" customHeight="1">
      <c r="A434" s="26" t="s">
        <v>525</v>
      </c>
      <c r="B434" s="29">
        <v>43</v>
      </c>
      <c r="C434" s="26" t="s">
        <v>59</v>
      </c>
      <c r="D434" s="26" t="s">
        <v>54</v>
      </c>
      <c r="E434" s="27" t="s">
        <v>55</v>
      </c>
      <c r="F434" s="26" t="s">
        <v>104</v>
      </c>
      <c r="G434" s="59">
        <v>4942020</v>
      </c>
      <c r="H434" s="29">
        <v>6</v>
      </c>
      <c r="I434" s="26" t="s">
        <v>67</v>
      </c>
      <c r="J434" s="26" t="s">
        <v>1096</v>
      </c>
    </row>
    <row r="435" spans="1:10" ht="15.75" customHeight="1">
      <c r="A435" s="26" t="s">
        <v>526</v>
      </c>
      <c r="B435" s="29">
        <v>28</v>
      </c>
      <c r="C435" s="26" t="s">
        <v>59</v>
      </c>
      <c r="D435" s="26" t="s">
        <v>54</v>
      </c>
      <c r="E435" s="27" t="s">
        <v>55</v>
      </c>
      <c r="F435" s="26" t="s">
        <v>104</v>
      </c>
      <c r="G435" s="59">
        <v>5073460</v>
      </c>
      <c r="H435" s="29">
        <v>6</v>
      </c>
      <c r="I435" s="26" t="s">
        <v>57</v>
      </c>
      <c r="J435" s="26" t="s">
        <v>1095</v>
      </c>
    </row>
    <row r="436" spans="1:10" ht="15.75" customHeight="1">
      <c r="A436" s="26" t="s">
        <v>527</v>
      </c>
      <c r="B436" s="29">
        <v>25</v>
      </c>
      <c r="C436" s="26" t="s">
        <v>59</v>
      </c>
      <c r="D436" s="26" t="s">
        <v>54</v>
      </c>
      <c r="E436" s="27" t="s">
        <v>78</v>
      </c>
      <c r="F436" s="26" t="s">
        <v>76</v>
      </c>
      <c r="G436" s="59">
        <v>7372420</v>
      </c>
      <c r="H436" s="29">
        <v>3</v>
      </c>
      <c r="I436" s="26" t="s">
        <v>67</v>
      </c>
      <c r="J436" s="26" t="s">
        <v>1095</v>
      </c>
    </row>
    <row r="437" spans="1:10" ht="15.75" customHeight="1">
      <c r="A437" s="26" t="s">
        <v>528</v>
      </c>
      <c r="B437" s="29">
        <v>47</v>
      </c>
      <c r="C437" s="26" t="s">
        <v>59</v>
      </c>
      <c r="D437" s="26" t="s">
        <v>60</v>
      </c>
      <c r="E437" s="27" t="s">
        <v>55</v>
      </c>
      <c r="F437" s="26" t="s">
        <v>92</v>
      </c>
      <c r="G437" s="59">
        <v>1063145</v>
      </c>
      <c r="H437" s="29">
        <v>9</v>
      </c>
      <c r="I437" s="26" t="s">
        <v>63</v>
      </c>
      <c r="J437" s="26" t="s">
        <v>1096</v>
      </c>
    </row>
    <row r="438" spans="1:10" ht="15.75" customHeight="1">
      <c r="A438" s="26" t="s">
        <v>529</v>
      </c>
      <c r="B438" s="29">
        <v>45</v>
      </c>
      <c r="C438" s="26" t="s">
        <v>59</v>
      </c>
      <c r="D438" s="26" t="s">
        <v>54</v>
      </c>
      <c r="E438" s="27" t="s">
        <v>65</v>
      </c>
      <c r="F438" s="26" t="s">
        <v>90</v>
      </c>
      <c r="G438" s="59">
        <v>2062120</v>
      </c>
      <c r="H438" s="29">
        <v>12</v>
      </c>
      <c r="I438" s="26" t="s">
        <v>60</v>
      </c>
      <c r="J438" s="26" t="s">
        <v>1095</v>
      </c>
    </row>
    <row r="439" spans="1:10" ht="15.75" customHeight="1">
      <c r="A439" s="26" t="s">
        <v>530</v>
      </c>
      <c r="B439" s="29">
        <v>24</v>
      </c>
      <c r="C439" s="26" t="s">
        <v>53</v>
      </c>
      <c r="D439" s="26" t="s">
        <v>60</v>
      </c>
      <c r="E439" s="27" t="s">
        <v>65</v>
      </c>
      <c r="F439" s="26" t="s">
        <v>86</v>
      </c>
      <c r="G439" s="59">
        <v>3047765</v>
      </c>
      <c r="H439" s="29">
        <v>9</v>
      </c>
      <c r="I439" s="26" t="s">
        <v>63</v>
      </c>
      <c r="J439" s="26" t="s">
        <v>1095</v>
      </c>
    </row>
    <row r="440" spans="1:10" ht="15.75" customHeight="1">
      <c r="A440" s="26" t="s">
        <v>531</v>
      </c>
      <c r="B440" s="29">
        <v>30</v>
      </c>
      <c r="C440" s="26" t="s">
        <v>59</v>
      </c>
      <c r="D440" s="26" t="s">
        <v>54</v>
      </c>
      <c r="E440" s="27" t="s">
        <v>55</v>
      </c>
      <c r="F440" s="26" t="s">
        <v>69</v>
      </c>
      <c r="G440" s="59">
        <v>7346380</v>
      </c>
      <c r="H440" s="29">
        <v>12</v>
      </c>
      <c r="I440" s="26" t="s">
        <v>63</v>
      </c>
      <c r="J440" s="26" t="s">
        <v>1095</v>
      </c>
    </row>
    <row r="441" spans="1:10" ht="15.75" customHeight="1">
      <c r="A441" s="26" t="s">
        <v>532</v>
      </c>
      <c r="B441" s="29">
        <v>24</v>
      </c>
      <c r="C441" s="26" t="s">
        <v>53</v>
      </c>
      <c r="D441" s="26" t="s">
        <v>60</v>
      </c>
      <c r="E441" s="27" t="s">
        <v>61</v>
      </c>
      <c r="F441" s="26" t="s">
        <v>86</v>
      </c>
      <c r="G441" s="59">
        <v>7324060</v>
      </c>
      <c r="H441" s="29">
        <v>8</v>
      </c>
      <c r="I441" s="26" t="s">
        <v>67</v>
      </c>
      <c r="J441" s="26" t="s">
        <v>1096</v>
      </c>
    </row>
    <row r="442" spans="1:10" ht="15.75" customHeight="1">
      <c r="A442" s="26" t="s">
        <v>533</v>
      </c>
      <c r="B442" s="29">
        <v>27</v>
      </c>
      <c r="C442" s="26" t="s">
        <v>53</v>
      </c>
      <c r="D442" s="26" t="s">
        <v>54</v>
      </c>
      <c r="E442" s="27" t="s">
        <v>78</v>
      </c>
      <c r="F442" s="26" t="s">
        <v>102</v>
      </c>
      <c r="G442" s="59">
        <v>5204900</v>
      </c>
      <c r="H442" s="29">
        <v>9</v>
      </c>
      <c r="I442" s="26" t="s">
        <v>57</v>
      </c>
      <c r="J442" s="26" t="s">
        <v>1095</v>
      </c>
    </row>
    <row r="443" spans="1:10" ht="15.75" customHeight="1">
      <c r="A443" s="26" t="s">
        <v>534</v>
      </c>
      <c r="B443" s="29">
        <v>25</v>
      </c>
      <c r="C443" s="26" t="s">
        <v>59</v>
      </c>
      <c r="D443" s="26" t="s">
        <v>54</v>
      </c>
      <c r="E443" s="27" t="s">
        <v>55</v>
      </c>
      <c r="F443" s="26" t="s">
        <v>86</v>
      </c>
      <c r="G443" s="59">
        <v>1326335</v>
      </c>
      <c r="H443" s="29">
        <v>12</v>
      </c>
      <c r="I443" s="26" t="s">
        <v>67</v>
      </c>
      <c r="J443" s="26" t="s">
        <v>1095</v>
      </c>
    </row>
    <row r="444" spans="1:10" ht="15.75" customHeight="1">
      <c r="A444" s="26" t="s">
        <v>535</v>
      </c>
      <c r="B444" s="29">
        <v>44</v>
      </c>
      <c r="C444" s="26" t="s">
        <v>53</v>
      </c>
      <c r="D444" s="26" t="s">
        <v>54</v>
      </c>
      <c r="E444" s="27" t="s">
        <v>85</v>
      </c>
      <c r="F444" s="26" t="s">
        <v>137</v>
      </c>
      <c r="G444" s="59">
        <v>1681750</v>
      </c>
      <c r="H444" s="29">
        <v>11</v>
      </c>
      <c r="I444" s="26" t="s">
        <v>57</v>
      </c>
      <c r="J444" s="26" t="s">
        <v>1096</v>
      </c>
    </row>
    <row r="445" spans="1:10" ht="15.75" customHeight="1">
      <c r="A445" s="26" t="s">
        <v>536</v>
      </c>
      <c r="B445" s="29">
        <v>26</v>
      </c>
      <c r="C445" s="26" t="s">
        <v>59</v>
      </c>
      <c r="D445" s="26" t="s">
        <v>54</v>
      </c>
      <c r="E445" s="27" t="s">
        <v>55</v>
      </c>
      <c r="F445" s="26" t="s">
        <v>62</v>
      </c>
      <c r="G445" s="59">
        <v>2673750</v>
      </c>
      <c r="H445" s="29">
        <v>8</v>
      </c>
      <c r="I445" s="26" t="s">
        <v>63</v>
      </c>
      <c r="J445" s="26" t="s">
        <v>1095</v>
      </c>
    </row>
    <row r="446" spans="1:10" ht="15.75" customHeight="1">
      <c r="A446" s="26" t="s">
        <v>537</v>
      </c>
      <c r="B446" s="29">
        <v>18</v>
      </c>
      <c r="C446" s="26" t="s">
        <v>53</v>
      </c>
      <c r="D446" s="26" t="s">
        <v>60</v>
      </c>
      <c r="E446" s="27" t="s">
        <v>61</v>
      </c>
      <c r="F446" s="26" t="s">
        <v>98</v>
      </c>
      <c r="G446" s="59">
        <v>3298400</v>
      </c>
      <c r="H446" s="29">
        <v>6</v>
      </c>
      <c r="I446" s="26" t="s">
        <v>57</v>
      </c>
      <c r="J446" s="26" t="s">
        <v>1095</v>
      </c>
    </row>
    <row r="447" spans="1:10" ht="15.75" customHeight="1">
      <c r="A447" s="26" t="s">
        <v>538</v>
      </c>
      <c r="B447" s="29">
        <v>47</v>
      </c>
      <c r="C447" s="26" t="s">
        <v>53</v>
      </c>
      <c r="D447" s="26" t="s">
        <v>54</v>
      </c>
      <c r="E447" s="27" t="s">
        <v>78</v>
      </c>
      <c r="F447" s="26" t="s">
        <v>102</v>
      </c>
      <c r="G447" s="59">
        <v>5028355</v>
      </c>
      <c r="H447" s="29">
        <v>7</v>
      </c>
      <c r="I447" s="26" t="s">
        <v>57</v>
      </c>
      <c r="J447" s="26" t="s">
        <v>1095</v>
      </c>
    </row>
    <row r="448" spans="1:10" ht="15.75" customHeight="1">
      <c r="A448" s="26" t="s">
        <v>539</v>
      </c>
      <c r="B448" s="29">
        <v>36</v>
      </c>
      <c r="C448" s="26" t="s">
        <v>59</v>
      </c>
      <c r="D448" s="26" t="s">
        <v>60</v>
      </c>
      <c r="E448" s="27" t="s">
        <v>73</v>
      </c>
      <c r="F448" s="26" t="s">
        <v>1094</v>
      </c>
      <c r="G448" s="59">
        <v>5307045</v>
      </c>
      <c r="H448" s="29">
        <v>8</v>
      </c>
      <c r="I448" s="26" t="s">
        <v>67</v>
      </c>
      <c r="J448" s="26" t="s">
        <v>1096</v>
      </c>
    </row>
    <row r="449" spans="1:10" ht="15.75" customHeight="1">
      <c r="A449" s="26" t="s">
        <v>540</v>
      </c>
      <c r="B449" s="29">
        <v>23</v>
      </c>
      <c r="C449" s="26" t="s">
        <v>53</v>
      </c>
      <c r="D449" s="26" t="s">
        <v>60</v>
      </c>
      <c r="E449" s="27" t="s">
        <v>55</v>
      </c>
      <c r="F449" s="26" t="s">
        <v>90</v>
      </c>
      <c r="G449" s="59">
        <v>6926330</v>
      </c>
      <c r="H449" s="29">
        <v>9</v>
      </c>
      <c r="I449" s="26" t="s">
        <v>57</v>
      </c>
      <c r="J449" s="26" t="s">
        <v>1096</v>
      </c>
    </row>
    <row r="450" spans="1:10" ht="15.75" customHeight="1">
      <c r="A450" s="26" t="s">
        <v>541</v>
      </c>
      <c r="B450" s="29">
        <v>49</v>
      </c>
      <c r="C450" s="26" t="s">
        <v>59</v>
      </c>
      <c r="D450" s="26" t="s">
        <v>60</v>
      </c>
      <c r="E450" s="27" t="s">
        <v>65</v>
      </c>
      <c r="F450" s="26" t="s">
        <v>98</v>
      </c>
      <c r="G450" s="59">
        <v>7178825</v>
      </c>
      <c r="H450" s="29">
        <v>3</v>
      </c>
      <c r="I450" s="26" t="s">
        <v>57</v>
      </c>
      <c r="J450" s="26" t="s">
        <v>1095</v>
      </c>
    </row>
    <row r="451" spans="1:10" ht="15.75" customHeight="1">
      <c r="A451" s="26" t="s">
        <v>542</v>
      </c>
      <c r="B451" s="29">
        <v>27</v>
      </c>
      <c r="C451" s="26" t="s">
        <v>53</v>
      </c>
      <c r="D451" s="26" t="s">
        <v>60</v>
      </c>
      <c r="E451" s="27" t="s">
        <v>78</v>
      </c>
      <c r="F451" s="26" t="s">
        <v>121</v>
      </c>
      <c r="G451" s="59">
        <v>1906345</v>
      </c>
      <c r="H451" s="29">
        <v>12</v>
      </c>
      <c r="I451" s="26" t="s">
        <v>60</v>
      </c>
      <c r="J451" s="26" t="s">
        <v>1095</v>
      </c>
    </row>
    <row r="452" spans="1:10" ht="15.75" customHeight="1">
      <c r="A452" s="26" t="s">
        <v>543</v>
      </c>
      <c r="B452" s="29">
        <v>43</v>
      </c>
      <c r="C452" s="26" t="s">
        <v>59</v>
      </c>
      <c r="D452" s="26" t="s">
        <v>60</v>
      </c>
      <c r="E452" s="27" t="s">
        <v>85</v>
      </c>
      <c r="F452" s="26" t="s">
        <v>137</v>
      </c>
      <c r="G452" s="59">
        <v>4997200</v>
      </c>
      <c r="H452" s="29">
        <v>7</v>
      </c>
      <c r="I452" s="26" t="s">
        <v>63</v>
      </c>
      <c r="J452" s="26" t="s">
        <v>1095</v>
      </c>
    </row>
    <row r="453" spans="1:10" ht="15.75" customHeight="1">
      <c r="A453" s="26" t="s">
        <v>544</v>
      </c>
      <c r="B453" s="29">
        <v>19</v>
      </c>
      <c r="C453" s="26" t="s">
        <v>53</v>
      </c>
      <c r="D453" s="26" t="s">
        <v>60</v>
      </c>
      <c r="E453" s="27" t="s">
        <v>55</v>
      </c>
      <c r="F453" s="26" t="s">
        <v>90</v>
      </c>
      <c r="G453" s="59">
        <v>1134445</v>
      </c>
      <c r="H453" s="29">
        <v>5</v>
      </c>
      <c r="I453" s="26" t="s">
        <v>67</v>
      </c>
      <c r="J453" s="26" t="s">
        <v>1096</v>
      </c>
    </row>
    <row r="454" spans="1:10" ht="15.75" customHeight="1">
      <c r="A454" s="26" t="s">
        <v>545</v>
      </c>
      <c r="B454" s="29">
        <v>41</v>
      </c>
      <c r="C454" s="26" t="s">
        <v>53</v>
      </c>
      <c r="D454" s="26" t="s">
        <v>54</v>
      </c>
      <c r="E454" s="27" t="s">
        <v>78</v>
      </c>
      <c r="F454" s="26" t="s">
        <v>104</v>
      </c>
      <c r="G454" s="59">
        <v>4325740</v>
      </c>
      <c r="H454" s="29">
        <v>10</v>
      </c>
      <c r="I454" s="26" t="s">
        <v>60</v>
      </c>
      <c r="J454" s="26" t="s">
        <v>1096</v>
      </c>
    </row>
    <row r="455" spans="1:10" ht="15.75" customHeight="1">
      <c r="A455" s="26" t="s">
        <v>546</v>
      </c>
      <c r="B455" s="29">
        <v>29</v>
      </c>
      <c r="C455" s="26" t="s">
        <v>53</v>
      </c>
      <c r="D455" s="26" t="s">
        <v>54</v>
      </c>
      <c r="E455" s="27" t="s">
        <v>61</v>
      </c>
      <c r="F455" s="26" t="s">
        <v>1094</v>
      </c>
      <c r="G455" s="59">
        <v>7422175</v>
      </c>
      <c r="H455" s="29">
        <v>10</v>
      </c>
      <c r="I455" s="26" t="s">
        <v>57</v>
      </c>
      <c r="J455" s="26" t="s">
        <v>1096</v>
      </c>
    </row>
    <row r="456" spans="1:10" ht="15.75" customHeight="1">
      <c r="A456" s="26" t="s">
        <v>547</v>
      </c>
      <c r="B456" s="29">
        <v>25</v>
      </c>
      <c r="C456" s="26" t="s">
        <v>59</v>
      </c>
      <c r="D456" s="26" t="s">
        <v>60</v>
      </c>
      <c r="E456" s="27" t="s">
        <v>65</v>
      </c>
      <c r="F456" s="26" t="s">
        <v>62</v>
      </c>
      <c r="G456" s="59">
        <v>1339045</v>
      </c>
      <c r="H456" s="29">
        <v>5</v>
      </c>
      <c r="I456" s="26" t="s">
        <v>60</v>
      </c>
      <c r="J456" s="26" t="s">
        <v>1096</v>
      </c>
    </row>
    <row r="457" spans="1:10" ht="15.75" customHeight="1">
      <c r="A457" s="26" t="s">
        <v>548</v>
      </c>
      <c r="B457" s="29">
        <v>45</v>
      </c>
      <c r="C457" s="26" t="s">
        <v>59</v>
      </c>
      <c r="D457" s="26" t="s">
        <v>60</v>
      </c>
      <c r="E457" s="27" t="s">
        <v>61</v>
      </c>
      <c r="F457" s="26" t="s">
        <v>102</v>
      </c>
      <c r="G457" s="59">
        <v>2981425</v>
      </c>
      <c r="H457" s="29">
        <v>0</v>
      </c>
      <c r="I457" s="26" t="s">
        <v>60</v>
      </c>
      <c r="J457" s="26" t="s">
        <v>1095</v>
      </c>
    </row>
    <row r="458" spans="1:10" ht="15.75" customHeight="1">
      <c r="A458" s="26" t="s">
        <v>549</v>
      </c>
      <c r="B458" s="29">
        <v>36</v>
      </c>
      <c r="C458" s="26" t="s">
        <v>53</v>
      </c>
      <c r="D458" s="26" t="s">
        <v>54</v>
      </c>
      <c r="E458" s="27" t="s">
        <v>55</v>
      </c>
      <c r="F458" s="26" t="s">
        <v>137</v>
      </c>
      <c r="G458" s="59">
        <v>3647460</v>
      </c>
      <c r="H458" s="29">
        <v>7</v>
      </c>
      <c r="I458" s="26" t="s">
        <v>63</v>
      </c>
      <c r="J458" s="26" t="s">
        <v>1096</v>
      </c>
    </row>
    <row r="459" spans="1:10" ht="15.75" customHeight="1">
      <c r="A459" s="26" t="s">
        <v>550</v>
      </c>
      <c r="B459" s="29">
        <v>21</v>
      </c>
      <c r="C459" s="26" t="s">
        <v>53</v>
      </c>
      <c r="D459" s="26" t="s">
        <v>60</v>
      </c>
      <c r="E459" s="27" t="s">
        <v>73</v>
      </c>
      <c r="F459" s="26" t="s">
        <v>98</v>
      </c>
      <c r="G459" s="59">
        <v>3295765</v>
      </c>
      <c r="H459" s="29">
        <v>8</v>
      </c>
      <c r="I459" s="26" t="s">
        <v>67</v>
      </c>
      <c r="J459" s="26" t="s">
        <v>1096</v>
      </c>
    </row>
    <row r="460" spans="1:10" ht="15.75" customHeight="1">
      <c r="A460" s="26" t="s">
        <v>551</v>
      </c>
      <c r="B460" s="29">
        <v>47</v>
      </c>
      <c r="C460" s="26" t="s">
        <v>53</v>
      </c>
      <c r="D460" s="26" t="s">
        <v>54</v>
      </c>
      <c r="E460" s="27" t="s">
        <v>65</v>
      </c>
      <c r="F460" s="26" t="s">
        <v>62</v>
      </c>
      <c r="G460" s="59">
        <v>3822765</v>
      </c>
      <c r="H460" s="29">
        <v>8</v>
      </c>
      <c r="I460" s="26" t="s">
        <v>57</v>
      </c>
      <c r="J460" s="26" t="s">
        <v>1095</v>
      </c>
    </row>
    <row r="461" spans="1:10" ht="15.75" customHeight="1">
      <c r="A461" s="26" t="s">
        <v>552</v>
      </c>
      <c r="B461" s="29">
        <v>26</v>
      </c>
      <c r="C461" s="26" t="s">
        <v>53</v>
      </c>
      <c r="D461" s="26" t="s">
        <v>54</v>
      </c>
      <c r="E461" s="27" t="s">
        <v>78</v>
      </c>
      <c r="F461" s="26" t="s">
        <v>104</v>
      </c>
      <c r="G461" s="59">
        <v>3541285</v>
      </c>
      <c r="H461" s="29">
        <v>9</v>
      </c>
      <c r="I461" s="26" t="s">
        <v>57</v>
      </c>
      <c r="J461" s="26" t="s">
        <v>1096</v>
      </c>
    </row>
    <row r="462" spans="1:10" ht="15.75" customHeight="1">
      <c r="A462" s="26" t="s">
        <v>553</v>
      </c>
      <c r="B462" s="29">
        <v>25</v>
      </c>
      <c r="C462" s="26" t="s">
        <v>53</v>
      </c>
      <c r="D462" s="26" t="s">
        <v>54</v>
      </c>
      <c r="E462" s="27" t="s">
        <v>65</v>
      </c>
      <c r="F462" s="26" t="s">
        <v>56</v>
      </c>
      <c r="G462" s="59">
        <v>5328435</v>
      </c>
      <c r="H462" s="29">
        <v>6</v>
      </c>
      <c r="I462" s="26" t="s">
        <v>67</v>
      </c>
      <c r="J462" s="26" t="s">
        <v>1095</v>
      </c>
    </row>
    <row r="463" spans="1:10" ht="15.75" customHeight="1">
      <c r="A463" s="26" t="s">
        <v>554</v>
      </c>
      <c r="B463" s="29">
        <v>26</v>
      </c>
      <c r="C463" s="26" t="s">
        <v>53</v>
      </c>
      <c r="D463" s="26" t="s">
        <v>54</v>
      </c>
      <c r="E463" s="27" t="s">
        <v>73</v>
      </c>
      <c r="F463" s="26" t="s">
        <v>121</v>
      </c>
      <c r="G463" s="59">
        <v>5259460</v>
      </c>
      <c r="H463" s="29">
        <v>9</v>
      </c>
      <c r="I463" s="26" t="s">
        <v>63</v>
      </c>
      <c r="J463" s="26" t="s">
        <v>1096</v>
      </c>
    </row>
    <row r="464" spans="1:10" ht="15.75" customHeight="1">
      <c r="A464" s="26" t="s">
        <v>555</v>
      </c>
      <c r="B464" s="29">
        <v>34</v>
      </c>
      <c r="C464" s="26" t="s">
        <v>59</v>
      </c>
      <c r="D464" s="26" t="s">
        <v>60</v>
      </c>
      <c r="E464" s="27" t="s">
        <v>55</v>
      </c>
      <c r="F464" s="26" t="s">
        <v>134</v>
      </c>
      <c r="G464" s="59">
        <v>5069275</v>
      </c>
      <c r="H464" s="29">
        <v>9</v>
      </c>
      <c r="I464" s="26" t="s">
        <v>67</v>
      </c>
      <c r="J464" s="26" t="s">
        <v>1096</v>
      </c>
    </row>
    <row r="465" spans="1:10" ht="15.75" customHeight="1">
      <c r="A465" s="26" t="s">
        <v>556</v>
      </c>
      <c r="B465" s="29">
        <v>48</v>
      </c>
      <c r="C465" s="26" t="s">
        <v>59</v>
      </c>
      <c r="D465" s="26" t="s">
        <v>60</v>
      </c>
      <c r="E465" s="27" t="s">
        <v>78</v>
      </c>
      <c r="F465" s="26" t="s">
        <v>104</v>
      </c>
      <c r="G465" s="59">
        <v>5183975</v>
      </c>
      <c r="H465" s="29">
        <v>2</v>
      </c>
      <c r="I465" s="26" t="s">
        <v>63</v>
      </c>
      <c r="J465" s="26" t="s">
        <v>1095</v>
      </c>
    </row>
    <row r="466" spans="1:10" ht="15.75" customHeight="1">
      <c r="A466" s="26" t="s">
        <v>557</v>
      </c>
      <c r="B466" s="29">
        <v>19</v>
      </c>
      <c r="C466" s="26" t="s">
        <v>59</v>
      </c>
      <c r="D466" s="26" t="s">
        <v>60</v>
      </c>
      <c r="E466" s="27" t="s">
        <v>78</v>
      </c>
      <c r="F466" s="26" t="s">
        <v>62</v>
      </c>
      <c r="G466" s="59">
        <v>5675480</v>
      </c>
      <c r="H466" s="29">
        <v>12</v>
      </c>
      <c r="I466" s="26" t="s">
        <v>63</v>
      </c>
      <c r="J466" s="26" t="s">
        <v>1096</v>
      </c>
    </row>
    <row r="467" spans="1:10" ht="15.75" customHeight="1">
      <c r="A467" s="26" t="s">
        <v>558</v>
      </c>
      <c r="B467" s="29">
        <v>37</v>
      </c>
      <c r="C467" s="26" t="s">
        <v>53</v>
      </c>
      <c r="D467" s="26" t="s">
        <v>60</v>
      </c>
      <c r="E467" s="27" t="s">
        <v>78</v>
      </c>
      <c r="F467" s="26" t="s">
        <v>121</v>
      </c>
      <c r="G467" s="59">
        <v>7467590</v>
      </c>
      <c r="H467" s="29">
        <v>8</v>
      </c>
      <c r="I467" s="26" t="s">
        <v>63</v>
      </c>
      <c r="J467" s="26" t="s">
        <v>1095</v>
      </c>
    </row>
    <row r="468" spans="1:10" ht="15.75" customHeight="1">
      <c r="A468" s="26" t="s">
        <v>559</v>
      </c>
      <c r="B468" s="29">
        <v>23</v>
      </c>
      <c r="C468" s="26" t="s">
        <v>53</v>
      </c>
      <c r="D468" s="26" t="s">
        <v>60</v>
      </c>
      <c r="E468" s="27" t="s">
        <v>61</v>
      </c>
      <c r="F468" s="26" t="s">
        <v>56</v>
      </c>
      <c r="G468" s="59">
        <v>2037940</v>
      </c>
      <c r="H468" s="29">
        <v>8</v>
      </c>
      <c r="I468" s="26" t="s">
        <v>57</v>
      </c>
      <c r="J468" s="26" t="s">
        <v>1095</v>
      </c>
    </row>
    <row r="469" spans="1:10" ht="15.75" customHeight="1">
      <c r="A469" s="26" t="s">
        <v>560</v>
      </c>
      <c r="B469" s="29">
        <v>34</v>
      </c>
      <c r="C469" s="26" t="s">
        <v>53</v>
      </c>
      <c r="D469" s="26" t="s">
        <v>60</v>
      </c>
      <c r="E469" s="27" t="s">
        <v>65</v>
      </c>
      <c r="F469" s="26" t="s">
        <v>90</v>
      </c>
      <c r="G469" s="59">
        <v>6244330</v>
      </c>
      <c r="H469" s="29">
        <v>11</v>
      </c>
      <c r="I469" s="26" t="s">
        <v>60</v>
      </c>
      <c r="J469" s="26" t="s">
        <v>1096</v>
      </c>
    </row>
    <row r="470" spans="1:10" ht="15.75" customHeight="1">
      <c r="A470" s="26" t="s">
        <v>561</v>
      </c>
      <c r="B470" s="29">
        <v>42</v>
      </c>
      <c r="C470" s="26" t="s">
        <v>59</v>
      </c>
      <c r="D470" s="26" t="s">
        <v>60</v>
      </c>
      <c r="E470" s="27" t="s">
        <v>85</v>
      </c>
      <c r="F470" s="26" t="s">
        <v>56</v>
      </c>
      <c r="G470" s="59">
        <v>5164290</v>
      </c>
      <c r="H470" s="29">
        <v>6</v>
      </c>
      <c r="I470" s="26" t="s">
        <v>63</v>
      </c>
      <c r="J470" s="26" t="s">
        <v>1095</v>
      </c>
    </row>
    <row r="471" spans="1:10" ht="15.75" customHeight="1">
      <c r="A471" s="26" t="s">
        <v>562</v>
      </c>
      <c r="B471" s="29">
        <v>28</v>
      </c>
      <c r="C471" s="26" t="s">
        <v>53</v>
      </c>
      <c r="D471" s="26" t="s">
        <v>60</v>
      </c>
      <c r="E471" s="27" t="s">
        <v>85</v>
      </c>
      <c r="F471" s="26" t="s">
        <v>109</v>
      </c>
      <c r="G471" s="59">
        <v>1135065</v>
      </c>
      <c r="H471" s="29">
        <v>8</v>
      </c>
      <c r="I471" s="26" t="s">
        <v>67</v>
      </c>
      <c r="J471" s="26" t="s">
        <v>1095</v>
      </c>
    </row>
    <row r="472" spans="1:10" ht="15.75" customHeight="1">
      <c r="A472" s="26" t="s">
        <v>563</v>
      </c>
      <c r="B472" s="29">
        <v>28</v>
      </c>
      <c r="C472" s="26" t="s">
        <v>59</v>
      </c>
      <c r="D472" s="26" t="s">
        <v>60</v>
      </c>
      <c r="E472" s="27" t="s">
        <v>78</v>
      </c>
      <c r="F472" s="26" t="s">
        <v>71</v>
      </c>
      <c r="G472" s="59">
        <v>6982285</v>
      </c>
      <c r="H472" s="29">
        <v>11</v>
      </c>
      <c r="I472" s="26" t="s">
        <v>57</v>
      </c>
      <c r="J472" s="26" t="s">
        <v>1095</v>
      </c>
    </row>
    <row r="473" spans="1:10" ht="15.75" customHeight="1">
      <c r="A473" s="26" t="s">
        <v>564</v>
      </c>
      <c r="B473" s="29">
        <v>33</v>
      </c>
      <c r="C473" s="26" t="s">
        <v>59</v>
      </c>
      <c r="D473" s="26" t="s">
        <v>54</v>
      </c>
      <c r="E473" s="27" t="s">
        <v>85</v>
      </c>
      <c r="F473" s="26" t="s">
        <v>62</v>
      </c>
      <c r="G473" s="59">
        <v>2723970</v>
      </c>
      <c r="H473" s="29">
        <v>5</v>
      </c>
      <c r="I473" s="26" t="s">
        <v>63</v>
      </c>
      <c r="J473" s="26" t="s">
        <v>1096</v>
      </c>
    </row>
    <row r="474" spans="1:10" ht="15.75" customHeight="1">
      <c r="A474" s="26" t="s">
        <v>565</v>
      </c>
      <c r="B474" s="29">
        <v>31</v>
      </c>
      <c r="C474" s="26" t="s">
        <v>53</v>
      </c>
      <c r="D474" s="26" t="s">
        <v>54</v>
      </c>
      <c r="E474" s="27" t="s">
        <v>65</v>
      </c>
      <c r="F474" s="26" t="s">
        <v>92</v>
      </c>
      <c r="G474" s="59">
        <v>2830300</v>
      </c>
      <c r="H474" s="29">
        <v>4</v>
      </c>
      <c r="I474" s="26" t="s">
        <v>67</v>
      </c>
      <c r="J474" s="26" t="s">
        <v>1096</v>
      </c>
    </row>
    <row r="475" spans="1:10" ht="15.75" customHeight="1">
      <c r="A475" s="26" t="s">
        <v>566</v>
      </c>
      <c r="B475" s="29">
        <v>20</v>
      </c>
      <c r="C475" s="26" t="s">
        <v>53</v>
      </c>
      <c r="D475" s="26" t="s">
        <v>54</v>
      </c>
      <c r="E475" s="27" t="s">
        <v>55</v>
      </c>
      <c r="F475" s="26" t="s">
        <v>167</v>
      </c>
      <c r="G475" s="59">
        <v>7715900</v>
      </c>
      <c r="H475" s="29">
        <v>2</v>
      </c>
      <c r="I475" s="26" t="s">
        <v>60</v>
      </c>
      <c r="J475" s="26" t="s">
        <v>1095</v>
      </c>
    </row>
    <row r="476" spans="1:10" ht="15.75" customHeight="1">
      <c r="A476" s="26" t="s">
        <v>567</v>
      </c>
      <c r="B476" s="29">
        <v>32</v>
      </c>
      <c r="C476" s="26" t="s">
        <v>59</v>
      </c>
      <c r="D476" s="26" t="s">
        <v>60</v>
      </c>
      <c r="E476" s="27" t="s">
        <v>78</v>
      </c>
      <c r="F476" s="26" t="s">
        <v>62</v>
      </c>
      <c r="G476" s="59">
        <v>2653135</v>
      </c>
      <c r="H476" s="29">
        <v>4</v>
      </c>
      <c r="I476" s="26" t="s">
        <v>60</v>
      </c>
      <c r="J476" s="26" t="s">
        <v>1096</v>
      </c>
    </row>
    <row r="477" spans="1:10" ht="15.75" customHeight="1">
      <c r="A477" s="26" t="s">
        <v>568</v>
      </c>
      <c r="B477" s="29">
        <v>27</v>
      </c>
      <c r="C477" s="26" t="s">
        <v>53</v>
      </c>
      <c r="D477" s="26" t="s">
        <v>54</v>
      </c>
      <c r="E477" s="27" t="s">
        <v>65</v>
      </c>
      <c r="F477" s="26" t="s">
        <v>167</v>
      </c>
      <c r="G477" s="59">
        <v>6600210</v>
      </c>
      <c r="H477" s="29">
        <v>3</v>
      </c>
      <c r="I477" s="26" t="s">
        <v>67</v>
      </c>
      <c r="J477" s="26" t="s">
        <v>1095</v>
      </c>
    </row>
    <row r="478" spans="1:10" ht="15.75" customHeight="1">
      <c r="A478" s="26" t="s">
        <v>569</v>
      </c>
      <c r="B478" s="29">
        <v>19</v>
      </c>
      <c r="C478" s="26" t="s">
        <v>53</v>
      </c>
      <c r="D478" s="26" t="s">
        <v>54</v>
      </c>
      <c r="E478" s="27" t="s">
        <v>61</v>
      </c>
      <c r="F478" s="26" t="s">
        <v>80</v>
      </c>
      <c r="G478" s="59">
        <v>3263990</v>
      </c>
      <c r="H478" s="29">
        <v>10</v>
      </c>
      <c r="I478" s="26" t="s">
        <v>67</v>
      </c>
      <c r="J478" s="26" t="s">
        <v>1095</v>
      </c>
    </row>
    <row r="479" spans="1:10" ht="15.75" customHeight="1">
      <c r="A479" s="26" t="s">
        <v>570</v>
      </c>
      <c r="B479" s="29">
        <v>50</v>
      </c>
      <c r="C479" s="26" t="s">
        <v>59</v>
      </c>
      <c r="D479" s="26" t="s">
        <v>54</v>
      </c>
      <c r="E479" s="27" t="s">
        <v>73</v>
      </c>
      <c r="F479" s="26" t="s">
        <v>137</v>
      </c>
      <c r="G479" s="59">
        <v>3094420</v>
      </c>
      <c r="H479" s="29">
        <v>11</v>
      </c>
      <c r="I479" s="26" t="s">
        <v>60</v>
      </c>
      <c r="J479" s="26" t="s">
        <v>1096</v>
      </c>
    </row>
    <row r="480" spans="1:10" ht="15.75" customHeight="1">
      <c r="A480" s="26" t="s">
        <v>571</v>
      </c>
      <c r="B480" s="29">
        <v>40</v>
      </c>
      <c r="C480" s="26" t="s">
        <v>59</v>
      </c>
      <c r="D480" s="26" t="s">
        <v>60</v>
      </c>
      <c r="E480" s="27" t="s">
        <v>85</v>
      </c>
      <c r="F480" s="26" t="s">
        <v>1093</v>
      </c>
      <c r="G480" s="59">
        <v>2514410</v>
      </c>
      <c r="H480" s="29">
        <v>10</v>
      </c>
      <c r="I480" s="26" t="s">
        <v>60</v>
      </c>
      <c r="J480" s="26" t="s">
        <v>1095</v>
      </c>
    </row>
    <row r="481" spans="1:10" ht="15.75" customHeight="1">
      <c r="A481" s="26" t="s">
        <v>572</v>
      </c>
      <c r="B481" s="29">
        <v>20</v>
      </c>
      <c r="C481" s="26" t="s">
        <v>59</v>
      </c>
      <c r="D481" s="26" t="s">
        <v>60</v>
      </c>
      <c r="E481" s="27" t="s">
        <v>78</v>
      </c>
      <c r="F481" s="26" t="s">
        <v>80</v>
      </c>
      <c r="G481" s="59">
        <v>6227125</v>
      </c>
      <c r="H481" s="29">
        <v>8</v>
      </c>
      <c r="I481" s="26" t="s">
        <v>57</v>
      </c>
      <c r="J481" s="26" t="s">
        <v>1096</v>
      </c>
    </row>
    <row r="482" spans="1:10" ht="15.75" customHeight="1">
      <c r="A482" s="26" t="s">
        <v>573</v>
      </c>
      <c r="B482" s="29">
        <v>24</v>
      </c>
      <c r="C482" s="26" t="s">
        <v>53</v>
      </c>
      <c r="D482" s="26" t="s">
        <v>54</v>
      </c>
      <c r="E482" s="27" t="s">
        <v>73</v>
      </c>
      <c r="F482" s="26" t="s">
        <v>86</v>
      </c>
      <c r="G482" s="59">
        <v>5671140</v>
      </c>
      <c r="H482" s="29">
        <v>12</v>
      </c>
      <c r="I482" s="26" t="s">
        <v>63</v>
      </c>
      <c r="J482" s="26" t="s">
        <v>1095</v>
      </c>
    </row>
    <row r="483" spans="1:10" ht="15.75" customHeight="1">
      <c r="A483" s="26" t="s">
        <v>574</v>
      </c>
      <c r="B483" s="29">
        <v>46</v>
      </c>
      <c r="C483" s="26" t="s">
        <v>59</v>
      </c>
      <c r="D483" s="26" t="s">
        <v>54</v>
      </c>
      <c r="E483" s="27" t="s">
        <v>65</v>
      </c>
      <c r="F483" s="26" t="s">
        <v>137</v>
      </c>
      <c r="G483" s="59">
        <v>903495</v>
      </c>
      <c r="H483" s="29">
        <v>6</v>
      </c>
      <c r="I483" s="26" t="s">
        <v>63</v>
      </c>
      <c r="J483" s="26" t="s">
        <v>1096</v>
      </c>
    </row>
    <row r="484" spans="1:10" ht="15.75" customHeight="1">
      <c r="A484" s="26" t="s">
        <v>575</v>
      </c>
      <c r="B484" s="29">
        <v>50</v>
      </c>
      <c r="C484" s="26" t="s">
        <v>59</v>
      </c>
      <c r="D484" s="26" t="s">
        <v>60</v>
      </c>
      <c r="E484" s="27" t="s">
        <v>65</v>
      </c>
      <c r="F484" s="26" t="s">
        <v>113</v>
      </c>
      <c r="G484" s="59">
        <v>1036330</v>
      </c>
      <c r="H484" s="29">
        <v>3</v>
      </c>
      <c r="I484" s="26" t="s">
        <v>63</v>
      </c>
      <c r="J484" s="26" t="s">
        <v>1095</v>
      </c>
    </row>
    <row r="485" spans="1:10" ht="15.75" customHeight="1">
      <c r="A485" s="26" t="s">
        <v>576</v>
      </c>
      <c r="B485" s="29">
        <v>29</v>
      </c>
      <c r="C485" s="26" t="s">
        <v>53</v>
      </c>
      <c r="D485" s="26" t="s">
        <v>60</v>
      </c>
      <c r="E485" s="27" t="s">
        <v>85</v>
      </c>
      <c r="F485" s="26" t="s">
        <v>121</v>
      </c>
      <c r="G485" s="59">
        <v>4329770</v>
      </c>
      <c r="H485" s="29">
        <v>5</v>
      </c>
      <c r="I485" s="26" t="s">
        <v>63</v>
      </c>
      <c r="J485" s="26" t="s">
        <v>1096</v>
      </c>
    </row>
    <row r="486" spans="1:10" ht="15.75" customHeight="1">
      <c r="A486" s="26" t="s">
        <v>577</v>
      </c>
      <c r="B486" s="29">
        <v>34</v>
      </c>
      <c r="C486" s="26" t="s">
        <v>53</v>
      </c>
      <c r="D486" s="26" t="s">
        <v>60</v>
      </c>
      <c r="E486" s="27" t="s">
        <v>73</v>
      </c>
      <c r="F486" s="26" t="s">
        <v>98</v>
      </c>
      <c r="G486" s="59">
        <v>5556750</v>
      </c>
      <c r="H486" s="29">
        <v>3</v>
      </c>
      <c r="I486" s="26" t="s">
        <v>63</v>
      </c>
      <c r="J486" s="26" t="s">
        <v>1096</v>
      </c>
    </row>
    <row r="487" spans="1:10" ht="15.75" customHeight="1">
      <c r="A487" s="26" t="s">
        <v>578</v>
      </c>
      <c r="B487" s="29">
        <v>44</v>
      </c>
      <c r="C487" s="26" t="s">
        <v>53</v>
      </c>
      <c r="D487" s="26" t="s">
        <v>60</v>
      </c>
      <c r="E487" s="27" t="s">
        <v>61</v>
      </c>
      <c r="F487" s="26" t="s">
        <v>167</v>
      </c>
      <c r="G487" s="59">
        <v>5594260</v>
      </c>
      <c r="H487" s="29">
        <v>7</v>
      </c>
      <c r="I487" s="26" t="s">
        <v>57</v>
      </c>
      <c r="J487" s="26" t="s">
        <v>1096</v>
      </c>
    </row>
    <row r="488" spans="1:10" ht="15.75" customHeight="1">
      <c r="A488" s="26" t="s">
        <v>579</v>
      </c>
      <c r="B488" s="29">
        <v>38</v>
      </c>
      <c r="C488" s="26" t="s">
        <v>59</v>
      </c>
      <c r="D488" s="26" t="s">
        <v>54</v>
      </c>
      <c r="E488" s="27" t="s">
        <v>73</v>
      </c>
      <c r="F488" s="26" t="s">
        <v>121</v>
      </c>
      <c r="G488" s="59">
        <v>5802580</v>
      </c>
      <c r="H488" s="29">
        <v>4</v>
      </c>
      <c r="I488" s="26" t="s">
        <v>57</v>
      </c>
      <c r="J488" s="26" t="s">
        <v>1096</v>
      </c>
    </row>
    <row r="489" spans="1:10" ht="15.75" customHeight="1">
      <c r="A489" s="26" t="s">
        <v>580</v>
      </c>
      <c r="B489" s="29">
        <v>22</v>
      </c>
      <c r="C489" s="26" t="s">
        <v>53</v>
      </c>
      <c r="D489" s="26" t="s">
        <v>60</v>
      </c>
      <c r="E489" s="27" t="s">
        <v>61</v>
      </c>
      <c r="F489" s="26" t="s">
        <v>102</v>
      </c>
      <c r="G489" s="59">
        <v>6748235</v>
      </c>
      <c r="H489" s="29">
        <v>11</v>
      </c>
      <c r="I489" s="26" t="s">
        <v>67</v>
      </c>
      <c r="J489" s="26" t="s">
        <v>1095</v>
      </c>
    </row>
    <row r="490" spans="1:10" ht="15.75" customHeight="1">
      <c r="A490" s="26" t="s">
        <v>581</v>
      </c>
      <c r="B490" s="29">
        <v>44</v>
      </c>
      <c r="C490" s="26" t="s">
        <v>59</v>
      </c>
      <c r="D490" s="26" t="s">
        <v>60</v>
      </c>
      <c r="E490" s="27" t="s">
        <v>61</v>
      </c>
      <c r="F490" s="26" t="s">
        <v>69</v>
      </c>
      <c r="G490" s="59">
        <v>7119150</v>
      </c>
      <c r="H490" s="29">
        <v>9</v>
      </c>
      <c r="I490" s="26" t="s">
        <v>57</v>
      </c>
      <c r="J490" s="26" t="s">
        <v>1096</v>
      </c>
    </row>
    <row r="491" spans="1:10" ht="15.75" customHeight="1">
      <c r="A491" s="26" t="s">
        <v>582</v>
      </c>
      <c r="B491" s="29">
        <v>43</v>
      </c>
      <c r="C491" s="26" t="s">
        <v>53</v>
      </c>
      <c r="D491" s="26" t="s">
        <v>60</v>
      </c>
      <c r="E491" s="27" t="s">
        <v>61</v>
      </c>
      <c r="F491" s="26" t="s">
        <v>167</v>
      </c>
      <c r="G491" s="59">
        <v>6616795</v>
      </c>
      <c r="H491" s="29">
        <v>2</v>
      </c>
      <c r="I491" s="26" t="s">
        <v>60</v>
      </c>
      <c r="J491" s="26" t="s">
        <v>1095</v>
      </c>
    </row>
    <row r="492" spans="1:10" ht="15.75" customHeight="1">
      <c r="A492" s="26" t="s">
        <v>583</v>
      </c>
      <c r="B492" s="29">
        <v>25</v>
      </c>
      <c r="C492" s="26" t="s">
        <v>59</v>
      </c>
      <c r="D492" s="26" t="s">
        <v>54</v>
      </c>
      <c r="E492" s="27" t="s">
        <v>61</v>
      </c>
      <c r="F492" s="26" t="s">
        <v>88</v>
      </c>
      <c r="G492" s="59">
        <v>5663235</v>
      </c>
      <c r="H492" s="29">
        <v>0</v>
      </c>
      <c r="I492" s="26" t="s">
        <v>67</v>
      </c>
      <c r="J492" s="26" t="s">
        <v>1095</v>
      </c>
    </row>
    <row r="493" spans="1:10" ht="15.75" customHeight="1">
      <c r="A493" s="26" t="s">
        <v>584</v>
      </c>
      <c r="B493" s="29">
        <v>21</v>
      </c>
      <c r="C493" s="26" t="s">
        <v>53</v>
      </c>
      <c r="D493" s="26" t="s">
        <v>54</v>
      </c>
      <c r="E493" s="27" t="s">
        <v>73</v>
      </c>
      <c r="F493" s="26" t="s">
        <v>82</v>
      </c>
      <c r="G493" s="59">
        <v>7552375</v>
      </c>
      <c r="H493" s="29">
        <v>4</v>
      </c>
      <c r="I493" s="26" t="s">
        <v>60</v>
      </c>
      <c r="J493" s="26" t="s">
        <v>1096</v>
      </c>
    </row>
    <row r="494" spans="1:10" ht="15.75" customHeight="1">
      <c r="A494" s="26" t="s">
        <v>585</v>
      </c>
      <c r="B494" s="29">
        <v>29</v>
      </c>
      <c r="C494" s="26" t="s">
        <v>53</v>
      </c>
      <c r="D494" s="26" t="s">
        <v>54</v>
      </c>
      <c r="E494" s="27" t="s">
        <v>61</v>
      </c>
      <c r="F494" s="26" t="s">
        <v>102</v>
      </c>
      <c r="G494" s="59">
        <v>2901910</v>
      </c>
      <c r="H494" s="29">
        <v>10</v>
      </c>
      <c r="I494" s="26" t="s">
        <v>63</v>
      </c>
      <c r="J494" s="26" t="s">
        <v>1096</v>
      </c>
    </row>
    <row r="495" spans="1:10" ht="15.75" customHeight="1">
      <c r="A495" s="26" t="s">
        <v>586</v>
      </c>
      <c r="B495" s="29">
        <v>41</v>
      </c>
      <c r="C495" s="26" t="s">
        <v>59</v>
      </c>
      <c r="D495" s="26" t="s">
        <v>60</v>
      </c>
      <c r="E495" s="27" t="s">
        <v>78</v>
      </c>
      <c r="F495" s="26" t="s">
        <v>104</v>
      </c>
      <c r="G495" s="59">
        <v>6150710</v>
      </c>
      <c r="H495" s="29">
        <v>7</v>
      </c>
      <c r="I495" s="26" t="s">
        <v>57</v>
      </c>
      <c r="J495" s="26" t="s">
        <v>1095</v>
      </c>
    </row>
    <row r="496" spans="1:10" ht="15.75" customHeight="1">
      <c r="A496" s="26" t="s">
        <v>587</v>
      </c>
      <c r="B496" s="29">
        <v>38</v>
      </c>
      <c r="C496" s="26" t="s">
        <v>53</v>
      </c>
      <c r="D496" s="26" t="s">
        <v>60</v>
      </c>
      <c r="E496" s="27" t="s">
        <v>73</v>
      </c>
      <c r="F496" s="26" t="s">
        <v>1094</v>
      </c>
      <c r="G496" s="59">
        <v>3824470</v>
      </c>
      <c r="H496" s="29">
        <v>10</v>
      </c>
      <c r="I496" s="26" t="s">
        <v>63</v>
      </c>
      <c r="J496" s="26" t="s">
        <v>1096</v>
      </c>
    </row>
    <row r="497" spans="1:10" ht="15.75" customHeight="1">
      <c r="A497" s="26" t="s">
        <v>588</v>
      </c>
      <c r="B497" s="29">
        <v>26</v>
      </c>
      <c r="C497" s="26" t="s">
        <v>59</v>
      </c>
      <c r="D497" s="26" t="s">
        <v>60</v>
      </c>
      <c r="E497" s="27" t="s">
        <v>85</v>
      </c>
      <c r="F497" s="26" t="s">
        <v>86</v>
      </c>
      <c r="G497" s="59">
        <v>1995470</v>
      </c>
      <c r="H497" s="29">
        <v>12</v>
      </c>
      <c r="I497" s="26" t="s">
        <v>63</v>
      </c>
      <c r="J497" s="26" t="s">
        <v>1096</v>
      </c>
    </row>
    <row r="498" spans="1:10" ht="15.75" customHeight="1">
      <c r="A498" s="26" t="s">
        <v>589</v>
      </c>
      <c r="B498" s="29">
        <v>41</v>
      </c>
      <c r="C498" s="26" t="s">
        <v>53</v>
      </c>
      <c r="D498" s="26" t="s">
        <v>54</v>
      </c>
      <c r="E498" s="27" t="s">
        <v>55</v>
      </c>
      <c r="F498" s="26" t="s">
        <v>104</v>
      </c>
      <c r="G498" s="59">
        <v>5264265</v>
      </c>
      <c r="H498" s="29">
        <v>2</v>
      </c>
      <c r="I498" s="26" t="s">
        <v>63</v>
      </c>
      <c r="J498" s="26" t="s">
        <v>1095</v>
      </c>
    </row>
    <row r="499" spans="1:10" ht="15.75" customHeight="1">
      <c r="A499" s="26" t="s">
        <v>590</v>
      </c>
      <c r="B499" s="29">
        <v>46</v>
      </c>
      <c r="C499" s="26" t="s">
        <v>53</v>
      </c>
      <c r="D499" s="26" t="s">
        <v>60</v>
      </c>
      <c r="E499" s="27" t="s">
        <v>65</v>
      </c>
      <c r="F499" s="26" t="s">
        <v>80</v>
      </c>
      <c r="G499" s="59">
        <v>3465490</v>
      </c>
      <c r="H499" s="29">
        <v>11</v>
      </c>
      <c r="I499" s="26" t="s">
        <v>60</v>
      </c>
      <c r="J499" s="26" t="s">
        <v>1096</v>
      </c>
    </row>
    <row r="500" spans="1:10" ht="15.75" customHeight="1">
      <c r="A500" s="26" t="s">
        <v>591</v>
      </c>
      <c r="B500" s="29">
        <v>39</v>
      </c>
      <c r="C500" s="26" t="s">
        <v>59</v>
      </c>
      <c r="D500" s="26" t="s">
        <v>60</v>
      </c>
      <c r="E500" s="27" t="s">
        <v>73</v>
      </c>
      <c r="F500" s="26" t="s">
        <v>56</v>
      </c>
      <c r="G500" s="59">
        <v>6927260</v>
      </c>
      <c r="H500" s="29">
        <v>5</v>
      </c>
      <c r="I500" s="26" t="s">
        <v>63</v>
      </c>
      <c r="J500" s="26" t="s">
        <v>1095</v>
      </c>
    </row>
    <row r="501" spans="1:10" ht="15.75" customHeight="1">
      <c r="A501" s="26" t="s">
        <v>592</v>
      </c>
      <c r="B501" s="29">
        <v>43</v>
      </c>
      <c r="C501" s="26" t="s">
        <v>59</v>
      </c>
      <c r="D501" s="26" t="s">
        <v>54</v>
      </c>
      <c r="E501" s="27" t="s">
        <v>61</v>
      </c>
      <c r="F501" s="26" t="s">
        <v>98</v>
      </c>
      <c r="G501" s="59">
        <v>2722575</v>
      </c>
      <c r="H501" s="29">
        <v>11</v>
      </c>
      <c r="I501" s="26" t="s">
        <v>67</v>
      </c>
      <c r="J501" s="26" t="s">
        <v>1096</v>
      </c>
    </row>
    <row r="502" spans="1:10" ht="15.75" customHeight="1">
      <c r="A502" s="26" t="s">
        <v>593</v>
      </c>
      <c r="B502" s="29">
        <v>44</v>
      </c>
      <c r="C502" s="26" t="s">
        <v>53</v>
      </c>
      <c r="D502" s="26" t="s">
        <v>54</v>
      </c>
      <c r="E502" s="27" t="s">
        <v>73</v>
      </c>
      <c r="F502" s="26" t="s">
        <v>134</v>
      </c>
      <c r="G502" s="59">
        <v>7618095</v>
      </c>
      <c r="H502" s="29">
        <v>10</v>
      </c>
      <c r="I502" s="26" t="s">
        <v>67</v>
      </c>
      <c r="J502" s="26" t="s">
        <v>1096</v>
      </c>
    </row>
    <row r="503" spans="1:10" ht="15.75" customHeight="1">
      <c r="A503" s="26" t="s">
        <v>594</v>
      </c>
      <c r="B503" s="29">
        <v>26</v>
      </c>
      <c r="C503" s="26" t="s">
        <v>59</v>
      </c>
      <c r="D503" s="26" t="s">
        <v>54</v>
      </c>
      <c r="E503" s="27" t="s">
        <v>61</v>
      </c>
      <c r="F503" s="26" t="s">
        <v>137</v>
      </c>
      <c r="G503" s="59">
        <v>1370200</v>
      </c>
      <c r="H503" s="29">
        <v>5</v>
      </c>
      <c r="I503" s="26" t="s">
        <v>63</v>
      </c>
      <c r="J503" s="26" t="s">
        <v>1095</v>
      </c>
    </row>
    <row r="504" spans="1:10" ht="15.75" customHeight="1">
      <c r="A504" s="26" t="s">
        <v>595</v>
      </c>
      <c r="B504" s="29">
        <v>29</v>
      </c>
      <c r="C504" s="26" t="s">
        <v>59</v>
      </c>
      <c r="D504" s="26" t="s">
        <v>54</v>
      </c>
      <c r="E504" s="27" t="s">
        <v>85</v>
      </c>
      <c r="F504" s="26" t="s">
        <v>66</v>
      </c>
      <c r="G504" s="59">
        <v>6678950</v>
      </c>
      <c r="H504" s="29">
        <v>8</v>
      </c>
      <c r="I504" s="26" t="s">
        <v>60</v>
      </c>
      <c r="J504" s="26" t="s">
        <v>1096</v>
      </c>
    </row>
    <row r="505" spans="1:10" ht="15.75" customHeight="1">
      <c r="A505" s="26" t="s">
        <v>596</v>
      </c>
      <c r="B505" s="29">
        <v>50</v>
      </c>
      <c r="C505" s="26" t="s">
        <v>59</v>
      </c>
      <c r="D505" s="26" t="s">
        <v>60</v>
      </c>
      <c r="E505" s="27" t="s">
        <v>85</v>
      </c>
      <c r="F505" s="26" t="s">
        <v>82</v>
      </c>
      <c r="G505" s="59">
        <v>6746065</v>
      </c>
      <c r="H505" s="29">
        <v>2</v>
      </c>
      <c r="I505" s="26" t="s">
        <v>57</v>
      </c>
      <c r="J505" s="26" t="s">
        <v>1096</v>
      </c>
    </row>
    <row r="506" spans="1:10" ht="15.75" customHeight="1">
      <c r="A506" s="26" t="s">
        <v>597</v>
      </c>
      <c r="B506" s="29">
        <v>19</v>
      </c>
      <c r="C506" s="26" t="s">
        <v>53</v>
      </c>
      <c r="D506" s="26" t="s">
        <v>60</v>
      </c>
      <c r="E506" s="27" t="s">
        <v>61</v>
      </c>
      <c r="F506" s="26" t="s">
        <v>104</v>
      </c>
      <c r="G506" s="59">
        <v>3389075</v>
      </c>
      <c r="H506" s="29">
        <v>3</v>
      </c>
      <c r="I506" s="26" t="s">
        <v>67</v>
      </c>
      <c r="J506" s="26" t="s">
        <v>1095</v>
      </c>
    </row>
    <row r="507" spans="1:10" ht="15.75" customHeight="1">
      <c r="A507" s="26" t="s">
        <v>598</v>
      </c>
      <c r="B507" s="29">
        <v>27</v>
      </c>
      <c r="C507" s="26" t="s">
        <v>59</v>
      </c>
      <c r="D507" s="26" t="s">
        <v>60</v>
      </c>
      <c r="E507" s="27" t="s">
        <v>55</v>
      </c>
      <c r="F507" s="26" t="s">
        <v>113</v>
      </c>
      <c r="G507" s="59">
        <v>3218730</v>
      </c>
      <c r="H507" s="29">
        <v>10</v>
      </c>
      <c r="I507" s="26" t="s">
        <v>60</v>
      </c>
      <c r="J507" s="26" t="s">
        <v>1096</v>
      </c>
    </row>
    <row r="508" spans="1:10" ht="15.75" customHeight="1">
      <c r="A508" s="26" t="s">
        <v>599</v>
      </c>
      <c r="B508" s="29">
        <v>34</v>
      </c>
      <c r="C508" s="26" t="s">
        <v>53</v>
      </c>
      <c r="D508" s="26" t="s">
        <v>60</v>
      </c>
      <c r="E508" s="27" t="s">
        <v>65</v>
      </c>
      <c r="F508" s="26" t="s">
        <v>109</v>
      </c>
      <c r="G508" s="59">
        <v>2186895</v>
      </c>
      <c r="H508" s="29">
        <v>7</v>
      </c>
      <c r="I508" s="26" t="s">
        <v>60</v>
      </c>
      <c r="J508" s="26" t="s">
        <v>1096</v>
      </c>
    </row>
    <row r="509" spans="1:10" ht="15.75" customHeight="1">
      <c r="A509" s="26" t="s">
        <v>600</v>
      </c>
      <c r="B509" s="29">
        <v>39</v>
      </c>
      <c r="C509" s="26" t="s">
        <v>59</v>
      </c>
      <c r="D509" s="26" t="s">
        <v>60</v>
      </c>
      <c r="E509" s="27" t="s">
        <v>73</v>
      </c>
      <c r="F509" s="26" t="s">
        <v>1093</v>
      </c>
      <c r="G509" s="59">
        <v>2211850</v>
      </c>
      <c r="H509" s="29">
        <v>6</v>
      </c>
      <c r="I509" s="26" t="s">
        <v>57</v>
      </c>
      <c r="J509" s="26" t="s">
        <v>1096</v>
      </c>
    </row>
    <row r="510" spans="1:10" ht="15.75" customHeight="1">
      <c r="A510" s="26" t="s">
        <v>601</v>
      </c>
      <c r="B510" s="29">
        <v>44</v>
      </c>
      <c r="C510" s="26" t="s">
        <v>59</v>
      </c>
      <c r="D510" s="26" t="s">
        <v>60</v>
      </c>
      <c r="E510" s="27" t="s">
        <v>73</v>
      </c>
      <c r="F510" s="26" t="s">
        <v>88</v>
      </c>
      <c r="G510" s="59">
        <v>993395</v>
      </c>
      <c r="H510" s="29">
        <v>10</v>
      </c>
      <c r="I510" s="26" t="s">
        <v>57</v>
      </c>
      <c r="J510" s="26" t="s">
        <v>1095</v>
      </c>
    </row>
    <row r="511" spans="1:10" ht="15.75" customHeight="1">
      <c r="A511" s="26" t="s">
        <v>602</v>
      </c>
      <c r="B511" s="29">
        <v>20</v>
      </c>
      <c r="C511" s="26" t="s">
        <v>53</v>
      </c>
      <c r="D511" s="26" t="s">
        <v>54</v>
      </c>
      <c r="E511" s="27" t="s">
        <v>73</v>
      </c>
      <c r="F511" s="26" t="s">
        <v>104</v>
      </c>
      <c r="G511" s="59">
        <v>1957030</v>
      </c>
      <c r="H511" s="29">
        <v>2</v>
      </c>
      <c r="I511" s="26" t="s">
        <v>57</v>
      </c>
      <c r="J511" s="26" t="s">
        <v>1095</v>
      </c>
    </row>
    <row r="512" spans="1:10" ht="15.75" customHeight="1">
      <c r="A512" s="26" t="s">
        <v>603</v>
      </c>
      <c r="B512" s="29">
        <v>42</v>
      </c>
      <c r="C512" s="26" t="s">
        <v>53</v>
      </c>
      <c r="D512" s="26" t="s">
        <v>54</v>
      </c>
      <c r="E512" s="27" t="s">
        <v>55</v>
      </c>
      <c r="F512" s="26" t="s">
        <v>92</v>
      </c>
      <c r="G512" s="59">
        <v>3023275</v>
      </c>
      <c r="H512" s="29">
        <v>5</v>
      </c>
      <c r="I512" s="26" t="s">
        <v>63</v>
      </c>
      <c r="J512" s="26" t="s">
        <v>1095</v>
      </c>
    </row>
    <row r="513" spans="1:10" ht="15.75" customHeight="1">
      <c r="A513" s="26" t="s">
        <v>604</v>
      </c>
      <c r="B513" s="29">
        <v>22</v>
      </c>
      <c r="C513" s="26" t="s">
        <v>53</v>
      </c>
      <c r="D513" s="26" t="s">
        <v>54</v>
      </c>
      <c r="E513" s="27" t="s">
        <v>73</v>
      </c>
      <c r="F513" s="26" t="s">
        <v>121</v>
      </c>
      <c r="G513" s="59">
        <v>6709020</v>
      </c>
      <c r="H513" s="29">
        <v>7</v>
      </c>
      <c r="I513" s="26" t="s">
        <v>60</v>
      </c>
      <c r="J513" s="26" t="s">
        <v>1096</v>
      </c>
    </row>
    <row r="514" spans="1:10" ht="15.75" customHeight="1">
      <c r="A514" s="26" t="s">
        <v>605</v>
      </c>
      <c r="B514" s="29">
        <v>30</v>
      </c>
      <c r="C514" s="26" t="s">
        <v>59</v>
      </c>
      <c r="D514" s="26" t="s">
        <v>60</v>
      </c>
      <c r="E514" s="27" t="s">
        <v>65</v>
      </c>
      <c r="F514" s="26" t="s">
        <v>167</v>
      </c>
      <c r="G514" s="59">
        <v>6263860</v>
      </c>
      <c r="H514" s="29">
        <v>6</v>
      </c>
      <c r="I514" s="26" t="s">
        <v>60</v>
      </c>
      <c r="J514" s="26" t="s">
        <v>1096</v>
      </c>
    </row>
    <row r="515" spans="1:10" ht="15.75" customHeight="1">
      <c r="A515" s="26" t="s">
        <v>606</v>
      </c>
      <c r="B515" s="29">
        <v>39</v>
      </c>
      <c r="C515" s="26" t="s">
        <v>59</v>
      </c>
      <c r="D515" s="26" t="s">
        <v>60</v>
      </c>
      <c r="E515" s="27" t="s">
        <v>85</v>
      </c>
      <c r="F515" s="26" t="s">
        <v>121</v>
      </c>
      <c r="G515" s="59">
        <v>6793030</v>
      </c>
      <c r="H515" s="29">
        <v>10</v>
      </c>
      <c r="I515" s="26" t="s">
        <v>57</v>
      </c>
      <c r="J515" s="26" t="s">
        <v>1095</v>
      </c>
    </row>
    <row r="516" spans="1:10" ht="15.75" customHeight="1">
      <c r="A516" s="26" t="s">
        <v>607</v>
      </c>
      <c r="B516" s="29">
        <v>19</v>
      </c>
      <c r="C516" s="26" t="s">
        <v>53</v>
      </c>
      <c r="D516" s="26" t="s">
        <v>60</v>
      </c>
      <c r="E516" s="27" t="s">
        <v>65</v>
      </c>
      <c r="F516" s="26" t="s">
        <v>167</v>
      </c>
      <c r="G516" s="59">
        <v>3611810</v>
      </c>
      <c r="H516" s="29">
        <v>4</v>
      </c>
      <c r="I516" s="26" t="s">
        <v>63</v>
      </c>
      <c r="J516" s="26" t="s">
        <v>1096</v>
      </c>
    </row>
    <row r="517" spans="1:10" ht="15.75" customHeight="1">
      <c r="A517" s="26" t="s">
        <v>608</v>
      </c>
      <c r="B517" s="29">
        <v>26</v>
      </c>
      <c r="C517" s="26" t="s">
        <v>53</v>
      </c>
      <c r="D517" s="26" t="s">
        <v>54</v>
      </c>
      <c r="E517" s="27" t="s">
        <v>65</v>
      </c>
      <c r="F517" s="26" t="s">
        <v>1093</v>
      </c>
      <c r="G517" s="59">
        <v>4237855</v>
      </c>
      <c r="H517" s="29">
        <v>7</v>
      </c>
      <c r="I517" s="26" t="s">
        <v>67</v>
      </c>
      <c r="J517" s="26" t="s">
        <v>1095</v>
      </c>
    </row>
    <row r="518" spans="1:10" ht="15.75" customHeight="1">
      <c r="A518" s="26" t="s">
        <v>609</v>
      </c>
      <c r="B518" s="29">
        <v>21</v>
      </c>
      <c r="C518" s="26" t="s">
        <v>53</v>
      </c>
      <c r="D518" s="26" t="s">
        <v>60</v>
      </c>
      <c r="E518" s="27" t="s">
        <v>85</v>
      </c>
      <c r="F518" s="26" t="s">
        <v>71</v>
      </c>
      <c r="G518" s="59">
        <v>5253880</v>
      </c>
      <c r="H518" s="29">
        <v>10</v>
      </c>
      <c r="I518" s="26" t="s">
        <v>60</v>
      </c>
      <c r="J518" s="26" t="s">
        <v>1095</v>
      </c>
    </row>
    <row r="519" spans="1:10" ht="15.75" customHeight="1">
      <c r="A519" s="26" t="s">
        <v>610</v>
      </c>
      <c r="B519" s="29">
        <v>37</v>
      </c>
      <c r="C519" s="26" t="s">
        <v>59</v>
      </c>
      <c r="D519" s="26" t="s">
        <v>54</v>
      </c>
      <c r="E519" s="27" t="s">
        <v>55</v>
      </c>
      <c r="F519" s="26" t="s">
        <v>86</v>
      </c>
      <c r="G519" s="59">
        <v>1176605</v>
      </c>
      <c r="H519" s="29">
        <v>12</v>
      </c>
      <c r="I519" s="26" t="s">
        <v>67</v>
      </c>
      <c r="J519" s="26" t="s">
        <v>1095</v>
      </c>
    </row>
    <row r="520" spans="1:10" ht="15.75" customHeight="1">
      <c r="A520" s="26" t="s">
        <v>611</v>
      </c>
      <c r="B520" s="29">
        <v>23</v>
      </c>
      <c r="C520" s="26" t="s">
        <v>59</v>
      </c>
      <c r="D520" s="26" t="s">
        <v>60</v>
      </c>
      <c r="E520" s="27" t="s">
        <v>85</v>
      </c>
      <c r="F520" s="26" t="s">
        <v>82</v>
      </c>
      <c r="G520" s="59">
        <v>6590755</v>
      </c>
      <c r="H520" s="29">
        <v>12</v>
      </c>
      <c r="I520" s="26" t="s">
        <v>67</v>
      </c>
      <c r="J520" s="26" t="s">
        <v>1095</v>
      </c>
    </row>
    <row r="521" spans="1:10" ht="15.75" customHeight="1">
      <c r="A521" s="26" t="s">
        <v>612</v>
      </c>
      <c r="B521" s="29">
        <v>46</v>
      </c>
      <c r="C521" s="26" t="s">
        <v>59</v>
      </c>
      <c r="D521" s="26" t="s">
        <v>54</v>
      </c>
      <c r="E521" s="27" t="s">
        <v>73</v>
      </c>
      <c r="F521" s="26" t="s">
        <v>100</v>
      </c>
      <c r="G521" s="59">
        <v>4166400</v>
      </c>
      <c r="H521" s="29">
        <v>2</v>
      </c>
      <c r="I521" s="26" t="s">
        <v>60</v>
      </c>
      <c r="J521" s="26" t="s">
        <v>1096</v>
      </c>
    </row>
    <row r="522" spans="1:10" ht="15.75" customHeight="1">
      <c r="A522" s="26" t="s">
        <v>613</v>
      </c>
      <c r="B522" s="29">
        <v>35</v>
      </c>
      <c r="C522" s="26" t="s">
        <v>53</v>
      </c>
      <c r="D522" s="26" t="s">
        <v>54</v>
      </c>
      <c r="E522" s="27" t="s">
        <v>61</v>
      </c>
      <c r="F522" s="26" t="s">
        <v>90</v>
      </c>
      <c r="G522" s="59">
        <v>2646005</v>
      </c>
      <c r="H522" s="29">
        <v>10</v>
      </c>
      <c r="I522" s="26" t="s">
        <v>67</v>
      </c>
      <c r="J522" s="26" t="s">
        <v>1095</v>
      </c>
    </row>
    <row r="523" spans="1:10" ht="15.75" customHeight="1">
      <c r="A523" s="26" t="s">
        <v>614</v>
      </c>
      <c r="B523" s="29">
        <v>33</v>
      </c>
      <c r="C523" s="26" t="s">
        <v>53</v>
      </c>
      <c r="D523" s="26" t="s">
        <v>54</v>
      </c>
      <c r="E523" s="27" t="s">
        <v>55</v>
      </c>
      <c r="F523" s="26" t="s">
        <v>88</v>
      </c>
      <c r="G523" s="59">
        <v>6882775</v>
      </c>
      <c r="H523" s="29">
        <v>10</v>
      </c>
      <c r="I523" s="26" t="s">
        <v>67</v>
      </c>
      <c r="J523" s="26" t="s">
        <v>1095</v>
      </c>
    </row>
    <row r="524" spans="1:10" ht="15.75" customHeight="1">
      <c r="A524" s="26" t="s">
        <v>615</v>
      </c>
      <c r="B524" s="29">
        <v>47</v>
      </c>
      <c r="C524" s="26" t="s">
        <v>59</v>
      </c>
      <c r="D524" s="26" t="s">
        <v>54</v>
      </c>
      <c r="E524" s="27" t="s">
        <v>61</v>
      </c>
      <c r="F524" s="26" t="s">
        <v>56</v>
      </c>
      <c r="G524" s="59">
        <v>3954050</v>
      </c>
      <c r="H524" s="29">
        <v>5</v>
      </c>
      <c r="I524" s="26" t="s">
        <v>60</v>
      </c>
      <c r="J524" s="26" t="s">
        <v>1095</v>
      </c>
    </row>
    <row r="525" spans="1:10" ht="15.75" customHeight="1">
      <c r="A525" s="26" t="s">
        <v>616</v>
      </c>
      <c r="B525" s="29">
        <v>32</v>
      </c>
      <c r="C525" s="26" t="s">
        <v>59</v>
      </c>
      <c r="D525" s="26" t="s">
        <v>60</v>
      </c>
      <c r="E525" s="27" t="s">
        <v>85</v>
      </c>
      <c r="F525" s="26" t="s">
        <v>113</v>
      </c>
      <c r="G525" s="59">
        <v>3664820</v>
      </c>
      <c r="H525" s="29">
        <v>6</v>
      </c>
      <c r="I525" s="26" t="s">
        <v>63</v>
      </c>
      <c r="J525" s="26" t="s">
        <v>1096</v>
      </c>
    </row>
    <row r="526" spans="1:10" ht="15.75" customHeight="1">
      <c r="A526" s="26" t="s">
        <v>617</v>
      </c>
      <c r="B526" s="29">
        <v>20</v>
      </c>
      <c r="C526" s="26" t="s">
        <v>59</v>
      </c>
      <c r="D526" s="26" t="s">
        <v>54</v>
      </c>
      <c r="E526" s="27" t="s">
        <v>61</v>
      </c>
      <c r="F526" s="26" t="s">
        <v>71</v>
      </c>
      <c r="G526" s="59">
        <v>3126195</v>
      </c>
      <c r="H526" s="29">
        <v>11</v>
      </c>
      <c r="I526" s="26" t="s">
        <v>60</v>
      </c>
      <c r="J526" s="26" t="s">
        <v>1095</v>
      </c>
    </row>
    <row r="527" spans="1:10" ht="15.75" customHeight="1">
      <c r="A527" s="26" t="s">
        <v>618</v>
      </c>
      <c r="B527" s="29">
        <v>37</v>
      </c>
      <c r="C527" s="26" t="s">
        <v>53</v>
      </c>
      <c r="D527" s="26" t="s">
        <v>60</v>
      </c>
      <c r="E527" s="27" t="s">
        <v>73</v>
      </c>
      <c r="F527" s="26" t="s">
        <v>109</v>
      </c>
      <c r="G527" s="59">
        <v>6052905</v>
      </c>
      <c r="H527" s="29">
        <v>6</v>
      </c>
      <c r="I527" s="26" t="s">
        <v>63</v>
      </c>
      <c r="J527" s="26" t="s">
        <v>1096</v>
      </c>
    </row>
    <row r="528" spans="1:10" ht="15.75" customHeight="1">
      <c r="A528" s="26" t="s">
        <v>619</v>
      </c>
      <c r="B528" s="29">
        <v>35</v>
      </c>
      <c r="C528" s="26" t="s">
        <v>53</v>
      </c>
      <c r="D528" s="26" t="s">
        <v>60</v>
      </c>
      <c r="E528" s="27" t="s">
        <v>55</v>
      </c>
      <c r="F528" s="26" t="s">
        <v>134</v>
      </c>
      <c r="G528" s="59">
        <v>6855495</v>
      </c>
      <c r="H528" s="29">
        <v>9</v>
      </c>
      <c r="I528" s="26" t="s">
        <v>63</v>
      </c>
      <c r="J528" s="26" t="s">
        <v>1096</v>
      </c>
    </row>
    <row r="529" spans="1:10" ht="15.75" customHeight="1">
      <c r="A529" s="26" t="s">
        <v>620</v>
      </c>
      <c r="B529" s="29">
        <v>18</v>
      </c>
      <c r="C529" s="26" t="s">
        <v>53</v>
      </c>
      <c r="D529" s="26" t="s">
        <v>54</v>
      </c>
      <c r="E529" s="27" t="s">
        <v>55</v>
      </c>
      <c r="F529" s="26" t="s">
        <v>71</v>
      </c>
      <c r="G529" s="59">
        <v>1388800</v>
      </c>
      <c r="H529" s="29">
        <v>0</v>
      </c>
      <c r="I529" s="26" t="s">
        <v>57</v>
      </c>
      <c r="J529" s="26" t="s">
        <v>1096</v>
      </c>
    </row>
    <row r="530" spans="1:10" ht="15.75" customHeight="1">
      <c r="A530" s="26" t="s">
        <v>621</v>
      </c>
      <c r="B530" s="29">
        <v>27</v>
      </c>
      <c r="C530" s="26" t="s">
        <v>59</v>
      </c>
      <c r="D530" s="26" t="s">
        <v>54</v>
      </c>
      <c r="E530" s="27" t="s">
        <v>55</v>
      </c>
      <c r="F530" s="26" t="s">
        <v>80</v>
      </c>
      <c r="G530" s="59">
        <v>2584470</v>
      </c>
      <c r="H530" s="29">
        <v>6</v>
      </c>
      <c r="I530" s="26" t="s">
        <v>60</v>
      </c>
      <c r="J530" s="26" t="s">
        <v>1096</v>
      </c>
    </row>
    <row r="531" spans="1:10" ht="15.75" customHeight="1">
      <c r="A531" s="26" t="s">
        <v>622</v>
      </c>
      <c r="B531" s="29">
        <v>29</v>
      </c>
      <c r="C531" s="26" t="s">
        <v>53</v>
      </c>
      <c r="D531" s="26" t="s">
        <v>60</v>
      </c>
      <c r="E531" s="27" t="s">
        <v>61</v>
      </c>
      <c r="F531" s="26" t="s">
        <v>82</v>
      </c>
      <c r="G531" s="59">
        <v>4638840</v>
      </c>
      <c r="H531" s="29">
        <v>12</v>
      </c>
      <c r="I531" s="26" t="s">
        <v>60</v>
      </c>
      <c r="J531" s="26" t="s">
        <v>1096</v>
      </c>
    </row>
    <row r="532" spans="1:10" ht="15.75" customHeight="1">
      <c r="A532" s="26" t="s">
        <v>623</v>
      </c>
      <c r="B532" s="29">
        <v>24</v>
      </c>
      <c r="C532" s="26" t="s">
        <v>59</v>
      </c>
      <c r="D532" s="26" t="s">
        <v>60</v>
      </c>
      <c r="E532" s="27" t="s">
        <v>85</v>
      </c>
      <c r="F532" s="26" t="s">
        <v>80</v>
      </c>
      <c r="G532" s="59">
        <v>6270835</v>
      </c>
      <c r="H532" s="29">
        <v>5</v>
      </c>
      <c r="I532" s="26" t="s">
        <v>63</v>
      </c>
      <c r="J532" s="26" t="s">
        <v>1096</v>
      </c>
    </row>
    <row r="533" spans="1:10" ht="15.75" customHeight="1">
      <c r="A533" s="26" t="s">
        <v>624</v>
      </c>
      <c r="B533" s="29">
        <v>27</v>
      </c>
      <c r="C533" s="26" t="s">
        <v>59</v>
      </c>
      <c r="D533" s="26" t="s">
        <v>60</v>
      </c>
      <c r="E533" s="27" t="s">
        <v>73</v>
      </c>
      <c r="F533" s="26" t="s">
        <v>100</v>
      </c>
      <c r="G533" s="59">
        <v>5344555</v>
      </c>
      <c r="H533" s="29">
        <v>10</v>
      </c>
      <c r="I533" s="26" t="s">
        <v>67</v>
      </c>
      <c r="J533" s="26" t="s">
        <v>1095</v>
      </c>
    </row>
    <row r="534" spans="1:10" ht="15.75" customHeight="1">
      <c r="A534" s="26" t="s">
        <v>625</v>
      </c>
      <c r="B534" s="29">
        <v>34</v>
      </c>
      <c r="C534" s="26" t="s">
        <v>59</v>
      </c>
      <c r="D534" s="26" t="s">
        <v>60</v>
      </c>
      <c r="E534" s="27" t="s">
        <v>55</v>
      </c>
      <c r="F534" s="26" t="s">
        <v>90</v>
      </c>
      <c r="G534" s="59">
        <v>3376520</v>
      </c>
      <c r="H534" s="29">
        <v>10</v>
      </c>
      <c r="I534" s="26" t="s">
        <v>57</v>
      </c>
      <c r="J534" s="26" t="s">
        <v>1095</v>
      </c>
    </row>
    <row r="535" spans="1:10" ht="15.75" customHeight="1">
      <c r="A535" s="26" t="s">
        <v>626</v>
      </c>
      <c r="B535" s="29">
        <v>21</v>
      </c>
      <c r="C535" s="26" t="s">
        <v>59</v>
      </c>
      <c r="D535" s="26" t="s">
        <v>54</v>
      </c>
      <c r="E535" s="27" t="s">
        <v>55</v>
      </c>
      <c r="F535" s="26" t="s">
        <v>80</v>
      </c>
      <c r="G535" s="59">
        <v>6902770</v>
      </c>
      <c r="H535" s="29">
        <v>9</v>
      </c>
      <c r="I535" s="26" t="s">
        <v>67</v>
      </c>
      <c r="J535" s="26" t="s">
        <v>1095</v>
      </c>
    </row>
    <row r="536" spans="1:10" ht="15.75" customHeight="1">
      <c r="A536" s="26" t="s">
        <v>627</v>
      </c>
      <c r="B536" s="29">
        <v>18</v>
      </c>
      <c r="C536" s="26" t="s">
        <v>59</v>
      </c>
      <c r="D536" s="26" t="s">
        <v>60</v>
      </c>
      <c r="E536" s="27" t="s">
        <v>61</v>
      </c>
      <c r="F536" s="26" t="s">
        <v>69</v>
      </c>
      <c r="G536" s="59">
        <v>2351815</v>
      </c>
      <c r="H536" s="29">
        <v>3</v>
      </c>
      <c r="I536" s="26" t="s">
        <v>63</v>
      </c>
      <c r="J536" s="26" t="s">
        <v>1096</v>
      </c>
    </row>
    <row r="537" spans="1:10" ht="15.75" customHeight="1">
      <c r="A537" s="26" t="s">
        <v>628</v>
      </c>
      <c r="B537" s="29">
        <v>50</v>
      </c>
      <c r="C537" s="26" t="s">
        <v>53</v>
      </c>
      <c r="D537" s="26" t="s">
        <v>60</v>
      </c>
      <c r="E537" s="27" t="s">
        <v>55</v>
      </c>
      <c r="F537" s="26" t="s">
        <v>98</v>
      </c>
      <c r="G537" s="59">
        <v>1917815</v>
      </c>
      <c r="H537" s="29">
        <v>9</v>
      </c>
      <c r="I537" s="26" t="s">
        <v>60</v>
      </c>
      <c r="J537" s="26" t="s">
        <v>1096</v>
      </c>
    </row>
    <row r="538" spans="1:10" ht="15.75" customHeight="1">
      <c r="A538" s="26" t="s">
        <v>629</v>
      </c>
      <c r="B538" s="29">
        <v>31</v>
      </c>
      <c r="C538" s="26" t="s">
        <v>59</v>
      </c>
      <c r="D538" s="26" t="s">
        <v>54</v>
      </c>
      <c r="E538" s="27" t="s">
        <v>65</v>
      </c>
      <c r="F538" s="26" t="s">
        <v>1094</v>
      </c>
      <c r="G538" s="59">
        <v>5743370</v>
      </c>
      <c r="H538" s="29">
        <v>2</v>
      </c>
      <c r="I538" s="26" t="s">
        <v>67</v>
      </c>
      <c r="J538" s="26" t="s">
        <v>1095</v>
      </c>
    </row>
    <row r="539" spans="1:10" ht="15.75" customHeight="1">
      <c r="A539" s="26" t="s">
        <v>630</v>
      </c>
      <c r="B539" s="29">
        <v>45</v>
      </c>
      <c r="C539" s="26" t="s">
        <v>59</v>
      </c>
      <c r="D539" s="26" t="s">
        <v>60</v>
      </c>
      <c r="E539" s="27" t="s">
        <v>65</v>
      </c>
      <c r="F539" s="26" t="s">
        <v>102</v>
      </c>
      <c r="G539" s="59">
        <v>2369485</v>
      </c>
      <c r="H539" s="29">
        <v>3</v>
      </c>
      <c r="I539" s="26" t="s">
        <v>60</v>
      </c>
      <c r="J539" s="26" t="s">
        <v>1096</v>
      </c>
    </row>
    <row r="540" spans="1:10" ht="15.75" customHeight="1">
      <c r="A540" s="26" t="s">
        <v>631</v>
      </c>
      <c r="B540" s="29">
        <v>29</v>
      </c>
      <c r="C540" s="26" t="s">
        <v>59</v>
      </c>
      <c r="D540" s="26" t="s">
        <v>54</v>
      </c>
      <c r="E540" s="27" t="s">
        <v>85</v>
      </c>
      <c r="F540" s="26" t="s">
        <v>113</v>
      </c>
      <c r="G540" s="59">
        <v>4584125</v>
      </c>
      <c r="H540" s="29">
        <v>4</v>
      </c>
      <c r="I540" s="26" t="s">
        <v>60</v>
      </c>
      <c r="J540" s="26" t="s">
        <v>1095</v>
      </c>
    </row>
    <row r="541" spans="1:10" ht="15.75" customHeight="1">
      <c r="A541" s="26" t="s">
        <v>632</v>
      </c>
      <c r="B541" s="29">
        <v>36</v>
      </c>
      <c r="C541" s="26" t="s">
        <v>59</v>
      </c>
      <c r="D541" s="26" t="s">
        <v>60</v>
      </c>
      <c r="E541" s="27" t="s">
        <v>73</v>
      </c>
      <c r="F541" s="26" t="s">
        <v>66</v>
      </c>
      <c r="G541" s="59">
        <v>5550705</v>
      </c>
      <c r="H541" s="29">
        <v>11</v>
      </c>
      <c r="I541" s="26" t="s">
        <v>60</v>
      </c>
      <c r="J541" s="26" t="s">
        <v>1096</v>
      </c>
    </row>
    <row r="542" spans="1:10" ht="15.75" customHeight="1">
      <c r="A542" s="26" t="s">
        <v>633</v>
      </c>
      <c r="B542" s="29">
        <v>27</v>
      </c>
      <c r="C542" s="26" t="s">
        <v>53</v>
      </c>
      <c r="D542" s="26" t="s">
        <v>60</v>
      </c>
      <c r="E542" s="27" t="s">
        <v>73</v>
      </c>
      <c r="F542" s="26" t="s">
        <v>167</v>
      </c>
      <c r="G542" s="59">
        <v>985800</v>
      </c>
      <c r="H542" s="29">
        <v>12</v>
      </c>
      <c r="I542" s="26" t="s">
        <v>60</v>
      </c>
      <c r="J542" s="26" t="s">
        <v>1096</v>
      </c>
    </row>
    <row r="543" spans="1:10" ht="15.75" customHeight="1">
      <c r="A543" s="26" t="s">
        <v>634</v>
      </c>
      <c r="B543" s="29">
        <v>24</v>
      </c>
      <c r="C543" s="26" t="s">
        <v>59</v>
      </c>
      <c r="D543" s="26" t="s">
        <v>60</v>
      </c>
      <c r="E543" s="27" t="s">
        <v>55</v>
      </c>
      <c r="F543" s="26" t="s">
        <v>76</v>
      </c>
      <c r="G543" s="59">
        <v>6502715</v>
      </c>
      <c r="H543" s="29">
        <v>3</v>
      </c>
      <c r="I543" s="26" t="s">
        <v>60</v>
      </c>
      <c r="J543" s="26" t="s">
        <v>1096</v>
      </c>
    </row>
    <row r="544" spans="1:10" ht="15.75" customHeight="1">
      <c r="A544" s="26" t="s">
        <v>635</v>
      </c>
      <c r="B544" s="29">
        <v>49</v>
      </c>
      <c r="C544" s="26" t="s">
        <v>53</v>
      </c>
      <c r="D544" s="26" t="s">
        <v>60</v>
      </c>
      <c r="E544" s="27" t="s">
        <v>78</v>
      </c>
      <c r="F544" s="26" t="s">
        <v>121</v>
      </c>
      <c r="G544" s="59">
        <v>7624760</v>
      </c>
      <c r="H544" s="29">
        <v>10</v>
      </c>
      <c r="I544" s="26" t="s">
        <v>63</v>
      </c>
      <c r="J544" s="26" t="s">
        <v>1096</v>
      </c>
    </row>
    <row r="545" spans="1:10" ht="15.75" customHeight="1">
      <c r="A545" s="26" t="s">
        <v>636</v>
      </c>
      <c r="B545" s="29">
        <v>21</v>
      </c>
      <c r="C545" s="26" t="s">
        <v>53</v>
      </c>
      <c r="D545" s="26" t="s">
        <v>54</v>
      </c>
      <c r="E545" s="27" t="s">
        <v>61</v>
      </c>
      <c r="F545" s="26" t="s">
        <v>80</v>
      </c>
      <c r="G545" s="59">
        <v>1773820</v>
      </c>
      <c r="H545" s="29">
        <v>4</v>
      </c>
      <c r="I545" s="26" t="s">
        <v>67</v>
      </c>
      <c r="J545" s="26" t="s">
        <v>1096</v>
      </c>
    </row>
    <row r="546" spans="1:10" ht="15.75" customHeight="1">
      <c r="A546" s="26" t="s">
        <v>637</v>
      </c>
      <c r="B546" s="29">
        <v>19</v>
      </c>
      <c r="C546" s="26" t="s">
        <v>53</v>
      </c>
      <c r="D546" s="26" t="s">
        <v>54</v>
      </c>
      <c r="E546" s="27" t="s">
        <v>73</v>
      </c>
      <c r="F546" s="26" t="s">
        <v>82</v>
      </c>
      <c r="G546" s="59">
        <v>6026710</v>
      </c>
      <c r="H546" s="29">
        <v>10</v>
      </c>
      <c r="I546" s="26" t="s">
        <v>67</v>
      </c>
      <c r="J546" s="26" t="s">
        <v>1096</v>
      </c>
    </row>
    <row r="547" spans="1:10" ht="15.75" customHeight="1">
      <c r="A547" s="26" t="s">
        <v>638</v>
      </c>
      <c r="B547" s="29">
        <v>23</v>
      </c>
      <c r="C547" s="26" t="s">
        <v>53</v>
      </c>
      <c r="D547" s="26" t="s">
        <v>54</v>
      </c>
      <c r="E547" s="27" t="s">
        <v>55</v>
      </c>
      <c r="F547" s="26" t="s">
        <v>82</v>
      </c>
      <c r="G547" s="59">
        <v>903960</v>
      </c>
      <c r="H547" s="29">
        <v>7</v>
      </c>
      <c r="I547" s="26" t="s">
        <v>67</v>
      </c>
      <c r="J547" s="26" t="s">
        <v>1095</v>
      </c>
    </row>
    <row r="548" spans="1:10" ht="15.75" customHeight="1">
      <c r="A548" s="26" t="s">
        <v>639</v>
      </c>
      <c r="B548" s="29">
        <v>28</v>
      </c>
      <c r="C548" s="26" t="s">
        <v>53</v>
      </c>
      <c r="D548" s="26" t="s">
        <v>60</v>
      </c>
      <c r="E548" s="27" t="s">
        <v>85</v>
      </c>
      <c r="F548" s="26" t="s">
        <v>121</v>
      </c>
      <c r="G548" s="59">
        <v>7203780</v>
      </c>
      <c r="H548" s="29">
        <v>2</v>
      </c>
      <c r="I548" s="26" t="s">
        <v>67</v>
      </c>
      <c r="J548" s="26" t="s">
        <v>1096</v>
      </c>
    </row>
    <row r="549" spans="1:10" ht="15.75" customHeight="1">
      <c r="A549" s="26" t="s">
        <v>640</v>
      </c>
      <c r="B549" s="29">
        <v>27</v>
      </c>
      <c r="C549" s="26" t="s">
        <v>53</v>
      </c>
      <c r="D549" s="26" t="s">
        <v>60</v>
      </c>
      <c r="E549" s="27" t="s">
        <v>65</v>
      </c>
      <c r="F549" s="26" t="s">
        <v>69</v>
      </c>
      <c r="G549" s="59">
        <v>1812260</v>
      </c>
      <c r="H549" s="29">
        <v>7</v>
      </c>
      <c r="I549" s="26" t="s">
        <v>57</v>
      </c>
      <c r="J549" s="26" t="s">
        <v>1095</v>
      </c>
    </row>
    <row r="550" spans="1:10" ht="15.75" customHeight="1">
      <c r="A550" s="26" t="s">
        <v>641</v>
      </c>
      <c r="B550" s="29">
        <v>47</v>
      </c>
      <c r="C550" s="26" t="s">
        <v>53</v>
      </c>
      <c r="D550" s="26" t="s">
        <v>60</v>
      </c>
      <c r="E550" s="27" t="s">
        <v>61</v>
      </c>
      <c r="F550" s="26" t="s">
        <v>167</v>
      </c>
      <c r="G550" s="59">
        <v>6149780</v>
      </c>
      <c r="H550" s="29">
        <v>8</v>
      </c>
      <c r="I550" s="26" t="s">
        <v>57</v>
      </c>
      <c r="J550" s="26" t="s">
        <v>1095</v>
      </c>
    </row>
    <row r="551" spans="1:10" ht="15.75" customHeight="1">
      <c r="A551" s="26" t="s">
        <v>642</v>
      </c>
      <c r="B551" s="29">
        <v>20</v>
      </c>
      <c r="C551" s="26" t="s">
        <v>53</v>
      </c>
      <c r="D551" s="26" t="s">
        <v>60</v>
      </c>
      <c r="E551" s="27" t="s">
        <v>78</v>
      </c>
      <c r="F551" s="26" t="s">
        <v>1093</v>
      </c>
      <c r="G551" s="59">
        <v>6096925</v>
      </c>
      <c r="H551" s="29">
        <v>7</v>
      </c>
      <c r="I551" s="26" t="s">
        <v>60</v>
      </c>
      <c r="J551" s="26" t="s">
        <v>1095</v>
      </c>
    </row>
    <row r="552" spans="1:10" ht="15.75" customHeight="1">
      <c r="A552" s="26" t="s">
        <v>643</v>
      </c>
      <c r="B552" s="29">
        <v>26</v>
      </c>
      <c r="C552" s="26" t="s">
        <v>53</v>
      </c>
      <c r="D552" s="26" t="s">
        <v>60</v>
      </c>
      <c r="E552" s="27" t="s">
        <v>78</v>
      </c>
      <c r="F552" s="26" t="s">
        <v>98</v>
      </c>
      <c r="G552" s="59">
        <v>1767465</v>
      </c>
      <c r="H552" s="29">
        <v>7</v>
      </c>
      <c r="I552" s="26" t="s">
        <v>63</v>
      </c>
      <c r="J552" s="26" t="s">
        <v>1095</v>
      </c>
    </row>
    <row r="553" spans="1:10" ht="15.75" customHeight="1">
      <c r="A553" s="26" t="s">
        <v>644</v>
      </c>
      <c r="B553" s="29">
        <v>49</v>
      </c>
      <c r="C553" s="26" t="s">
        <v>59</v>
      </c>
      <c r="D553" s="26" t="s">
        <v>60</v>
      </c>
      <c r="E553" s="27" t="s">
        <v>78</v>
      </c>
      <c r="F553" s="26" t="s">
        <v>113</v>
      </c>
      <c r="G553" s="59">
        <v>1704535</v>
      </c>
      <c r="H553" s="29">
        <v>4</v>
      </c>
      <c r="I553" s="26" t="s">
        <v>57</v>
      </c>
      <c r="J553" s="26" t="s">
        <v>1095</v>
      </c>
    </row>
    <row r="554" spans="1:10" ht="15.75" customHeight="1">
      <c r="A554" s="26" t="s">
        <v>645</v>
      </c>
      <c r="B554" s="29">
        <v>39</v>
      </c>
      <c r="C554" s="26" t="s">
        <v>53</v>
      </c>
      <c r="D554" s="26" t="s">
        <v>60</v>
      </c>
      <c r="E554" s="27" t="s">
        <v>73</v>
      </c>
      <c r="F554" s="26" t="s">
        <v>137</v>
      </c>
      <c r="G554" s="59">
        <v>4808565</v>
      </c>
      <c r="H554" s="29">
        <v>12</v>
      </c>
      <c r="I554" s="26" t="s">
        <v>57</v>
      </c>
      <c r="J554" s="26" t="s">
        <v>1095</v>
      </c>
    </row>
    <row r="555" spans="1:10" ht="15.75" customHeight="1">
      <c r="A555" s="26" t="s">
        <v>646</v>
      </c>
      <c r="B555" s="29">
        <v>22</v>
      </c>
      <c r="C555" s="26" t="s">
        <v>59</v>
      </c>
      <c r="D555" s="26" t="s">
        <v>54</v>
      </c>
      <c r="E555" s="27" t="s">
        <v>61</v>
      </c>
      <c r="F555" s="26" t="s">
        <v>1094</v>
      </c>
      <c r="G555" s="59">
        <v>5938515</v>
      </c>
      <c r="H555" s="29">
        <v>3</v>
      </c>
      <c r="I555" s="26" t="s">
        <v>63</v>
      </c>
      <c r="J555" s="26" t="s">
        <v>1096</v>
      </c>
    </row>
    <row r="556" spans="1:10" ht="15.75" customHeight="1">
      <c r="A556" s="26" t="s">
        <v>647</v>
      </c>
      <c r="B556" s="29">
        <v>25</v>
      </c>
      <c r="C556" s="26" t="s">
        <v>59</v>
      </c>
      <c r="D556" s="26" t="s">
        <v>60</v>
      </c>
      <c r="E556" s="27" t="s">
        <v>73</v>
      </c>
      <c r="F556" s="26" t="s">
        <v>113</v>
      </c>
      <c r="G556" s="59">
        <v>6740330</v>
      </c>
      <c r="H556" s="29">
        <v>11</v>
      </c>
      <c r="I556" s="26" t="s">
        <v>60</v>
      </c>
      <c r="J556" s="26" t="s">
        <v>1095</v>
      </c>
    </row>
    <row r="557" spans="1:10" ht="15.75" customHeight="1">
      <c r="A557" s="26" t="s">
        <v>648</v>
      </c>
      <c r="B557" s="29">
        <v>30</v>
      </c>
      <c r="C557" s="26" t="s">
        <v>53</v>
      </c>
      <c r="D557" s="26" t="s">
        <v>54</v>
      </c>
      <c r="E557" s="27" t="s">
        <v>73</v>
      </c>
      <c r="F557" s="26" t="s">
        <v>66</v>
      </c>
      <c r="G557" s="59">
        <v>7581050</v>
      </c>
      <c r="H557" s="29">
        <v>9</v>
      </c>
      <c r="I557" s="26" t="s">
        <v>67</v>
      </c>
      <c r="J557" s="26" t="s">
        <v>1095</v>
      </c>
    </row>
    <row r="558" spans="1:10" ht="15.75" customHeight="1">
      <c r="A558" s="26" t="s">
        <v>649</v>
      </c>
      <c r="B558" s="29">
        <v>19</v>
      </c>
      <c r="C558" s="26" t="s">
        <v>59</v>
      </c>
      <c r="D558" s="26" t="s">
        <v>60</v>
      </c>
      <c r="E558" s="27" t="s">
        <v>85</v>
      </c>
      <c r="F558" s="26" t="s">
        <v>167</v>
      </c>
      <c r="G558" s="59">
        <v>4466325</v>
      </c>
      <c r="H558" s="29">
        <v>0</v>
      </c>
      <c r="I558" s="26" t="s">
        <v>60</v>
      </c>
      <c r="J558" s="26" t="s">
        <v>1095</v>
      </c>
    </row>
    <row r="559" spans="1:10" ht="15.75" customHeight="1">
      <c r="A559" s="26" t="s">
        <v>650</v>
      </c>
      <c r="B559" s="29">
        <v>35</v>
      </c>
      <c r="C559" s="26" t="s">
        <v>59</v>
      </c>
      <c r="D559" s="26" t="s">
        <v>60</v>
      </c>
      <c r="E559" s="27" t="s">
        <v>55</v>
      </c>
      <c r="F559" s="26" t="s">
        <v>134</v>
      </c>
      <c r="G559" s="59">
        <v>1640985</v>
      </c>
      <c r="H559" s="29">
        <v>12</v>
      </c>
      <c r="I559" s="26" t="s">
        <v>67</v>
      </c>
      <c r="J559" s="26" t="s">
        <v>1096</v>
      </c>
    </row>
    <row r="560" spans="1:10" ht="15.75" customHeight="1">
      <c r="A560" s="26" t="s">
        <v>651</v>
      </c>
      <c r="B560" s="29">
        <v>45</v>
      </c>
      <c r="C560" s="26" t="s">
        <v>59</v>
      </c>
      <c r="D560" s="26" t="s">
        <v>54</v>
      </c>
      <c r="E560" s="27" t="s">
        <v>78</v>
      </c>
      <c r="F560" s="26" t="s">
        <v>86</v>
      </c>
      <c r="G560" s="59">
        <v>2532700</v>
      </c>
      <c r="H560" s="29">
        <v>3</v>
      </c>
      <c r="I560" s="26" t="s">
        <v>60</v>
      </c>
      <c r="J560" s="26" t="s">
        <v>1095</v>
      </c>
    </row>
    <row r="561" spans="1:10" ht="15.75" customHeight="1">
      <c r="A561" s="26" t="s">
        <v>652</v>
      </c>
      <c r="B561" s="29">
        <v>20</v>
      </c>
      <c r="C561" s="26" t="s">
        <v>59</v>
      </c>
      <c r="D561" s="26" t="s">
        <v>60</v>
      </c>
      <c r="E561" s="27" t="s">
        <v>61</v>
      </c>
      <c r="F561" s="26" t="s">
        <v>56</v>
      </c>
      <c r="G561" s="59">
        <v>6555260</v>
      </c>
      <c r="H561" s="29">
        <v>6</v>
      </c>
      <c r="I561" s="26" t="s">
        <v>57</v>
      </c>
      <c r="J561" s="26" t="s">
        <v>1096</v>
      </c>
    </row>
    <row r="562" spans="1:10" ht="15.75" customHeight="1">
      <c r="A562" s="26" t="s">
        <v>653</v>
      </c>
      <c r="B562" s="29">
        <v>48</v>
      </c>
      <c r="C562" s="26" t="s">
        <v>59</v>
      </c>
      <c r="D562" s="26" t="s">
        <v>54</v>
      </c>
      <c r="E562" s="27" t="s">
        <v>55</v>
      </c>
      <c r="F562" s="26" t="s">
        <v>56</v>
      </c>
      <c r="G562" s="59">
        <v>5602940</v>
      </c>
      <c r="H562" s="29">
        <v>10</v>
      </c>
      <c r="I562" s="26" t="s">
        <v>63</v>
      </c>
      <c r="J562" s="26" t="s">
        <v>1095</v>
      </c>
    </row>
    <row r="563" spans="1:10" ht="15.75" customHeight="1">
      <c r="A563" s="26" t="s">
        <v>654</v>
      </c>
      <c r="B563" s="29">
        <v>23</v>
      </c>
      <c r="C563" s="26" t="s">
        <v>59</v>
      </c>
      <c r="D563" s="26" t="s">
        <v>54</v>
      </c>
      <c r="E563" s="27" t="s">
        <v>78</v>
      </c>
      <c r="F563" s="26" t="s">
        <v>92</v>
      </c>
      <c r="G563" s="59">
        <v>4197710</v>
      </c>
      <c r="H563" s="29">
        <v>2</v>
      </c>
      <c r="I563" s="26" t="s">
        <v>57</v>
      </c>
      <c r="J563" s="26" t="s">
        <v>1095</v>
      </c>
    </row>
    <row r="564" spans="1:10" ht="15.75" customHeight="1">
      <c r="A564" s="26" t="s">
        <v>655</v>
      </c>
      <c r="B564" s="29">
        <v>49</v>
      </c>
      <c r="C564" s="26" t="s">
        <v>53</v>
      </c>
      <c r="D564" s="26" t="s">
        <v>60</v>
      </c>
      <c r="E564" s="27" t="s">
        <v>65</v>
      </c>
      <c r="F564" s="26" t="s">
        <v>104</v>
      </c>
      <c r="G564" s="59">
        <v>5770030</v>
      </c>
      <c r="H564" s="29">
        <v>11</v>
      </c>
      <c r="I564" s="26" t="s">
        <v>57</v>
      </c>
      <c r="J564" s="26" t="s">
        <v>1096</v>
      </c>
    </row>
    <row r="565" spans="1:10" ht="15.75" customHeight="1">
      <c r="A565" s="26" t="s">
        <v>656</v>
      </c>
      <c r="B565" s="29">
        <v>23</v>
      </c>
      <c r="C565" s="26" t="s">
        <v>53</v>
      </c>
      <c r="D565" s="26" t="s">
        <v>54</v>
      </c>
      <c r="E565" s="27" t="s">
        <v>55</v>
      </c>
      <c r="F565" s="26" t="s">
        <v>98</v>
      </c>
      <c r="G565" s="59">
        <v>3233145</v>
      </c>
      <c r="H565" s="29">
        <v>3</v>
      </c>
      <c r="I565" s="26" t="s">
        <v>63</v>
      </c>
      <c r="J565" s="26" t="s">
        <v>1095</v>
      </c>
    </row>
    <row r="566" spans="1:10" ht="15.75" customHeight="1">
      <c r="A566" s="26" t="s">
        <v>657</v>
      </c>
      <c r="B566" s="29">
        <v>39</v>
      </c>
      <c r="C566" s="26" t="s">
        <v>59</v>
      </c>
      <c r="D566" s="26" t="s">
        <v>54</v>
      </c>
      <c r="E566" s="27" t="s">
        <v>85</v>
      </c>
      <c r="F566" s="26" t="s">
        <v>56</v>
      </c>
      <c r="G566" s="59">
        <v>2529910</v>
      </c>
      <c r="H566" s="29">
        <v>8</v>
      </c>
      <c r="I566" s="26" t="s">
        <v>60</v>
      </c>
      <c r="J566" s="26" t="s">
        <v>1096</v>
      </c>
    </row>
    <row r="567" spans="1:10" ht="15.75" customHeight="1">
      <c r="A567" s="26" t="s">
        <v>658</v>
      </c>
      <c r="B567" s="29">
        <v>45</v>
      </c>
      <c r="C567" s="26" t="s">
        <v>59</v>
      </c>
      <c r="D567" s="26" t="s">
        <v>60</v>
      </c>
      <c r="E567" s="27" t="s">
        <v>61</v>
      </c>
      <c r="F567" s="26" t="s">
        <v>88</v>
      </c>
      <c r="G567" s="59">
        <v>5657190</v>
      </c>
      <c r="H567" s="29">
        <v>7</v>
      </c>
      <c r="I567" s="26" t="s">
        <v>67</v>
      </c>
      <c r="J567" s="26" t="s">
        <v>1095</v>
      </c>
    </row>
    <row r="568" spans="1:10" ht="15.75" customHeight="1">
      <c r="A568" s="26" t="s">
        <v>659</v>
      </c>
      <c r="B568" s="29">
        <v>31</v>
      </c>
      <c r="C568" s="26" t="s">
        <v>59</v>
      </c>
      <c r="D568" s="26" t="s">
        <v>60</v>
      </c>
      <c r="E568" s="27" t="s">
        <v>65</v>
      </c>
      <c r="F568" s="26" t="s">
        <v>121</v>
      </c>
      <c r="G568" s="59">
        <v>2207665</v>
      </c>
      <c r="H568" s="29">
        <v>3</v>
      </c>
      <c r="I568" s="26" t="s">
        <v>60</v>
      </c>
      <c r="J568" s="26" t="s">
        <v>1095</v>
      </c>
    </row>
    <row r="569" spans="1:10" ht="15.75" customHeight="1">
      <c r="A569" s="26" t="s">
        <v>660</v>
      </c>
      <c r="B569" s="29">
        <v>19</v>
      </c>
      <c r="C569" s="26" t="s">
        <v>53</v>
      </c>
      <c r="D569" s="26" t="s">
        <v>54</v>
      </c>
      <c r="E569" s="27" t="s">
        <v>78</v>
      </c>
      <c r="F569" s="26" t="s">
        <v>98</v>
      </c>
      <c r="G569" s="59">
        <v>6970660</v>
      </c>
      <c r="H569" s="29">
        <v>3</v>
      </c>
      <c r="I569" s="26" t="s">
        <v>60</v>
      </c>
      <c r="J569" s="26" t="s">
        <v>1095</v>
      </c>
    </row>
    <row r="570" spans="1:10" ht="15.75" customHeight="1">
      <c r="A570" s="26" t="s">
        <v>661</v>
      </c>
      <c r="B570" s="29">
        <v>27</v>
      </c>
      <c r="C570" s="26" t="s">
        <v>59</v>
      </c>
      <c r="D570" s="26" t="s">
        <v>54</v>
      </c>
      <c r="E570" s="27" t="s">
        <v>85</v>
      </c>
      <c r="F570" s="26" t="s">
        <v>56</v>
      </c>
      <c r="G570" s="59">
        <v>3744180</v>
      </c>
      <c r="H570" s="29">
        <v>12</v>
      </c>
      <c r="I570" s="26" t="s">
        <v>60</v>
      </c>
      <c r="J570" s="26" t="s">
        <v>1095</v>
      </c>
    </row>
    <row r="571" spans="1:10" ht="15.75" customHeight="1">
      <c r="A571" s="26" t="s">
        <v>662</v>
      </c>
      <c r="B571" s="29">
        <v>32</v>
      </c>
      <c r="C571" s="26" t="s">
        <v>53</v>
      </c>
      <c r="D571" s="26" t="s">
        <v>54</v>
      </c>
      <c r="E571" s="27" t="s">
        <v>61</v>
      </c>
      <c r="F571" s="26" t="s">
        <v>134</v>
      </c>
      <c r="G571" s="59">
        <v>3870815</v>
      </c>
      <c r="H571" s="29">
        <v>5</v>
      </c>
      <c r="I571" s="26" t="s">
        <v>67</v>
      </c>
      <c r="J571" s="26" t="s">
        <v>1095</v>
      </c>
    </row>
    <row r="572" spans="1:10" ht="15.75" customHeight="1">
      <c r="A572" s="26" t="s">
        <v>663</v>
      </c>
      <c r="B572" s="29">
        <v>24</v>
      </c>
      <c r="C572" s="26" t="s">
        <v>59</v>
      </c>
      <c r="D572" s="26" t="s">
        <v>54</v>
      </c>
      <c r="E572" s="27" t="s">
        <v>65</v>
      </c>
      <c r="F572" s="26" t="s">
        <v>69</v>
      </c>
      <c r="G572" s="59">
        <v>6778150</v>
      </c>
      <c r="H572" s="29">
        <v>7</v>
      </c>
      <c r="I572" s="26" t="s">
        <v>60</v>
      </c>
      <c r="J572" s="26" t="s">
        <v>1095</v>
      </c>
    </row>
    <row r="573" spans="1:10" ht="15.75" customHeight="1">
      <c r="A573" s="26" t="s">
        <v>664</v>
      </c>
      <c r="B573" s="29">
        <v>22</v>
      </c>
      <c r="C573" s="26" t="s">
        <v>59</v>
      </c>
      <c r="D573" s="26" t="s">
        <v>54</v>
      </c>
      <c r="E573" s="27" t="s">
        <v>73</v>
      </c>
      <c r="F573" s="26" t="s">
        <v>121</v>
      </c>
      <c r="G573" s="59">
        <v>4297995</v>
      </c>
      <c r="H573" s="29">
        <v>4</v>
      </c>
      <c r="I573" s="26" t="s">
        <v>57</v>
      </c>
      <c r="J573" s="26" t="s">
        <v>1095</v>
      </c>
    </row>
    <row r="574" spans="1:10" ht="15.75" customHeight="1">
      <c r="A574" s="26" t="s">
        <v>665</v>
      </c>
      <c r="B574" s="29">
        <v>46</v>
      </c>
      <c r="C574" s="26" t="s">
        <v>59</v>
      </c>
      <c r="D574" s="26" t="s">
        <v>60</v>
      </c>
      <c r="E574" s="27" t="s">
        <v>85</v>
      </c>
      <c r="F574" s="26" t="s">
        <v>98</v>
      </c>
      <c r="G574" s="59">
        <v>6911915</v>
      </c>
      <c r="H574" s="29">
        <v>6</v>
      </c>
      <c r="I574" s="26" t="s">
        <v>60</v>
      </c>
      <c r="J574" s="26" t="s">
        <v>1096</v>
      </c>
    </row>
    <row r="575" spans="1:10" ht="15.75" customHeight="1">
      <c r="A575" s="26" t="s">
        <v>666</v>
      </c>
      <c r="B575" s="29">
        <v>37</v>
      </c>
      <c r="C575" s="26" t="s">
        <v>53</v>
      </c>
      <c r="D575" s="26" t="s">
        <v>54</v>
      </c>
      <c r="E575" s="27" t="s">
        <v>55</v>
      </c>
      <c r="F575" s="26" t="s">
        <v>100</v>
      </c>
      <c r="G575" s="59">
        <v>3763245</v>
      </c>
      <c r="H575" s="29">
        <v>6</v>
      </c>
      <c r="I575" s="26" t="s">
        <v>60</v>
      </c>
      <c r="J575" s="26" t="s">
        <v>1095</v>
      </c>
    </row>
    <row r="576" spans="1:10" ht="15.75" customHeight="1">
      <c r="A576" s="26" t="s">
        <v>667</v>
      </c>
      <c r="B576" s="29">
        <v>34</v>
      </c>
      <c r="C576" s="26" t="s">
        <v>59</v>
      </c>
      <c r="D576" s="26" t="s">
        <v>60</v>
      </c>
      <c r="E576" s="27" t="s">
        <v>73</v>
      </c>
      <c r="F576" s="26" t="s">
        <v>1094</v>
      </c>
      <c r="G576" s="59">
        <v>6092895</v>
      </c>
      <c r="H576" s="29">
        <v>8</v>
      </c>
      <c r="I576" s="26" t="s">
        <v>63</v>
      </c>
      <c r="J576" s="26" t="s">
        <v>1096</v>
      </c>
    </row>
    <row r="577" spans="1:10" ht="15.75" customHeight="1">
      <c r="A577" s="26" t="s">
        <v>668</v>
      </c>
      <c r="B577" s="29">
        <v>32</v>
      </c>
      <c r="C577" s="26" t="s">
        <v>59</v>
      </c>
      <c r="D577" s="26" t="s">
        <v>54</v>
      </c>
      <c r="E577" s="27" t="s">
        <v>55</v>
      </c>
      <c r="F577" s="26" t="s">
        <v>121</v>
      </c>
      <c r="G577" s="59">
        <v>2597955</v>
      </c>
      <c r="H577" s="29">
        <v>2</v>
      </c>
      <c r="I577" s="26" t="s">
        <v>57</v>
      </c>
      <c r="J577" s="26" t="s">
        <v>1095</v>
      </c>
    </row>
    <row r="578" spans="1:10" ht="15.75" customHeight="1">
      <c r="A578" s="26" t="s">
        <v>669</v>
      </c>
      <c r="B578" s="29">
        <v>44</v>
      </c>
      <c r="C578" s="26" t="s">
        <v>59</v>
      </c>
      <c r="D578" s="26" t="s">
        <v>60</v>
      </c>
      <c r="E578" s="27" t="s">
        <v>65</v>
      </c>
      <c r="F578" s="26" t="s">
        <v>56</v>
      </c>
      <c r="G578" s="59">
        <v>5025410</v>
      </c>
      <c r="H578" s="29">
        <v>2</v>
      </c>
      <c r="I578" s="26" t="s">
        <v>57</v>
      </c>
      <c r="J578" s="26" t="s">
        <v>1096</v>
      </c>
    </row>
    <row r="579" spans="1:10" ht="15.75" customHeight="1">
      <c r="A579" s="26" t="s">
        <v>670</v>
      </c>
      <c r="B579" s="29">
        <v>24</v>
      </c>
      <c r="C579" s="26" t="s">
        <v>53</v>
      </c>
      <c r="D579" s="26" t="s">
        <v>54</v>
      </c>
      <c r="E579" s="27" t="s">
        <v>78</v>
      </c>
      <c r="F579" s="26" t="s">
        <v>82</v>
      </c>
      <c r="G579" s="59">
        <v>2469150</v>
      </c>
      <c r="H579" s="29">
        <v>11</v>
      </c>
      <c r="I579" s="26" t="s">
        <v>63</v>
      </c>
      <c r="J579" s="26" t="s">
        <v>1096</v>
      </c>
    </row>
    <row r="580" spans="1:10" ht="15.75" customHeight="1">
      <c r="A580" s="26" t="s">
        <v>671</v>
      </c>
      <c r="B580" s="29">
        <v>22</v>
      </c>
      <c r="C580" s="26" t="s">
        <v>59</v>
      </c>
      <c r="D580" s="26" t="s">
        <v>54</v>
      </c>
      <c r="E580" s="27" t="s">
        <v>78</v>
      </c>
      <c r="F580" s="26" t="s">
        <v>86</v>
      </c>
      <c r="G580" s="59">
        <v>5028045</v>
      </c>
      <c r="H580" s="29">
        <v>5</v>
      </c>
      <c r="I580" s="26" t="s">
        <v>60</v>
      </c>
      <c r="J580" s="26" t="s">
        <v>1095</v>
      </c>
    </row>
    <row r="581" spans="1:10" ht="15.75" customHeight="1">
      <c r="A581" s="26" t="s">
        <v>672</v>
      </c>
      <c r="B581" s="29">
        <v>37</v>
      </c>
      <c r="C581" s="26" t="s">
        <v>53</v>
      </c>
      <c r="D581" s="26" t="s">
        <v>60</v>
      </c>
      <c r="E581" s="27" t="s">
        <v>61</v>
      </c>
      <c r="F581" s="26" t="s">
        <v>134</v>
      </c>
      <c r="G581" s="59">
        <v>3082795</v>
      </c>
      <c r="H581" s="29">
        <v>0</v>
      </c>
      <c r="I581" s="26" t="s">
        <v>60</v>
      </c>
      <c r="J581" s="26" t="s">
        <v>1096</v>
      </c>
    </row>
    <row r="582" spans="1:10" ht="15.75" customHeight="1">
      <c r="A582" s="26" t="s">
        <v>673</v>
      </c>
      <c r="B582" s="29">
        <v>41</v>
      </c>
      <c r="C582" s="26" t="s">
        <v>53</v>
      </c>
      <c r="D582" s="26" t="s">
        <v>54</v>
      </c>
      <c r="E582" s="27" t="s">
        <v>61</v>
      </c>
      <c r="F582" s="26" t="s">
        <v>134</v>
      </c>
      <c r="G582" s="59">
        <v>4451290</v>
      </c>
      <c r="H582" s="29">
        <v>7</v>
      </c>
      <c r="I582" s="26" t="s">
        <v>57</v>
      </c>
      <c r="J582" s="26" t="s">
        <v>1095</v>
      </c>
    </row>
    <row r="583" spans="1:10" ht="15.75" customHeight="1">
      <c r="A583" s="26" t="s">
        <v>674</v>
      </c>
      <c r="B583" s="29">
        <v>32</v>
      </c>
      <c r="C583" s="26" t="s">
        <v>59</v>
      </c>
      <c r="D583" s="26" t="s">
        <v>60</v>
      </c>
      <c r="E583" s="27" t="s">
        <v>65</v>
      </c>
      <c r="F583" s="26" t="s">
        <v>66</v>
      </c>
      <c r="G583" s="59">
        <v>2514720</v>
      </c>
      <c r="H583" s="29">
        <v>7</v>
      </c>
      <c r="I583" s="26" t="s">
        <v>57</v>
      </c>
      <c r="J583" s="26" t="s">
        <v>1096</v>
      </c>
    </row>
    <row r="584" spans="1:10" ht="15.75" customHeight="1">
      <c r="A584" s="26" t="s">
        <v>675</v>
      </c>
      <c r="B584" s="29">
        <v>37</v>
      </c>
      <c r="C584" s="26" t="s">
        <v>53</v>
      </c>
      <c r="D584" s="26" t="s">
        <v>60</v>
      </c>
      <c r="E584" s="27" t="s">
        <v>65</v>
      </c>
      <c r="F584" s="26" t="s">
        <v>109</v>
      </c>
      <c r="G584" s="59">
        <v>1441035</v>
      </c>
      <c r="H584" s="29">
        <v>6</v>
      </c>
      <c r="I584" s="26" t="s">
        <v>63</v>
      </c>
      <c r="J584" s="26" t="s">
        <v>1096</v>
      </c>
    </row>
    <row r="585" spans="1:10" ht="15.75" customHeight="1">
      <c r="A585" s="26" t="s">
        <v>676</v>
      </c>
      <c r="B585" s="29">
        <v>41</v>
      </c>
      <c r="C585" s="26" t="s">
        <v>59</v>
      </c>
      <c r="D585" s="26" t="s">
        <v>54</v>
      </c>
      <c r="E585" s="27" t="s">
        <v>55</v>
      </c>
      <c r="F585" s="26" t="s">
        <v>62</v>
      </c>
      <c r="G585" s="59">
        <v>2238045</v>
      </c>
      <c r="H585" s="29">
        <v>12</v>
      </c>
      <c r="I585" s="26" t="s">
        <v>60</v>
      </c>
      <c r="J585" s="26" t="s">
        <v>1095</v>
      </c>
    </row>
    <row r="586" spans="1:10" ht="15.75" customHeight="1">
      <c r="A586" s="26" t="s">
        <v>677</v>
      </c>
      <c r="B586" s="29">
        <v>37</v>
      </c>
      <c r="C586" s="26" t="s">
        <v>53</v>
      </c>
      <c r="D586" s="26" t="s">
        <v>60</v>
      </c>
      <c r="E586" s="27" t="s">
        <v>55</v>
      </c>
      <c r="F586" s="26" t="s">
        <v>76</v>
      </c>
      <c r="G586" s="59">
        <v>3927235</v>
      </c>
      <c r="H586" s="29">
        <v>12</v>
      </c>
      <c r="I586" s="26" t="s">
        <v>57</v>
      </c>
      <c r="J586" s="26" t="s">
        <v>1096</v>
      </c>
    </row>
    <row r="587" spans="1:10" ht="15.75" customHeight="1">
      <c r="A587" s="26" t="s">
        <v>678</v>
      </c>
      <c r="B587" s="29">
        <v>43</v>
      </c>
      <c r="C587" s="26" t="s">
        <v>59</v>
      </c>
      <c r="D587" s="26" t="s">
        <v>54</v>
      </c>
      <c r="E587" s="27" t="s">
        <v>65</v>
      </c>
      <c r="F587" s="26" t="s">
        <v>88</v>
      </c>
      <c r="G587" s="59">
        <v>3249110</v>
      </c>
      <c r="H587" s="29">
        <v>12</v>
      </c>
      <c r="I587" s="26" t="s">
        <v>63</v>
      </c>
      <c r="J587" s="26" t="s">
        <v>1095</v>
      </c>
    </row>
    <row r="588" spans="1:10" ht="15.75" customHeight="1">
      <c r="A588" s="26" t="s">
        <v>679</v>
      </c>
      <c r="B588" s="29">
        <v>49</v>
      </c>
      <c r="C588" s="26" t="s">
        <v>59</v>
      </c>
      <c r="D588" s="26" t="s">
        <v>60</v>
      </c>
      <c r="E588" s="27" t="s">
        <v>61</v>
      </c>
      <c r="F588" s="26" t="s">
        <v>102</v>
      </c>
      <c r="G588" s="59">
        <v>6380110</v>
      </c>
      <c r="H588" s="29">
        <v>6</v>
      </c>
      <c r="I588" s="26" t="s">
        <v>63</v>
      </c>
      <c r="J588" s="26" t="s">
        <v>1095</v>
      </c>
    </row>
    <row r="589" spans="1:10" ht="15.75" customHeight="1">
      <c r="A589" s="26" t="s">
        <v>680</v>
      </c>
      <c r="B589" s="29">
        <v>27</v>
      </c>
      <c r="C589" s="26" t="s">
        <v>53</v>
      </c>
      <c r="D589" s="26" t="s">
        <v>60</v>
      </c>
      <c r="E589" s="27" t="s">
        <v>55</v>
      </c>
      <c r="F589" s="26" t="s">
        <v>62</v>
      </c>
      <c r="G589" s="59">
        <v>6014155</v>
      </c>
      <c r="H589" s="29">
        <v>2</v>
      </c>
      <c r="I589" s="26" t="s">
        <v>60</v>
      </c>
      <c r="J589" s="26" t="s">
        <v>1096</v>
      </c>
    </row>
    <row r="590" spans="1:10" ht="15.75" customHeight="1">
      <c r="A590" s="26" t="s">
        <v>681</v>
      </c>
      <c r="B590" s="29">
        <v>41</v>
      </c>
      <c r="C590" s="26" t="s">
        <v>59</v>
      </c>
      <c r="D590" s="26" t="s">
        <v>54</v>
      </c>
      <c r="E590" s="27" t="s">
        <v>78</v>
      </c>
      <c r="F590" s="26" t="s">
        <v>90</v>
      </c>
      <c r="G590" s="59">
        <v>787090</v>
      </c>
      <c r="H590" s="29">
        <v>6</v>
      </c>
      <c r="I590" s="26" t="s">
        <v>67</v>
      </c>
      <c r="J590" s="26" t="s">
        <v>1096</v>
      </c>
    </row>
    <row r="591" spans="1:10" ht="15.75" customHeight="1">
      <c r="A591" s="26" t="s">
        <v>682</v>
      </c>
      <c r="B591" s="29">
        <v>33</v>
      </c>
      <c r="C591" s="26" t="s">
        <v>59</v>
      </c>
      <c r="D591" s="26" t="s">
        <v>60</v>
      </c>
      <c r="E591" s="27" t="s">
        <v>85</v>
      </c>
      <c r="F591" s="26" t="s">
        <v>1093</v>
      </c>
      <c r="G591" s="59">
        <v>2477210</v>
      </c>
      <c r="H591" s="29">
        <v>2</v>
      </c>
      <c r="I591" s="26" t="s">
        <v>60</v>
      </c>
      <c r="J591" s="26" t="s">
        <v>1095</v>
      </c>
    </row>
    <row r="592" spans="1:10" ht="15.75" customHeight="1">
      <c r="A592" s="26" t="s">
        <v>683</v>
      </c>
      <c r="B592" s="29">
        <v>46</v>
      </c>
      <c r="C592" s="26" t="s">
        <v>59</v>
      </c>
      <c r="D592" s="26" t="s">
        <v>54</v>
      </c>
      <c r="E592" s="27" t="s">
        <v>61</v>
      </c>
      <c r="F592" s="26" t="s">
        <v>1094</v>
      </c>
      <c r="G592" s="59">
        <v>1231165</v>
      </c>
      <c r="H592" s="29">
        <v>3</v>
      </c>
      <c r="I592" s="26" t="s">
        <v>63</v>
      </c>
      <c r="J592" s="26" t="s">
        <v>1096</v>
      </c>
    </row>
    <row r="593" spans="1:10" ht="15.75" customHeight="1">
      <c r="A593" s="26" t="s">
        <v>684</v>
      </c>
      <c r="B593" s="29">
        <v>42</v>
      </c>
      <c r="C593" s="26" t="s">
        <v>53</v>
      </c>
      <c r="D593" s="26" t="s">
        <v>54</v>
      </c>
      <c r="E593" s="27" t="s">
        <v>73</v>
      </c>
      <c r="F593" s="26" t="s">
        <v>1094</v>
      </c>
      <c r="G593" s="59">
        <v>2036080</v>
      </c>
      <c r="H593" s="29">
        <v>4</v>
      </c>
      <c r="I593" s="26" t="s">
        <v>57</v>
      </c>
      <c r="J593" s="26" t="s">
        <v>1096</v>
      </c>
    </row>
    <row r="594" spans="1:10" ht="15.75" customHeight="1">
      <c r="A594" s="26" t="s">
        <v>685</v>
      </c>
      <c r="B594" s="29">
        <v>27</v>
      </c>
      <c r="C594" s="26" t="s">
        <v>59</v>
      </c>
      <c r="D594" s="26" t="s">
        <v>54</v>
      </c>
      <c r="E594" s="27" t="s">
        <v>78</v>
      </c>
      <c r="F594" s="26" t="s">
        <v>137</v>
      </c>
      <c r="G594" s="59">
        <v>4646125</v>
      </c>
      <c r="H594" s="29">
        <v>12</v>
      </c>
      <c r="I594" s="26" t="s">
        <v>67</v>
      </c>
      <c r="J594" s="26" t="s">
        <v>1096</v>
      </c>
    </row>
    <row r="595" spans="1:10" ht="15.75" customHeight="1">
      <c r="A595" s="26" t="s">
        <v>686</v>
      </c>
      <c r="B595" s="29">
        <v>29</v>
      </c>
      <c r="C595" s="26" t="s">
        <v>59</v>
      </c>
      <c r="D595" s="26" t="s">
        <v>60</v>
      </c>
      <c r="E595" s="27" t="s">
        <v>55</v>
      </c>
      <c r="F595" s="26" t="s">
        <v>88</v>
      </c>
      <c r="G595" s="59">
        <v>4950390</v>
      </c>
      <c r="H595" s="29">
        <v>9</v>
      </c>
      <c r="I595" s="26" t="s">
        <v>67</v>
      </c>
      <c r="J595" s="26" t="s">
        <v>1095</v>
      </c>
    </row>
    <row r="596" spans="1:10" ht="15.75" customHeight="1">
      <c r="A596" s="26" t="s">
        <v>687</v>
      </c>
      <c r="B596" s="29">
        <v>38</v>
      </c>
      <c r="C596" s="26" t="s">
        <v>59</v>
      </c>
      <c r="D596" s="26" t="s">
        <v>60</v>
      </c>
      <c r="E596" s="27" t="s">
        <v>73</v>
      </c>
      <c r="F596" s="26" t="s">
        <v>98</v>
      </c>
      <c r="G596" s="59">
        <v>7385440</v>
      </c>
      <c r="H596" s="29">
        <v>8</v>
      </c>
      <c r="I596" s="26" t="s">
        <v>57</v>
      </c>
      <c r="J596" s="26" t="s">
        <v>1096</v>
      </c>
    </row>
    <row r="597" spans="1:10" ht="15.75" customHeight="1">
      <c r="A597" s="26" t="s">
        <v>688</v>
      </c>
      <c r="B597" s="29">
        <v>21</v>
      </c>
      <c r="C597" s="26" t="s">
        <v>59</v>
      </c>
      <c r="D597" s="26" t="s">
        <v>54</v>
      </c>
      <c r="E597" s="27" t="s">
        <v>65</v>
      </c>
      <c r="F597" s="26" t="s">
        <v>56</v>
      </c>
      <c r="G597" s="59">
        <v>4665655</v>
      </c>
      <c r="H597" s="29">
        <v>9</v>
      </c>
      <c r="I597" s="26" t="s">
        <v>60</v>
      </c>
      <c r="J597" s="26" t="s">
        <v>1096</v>
      </c>
    </row>
    <row r="598" spans="1:10" ht="15.75" customHeight="1">
      <c r="A598" s="26" t="s">
        <v>689</v>
      </c>
      <c r="B598" s="29">
        <v>18</v>
      </c>
      <c r="C598" s="26" t="s">
        <v>59</v>
      </c>
      <c r="D598" s="26" t="s">
        <v>54</v>
      </c>
      <c r="E598" s="27" t="s">
        <v>65</v>
      </c>
      <c r="F598" s="26" t="s">
        <v>98</v>
      </c>
      <c r="G598" s="59">
        <v>5870005</v>
      </c>
      <c r="H598" s="29">
        <v>5</v>
      </c>
      <c r="I598" s="26" t="s">
        <v>63</v>
      </c>
      <c r="J598" s="26" t="s">
        <v>1095</v>
      </c>
    </row>
    <row r="599" spans="1:10" ht="15.75" customHeight="1">
      <c r="A599" s="26" t="s">
        <v>690</v>
      </c>
      <c r="B599" s="29">
        <v>44</v>
      </c>
      <c r="C599" s="26" t="s">
        <v>53</v>
      </c>
      <c r="D599" s="26" t="s">
        <v>54</v>
      </c>
      <c r="E599" s="27" t="s">
        <v>65</v>
      </c>
      <c r="F599" s="26" t="s">
        <v>82</v>
      </c>
      <c r="G599" s="59">
        <v>4871960</v>
      </c>
      <c r="H599" s="29">
        <v>6</v>
      </c>
      <c r="I599" s="26" t="s">
        <v>60</v>
      </c>
      <c r="J599" s="26" t="s">
        <v>1095</v>
      </c>
    </row>
    <row r="600" spans="1:10" ht="15.75" customHeight="1">
      <c r="A600" s="26" t="s">
        <v>691</v>
      </c>
      <c r="B600" s="29">
        <v>22</v>
      </c>
      <c r="C600" s="26" t="s">
        <v>59</v>
      </c>
      <c r="D600" s="26" t="s">
        <v>54</v>
      </c>
      <c r="E600" s="27" t="s">
        <v>85</v>
      </c>
      <c r="F600" s="26" t="s">
        <v>66</v>
      </c>
      <c r="G600" s="59">
        <v>3268950</v>
      </c>
      <c r="H600" s="29">
        <v>12</v>
      </c>
      <c r="I600" s="26" t="s">
        <v>57</v>
      </c>
      <c r="J600" s="26" t="s">
        <v>1096</v>
      </c>
    </row>
    <row r="601" spans="1:10" ht="15.75" customHeight="1">
      <c r="A601" s="26" t="s">
        <v>692</v>
      </c>
      <c r="B601" s="29">
        <v>18</v>
      </c>
      <c r="C601" s="26" t="s">
        <v>53</v>
      </c>
      <c r="D601" s="26" t="s">
        <v>54</v>
      </c>
      <c r="E601" s="27" t="s">
        <v>78</v>
      </c>
      <c r="F601" s="26" t="s">
        <v>62</v>
      </c>
      <c r="G601" s="59">
        <v>3383030</v>
      </c>
      <c r="H601" s="29">
        <v>4</v>
      </c>
      <c r="I601" s="26" t="s">
        <v>67</v>
      </c>
      <c r="J601" s="26" t="s">
        <v>1096</v>
      </c>
    </row>
    <row r="602" spans="1:10" ht="15.75" customHeight="1">
      <c r="A602" s="26" t="s">
        <v>693</v>
      </c>
      <c r="B602" s="29">
        <v>24</v>
      </c>
      <c r="C602" s="26" t="s">
        <v>53</v>
      </c>
      <c r="D602" s="26" t="s">
        <v>54</v>
      </c>
      <c r="E602" s="27" t="s">
        <v>78</v>
      </c>
      <c r="F602" s="26" t="s">
        <v>88</v>
      </c>
      <c r="G602" s="59">
        <v>6574790</v>
      </c>
      <c r="H602" s="29">
        <v>5</v>
      </c>
      <c r="I602" s="26" t="s">
        <v>57</v>
      </c>
      <c r="J602" s="26" t="s">
        <v>1096</v>
      </c>
    </row>
    <row r="603" spans="1:10" ht="15.75" customHeight="1">
      <c r="A603" s="26" t="s">
        <v>694</v>
      </c>
      <c r="B603" s="29">
        <v>28</v>
      </c>
      <c r="C603" s="26" t="s">
        <v>59</v>
      </c>
      <c r="D603" s="26" t="s">
        <v>60</v>
      </c>
      <c r="E603" s="27" t="s">
        <v>65</v>
      </c>
      <c r="F603" s="26" t="s">
        <v>86</v>
      </c>
      <c r="G603" s="59">
        <v>6676625</v>
      </c>
      <c r="H603" s="29">
        <v>11</v>
      </c>
      <c r="I603" s="26" t="s">
        <v>67</v>
      </c>
      <c r="J603" s="26" t="s">
        <v>1095</v>
      </c>
    </row>
    <row r="604" spans="1:10" ht="15.75" customHeight="1">
      <c r="A604" s="26" t="s">
        <v>695</v>
      </c>
      <c r="B604" s="29">
        <v>24</v>
      </c>
      <c r="C604" s="26" t="s">
        <v>59</v>
      </c>
      <c r="D604" s="26" t="s">
        <v>60</v>
      </c>
      <c r="E604" s="27" t="s">
        <v>85</v>
      </c>
      <c r="F604" s="26" t="s">
        <v>82</v>
      </c>
      <c r="G604" s="59">
        <v>2525725</v>
      </c>
      <c r="H604" s="29">
        <v>11</v>
      </c>
      <c r="I604" s="26" t="s">
        <v>60</v>
      </c>
      <c r="J604" s="26" t="s">
        <v>1096</v>
      </c>
    </row>
    <row r="605" spans="1:10" ht="15.75" customHeight="1">
      <c r="A605" s="26" t="s">
        <v>696</v>
      </c>
      <c r="B605" s="29">
        <v>40</v>
      </c>
      <c r="C605" s="26" t="s">
        <v>53</v>
      </c>
      <c r="D605" s="26" t="s">
        <v>54</v>
      </c>
      <c r="E605" s="27" t="s">
        <v>85</v>
      </c>
      <c r="F605" s="26" t="s">
        <v>113</v>
      </c>
      <c r="G605" s="59">
        <v>3250040</v>
      </c>
      <c r="H605" s="29">
        <v>2</v>
      </c>
      <c r="I605" s="26" t="s">
        <v>57</v>
      </c>
      <c r="J605" s="26" t="s">
        <v>1096</v>
      </c>
    </row>
    <row r="606" spans="1:10" ht="15.75" customHeight="1">
      <c r="A606" s="26" t="s">
        <v>697</v>
      </c>
      <c r="B606" s="29">
        <v>50</v>
      </c>
      <c r="C606" s="26" t="s">
        <v>59</v>
      </c>
      <c r="D606" s="26" t="s">
        <v>60</v>
      </c>
      <c r="E606" s="27" t="s">
        <v>61</v>
      </c>
      <c r="F606" s="26" t="s">
        <v>137</v>
      </c>
      <c r="G606" s="59">
        <v>1518535</v>
      </c>
      <c r="H606" s="29">
        <v>2</v>
      </c>
      <c r="I606" s="26" t="s">
        <v>67</v>
      </c>
      <c r="J606" s="26" t="s">
        <v>1095</v>
      </c>
    </row>
    <row r="607" spans="1:10" ht="15.75" customHeight="1">
      <c r="A607" s="26" t="s">
        <v>698</v>
      </c>
      <c r="B607" s="29">
        <v>49</v>
      </c>
      <c r="C607" s="26" t="s">
        <v>59</v>
      </c>
      <c r="D607" s="26" t="s">
        <v>54</v>
      </c>
      <c r="E607" s="27" t="s">
        <v>78</v>
      </c>
      <c r="F607" s="26" t="s">
        <v>76</v>
      </c>
      <c r="G607" s="59">
        <v>2983905</v>
      </c>
      <c r="H607" s="29">
        <v>9</v>
      </c>
      <c r="I607" s="26" t="s">
        <v>63</v>
      </c>
      <c r="J607" s="26" t="s">
        <v>1095</v>
      </c>
    </row>
    <row r="608" spans="1:10" ht="15.75" customHeight="1">
      <c r="A608" s="26" t="s">
        <v>699</v>
      </c>
      <c r="B608" s="29">
        <v>35</v>
      </c>
      <c r="C608" s="26" t="s">
        <v>59</v>
      </c>
      <c r="D608" s="26" t="s">
        <v>54</v>
      </c>
      <c r="E608" s="27" t="s">
        <v>55</v>
      </c>
      <c r="F608" s="26" t="s">
        <v>98</v>
      </c>
      <c r="G608" s="59">
        <v>2353055</v>
      </c>
      <c r="H608" s="29">
        <v>8</v>
      </c>
      <c r="I608" s="26" t="s">
        <v>63</v>
      </c>
      <c r="J608" s="26" t="s">
        <v>1096</v>
      </c>
    </row>
    <row r="609" spans="1:10" ht="15.75" customHeight="1">
      <c r="A609" s="26" t="s">
        <v>700</v>
      </c>
      <c r="B609" s="29">
        <v>25</v>
      </c>
      <c r="C609" s="26" t="s">
        <v>53</v>
      </c>
      <c r="D609" s="26" t="s">
        <v>60</v>
      </c>
      <c r="E609" s="27" t="s">
        <v>55</v>
      </c>
      <c r="F609" s="26" t="s">
        <v>71</v>
      </c>
      <c r="G609" s="59">
        <v>3708840</v>
      </c>
      <c r="H609" s="29">
        <v>8</v>
      </c>
      <c r="I609" s="26" t="s">
        <v>63</v>
      </c>
      <c r="J609" s="26" t="s">
        <v>1096</v>
      </c>
    </row>
    <row r="610" spans="1:10" ht="15.75" customHeight="1">
      <c r="A610" s="26" t="s">
        <v>701</v>
      </c>
      <c r="B610" s="29">
        <v>40</v>
      </c>
      <c r="C610" s="26" t="s">
        <v>53</v>
      </c>
      <c r="D610" s="26" t="s">
        <v>60</v>
      </c>
      <c r="E610" s="27" t="s">
        <v>55</v>
      </c>
      <c r="F610" s="26" t="s">
        <v>82</v>
      </c>
      <c r="G610" s="59">
        <v>4745635</v>
      </c>
      <c r="H610" s="29">
        <v>4</v>
      </c>
      <c r="I610" s="26" t="s">
        <v>63</v>
      </c>
      <c r="J610" s="26" t="s">
        <v>1096</v>
      </c>
    </row>
    <row r="611" spans="1:10" ht="15.75" customHeight="1">
      <c r="A611" s="26" t="s">
        <v>702</v>
      </c>
      <c r="B611" s="29">
        <v>40</v>
      </c>
      <c r="C611" s="26" t="s">
        <v>53</v>
      </c>
      <c r="D611" s="26" t="s">
        <v>60</v>
      </c>
      <c r="E611" s="27" t="s">
        <v>78</v>
      </c>
      <c r="F611" s="26" t="s">
        <v>98</v>
      </c>
      <c r="G611" s="59">
        <v>5740890</v>
      </c>
      <c r="H611" s="29">
        <v>11</v>
      </c>
      <c r="I611" s="26" t="s">
        <v>57</v>
      </c>
      <c r="J611" s="26" t="s">
        <v>1095</v>
      </c>
    </row>
    <row r="612" spans="1:10" ht="15.75" customHeight="1">
      <c r="A612" s="26" t="s">
        <v>703</v>
      </c>
      <c r="B612" s="29">
        <v>50</v>
      </c>
      <c r="C612" s="26" t="s">
        <v>59</v>
      </c>
      <c r="D612" s="26" t="s">
        <v>54</v>
      </c>
      <c r="E612" s="27" t="s">
        <v>61</v>
      </c>
      <c r="F612" s="26" t="s">
        <v>109</v>
      </c>
      <c r="G612" s="59">
        <v>5371990</v>
      </c>
      <c r="H612" s="29">
        <v>6</v>
      </c>
      <c r="I612" s="26" t="s">
        <v>60</v>
      </c>
      <c r="J612" s="26" t="s">
        <v>1096</v>
      </c>
    </row>
    <row r="613" spans="1:10" ht="15.75" customHeight="1">
      <c r="A613" s="26" t="s">
        <v>704</v>
      </c>
      <c r="B613" s="29">
        <v>24</v>
      </c>
      <c r="C613" s="26" t="s">
        <v>59</v>
      </c>
      <c r="D613" s="26" t="s">
        <v>54</v>
      </c>
      <c r="E613" s="27" t="s">
        <v>61</v>
      </c>
      <c r="F613" s="26" t="s">
        <v>100</v>
      </c>
      <c r="G613" s="59">
        <v>4535920</v>
      </c>
      <c r="H613" s="29">
        <v>5</v>
      </c>
      <c r="I613" s="26" t="s">
        <v>57</v>
      </c>
      <c r="J613" s="26" t="s">
        <v>1095</v>
      </c>
    </row>
    <row r="614" spans="1:10" ht="15.75" customHeight="1">
      <c r="A614" s="26" t="s">
        <v>705</v>
      </c>
      <c r="B614" s="29">
        <v>30</v>
      </c>
      <c r="C614" s="26" t="s">
        <v>53</v>
      </c>
      <c r="D614" s="26" t="s">
        <v>54</v>
      </c>
      <c r="E614" s="27" t="s">
        <v>55</v>
      </c>
      <c r="F614" s="26" t="s">
        <v>1094</v>
      </c>
      <c r="G614" s="59">
        <v>1595105</v>
      </c>
      <c r="H614" s="29">
        <v>12</v>
      </c>
      <c r="I614" s="26" t="s">
        <v>63</v>
      </c>
      <c r="J614" s="26" t="s">
        <v>1095</v>
      </c>
    </row>
    <row r="615" spans="1:10" ht="15.75" customHeight="1">
      <c r="A615" s="26" t="s">
        <v>706</v>
      </c>
      <c r="B615" s="29">
        <v>32</v>
      </c>
      <c r="C615" s="26" t="s">
        <v>53</v>
      </c>
      <c r="D615" s="26" t="s">
        <v>60</v>
      </c>
      <c r="E615" s="27" t="s">
        <v>73</v>
      </c>
      <c r="F615" s="26" t="s">
        <v>69</v>
      </c>
      <c r="G615" s="59">
        <v>4398590</v>
      </c>
      <c r="H615" s="29">
        <v>4</v>
      </c>
      <c r="I615" s="26" t="s">
        <v>57</v>
      </c>
      <c r="J615" s="26" t="s">
        <v>1095</v>
      </c>
    </row>
    <row r="616" spans="1:10" ht="15.75" customHeight="1">
      <c r="A616" s="26" t="s">
        <v>707</v>
      </c>
      <c r="B616" s="29">
        <v>48</v>
      </c>
      <c r="C616" s="26" t="s">
        <v>53</v>
      </c>
      <c r="D616" s="26" t="s">
        <v>60</v>
      </c>
      <c r="E616" s="27" t="s">
        <v>65</v>
      </c>
      <c r="F616" s="26" t="s">
        <v>137</v>
      </c>
      <c r="G616" s="59">
        <v>797320</v>
      </c>
      <c r="H616" s="29">
        <v>0</v>
      </c>
      <c r="I616" s="26" t="s">
        <v>60</v>
      </c>
      <c r="J616" s="26" t="s">
        <v>1095</v>
      </c>
    </row>
    <row r="617" spans="1:10" ht="15.75" customHeight="1">
      <c r="A617" s="26" t="s">
        <v>708</v>
      </c>
      <c r="B617" s="29">
        <v>44</v>
      </c>
      <c r="C617" s="26" t="s">
        <v>53</v>
      </c>
      <c r="D617" s="26" t="s">
        <v>60</v>
      </c>
      <c r="E617" s="27" t="s">
        <v>65</v>
      </c>
      <c r="F617" s="26" t="s">
        <v>86</v>
      </c>
      <c r="G617" s="59">
        <v>6288350</v>
      </c>
      <c r="H617" s="29">
        <v>12</v>
      </c>
      <c r="I617" s="26" t="s">
        <v>67</v>
      </c>
      <c r="J617" s="26" t="s">
        <v>1095</v>
      </c>
    </row>
    <row r="618" spans="1:10" ht="15.75" customHeight="1">
      <c r="A618" s="26" t="s">
        <v>709</v>
      </c>
      <c r="B618" s="29">
        <v>19</v>
      </c>
      <c r="C618" s="26" t="s">
        <v>53</v>
      </c>
      <c r="D618" s="26" t="s">
        <v>60</v>
      </c>
      <c r="E618" s="27" t="s">
        <v>61</v>
      </c>
      <c r="F618" s="26" t="s">
        <v>121</v>
      </c>
      <c r="G618" s="59">
        <v>4831970</v>
      </c>
      <c r="H618" s="29">
        <v>11</v>
      </c>
      <c r="I618" s="26" t="s">
        <v>67</v>
      </c>
      <c r="J618" s="26" t="s">
        <v>1095</v>
      </c>
    </row>
    <row r="619" spans="1:10" ht="15.75" customHeight="1">
      <c r="A619" s="26" t="s">
        <v>710</v>
      </c>
      <c r="B619" s="29">
        <v>39</v>
      </c>
      <c r="C619" s="26" t="s">
        <v>59</v>
      </c>
      <c r="D619" s="26" t="s">
        <v>54</v>
      </c>
      <c r="E619" s="27" t="s">
        <v>85</v>
      </c>
      <c r="F619" s="26" t="s">
        <v>134</v>
      </c>
      <c r="G619" s="59">
        <v>4548165</v>
      </c>
      <c r="H619" s="29">
        <v>9</v>
      </c>
      <c r="I619" s="26" t="s">
        <v>63</v>
      </c>
      <c r="J619" s="26" t="s">
        <v>1096</v>
      </c>
    </row>
    <row r="620" spans="1:10" ht="15.75" customHeight="1">
      <c r="A620" s="26" t="s">
        <v>711</v>
      </c>
      <c r="B620" s="29">
        <v>35</v>
      </c>
      <c r="C620" s="26" t="s">
        <v>53</v>
      </c>
      <c r="D620" s="26" t="s">
        <v>60</v>
      </c>
      <c r="E620" s="27" t="s">
        <v>73</v>
      </c>
      <c r="F620" s="26" t="s">
        <v>102</v>
      </c>
      <c r="G620" s="59">
        <v>6486905</v>
      </c>
      <c r="H620" s="29">
        <v>6</v>
      </c>
      <c r="I620" s="26" t="s">
        <v>67</v>
      </c>
      <c r="J620" s="26" t="s">
        <v>1096</v>
      </c>
    </row>
    <row r="621" spans="1:10" ht="15.75" customHeight="1">
      <c r="A621" s="26" t="s">
        <v>712</v>
      </c>
      <c r="B621" s="29">
        <v>39</v>
      </c>
      <c r="C621" s="26" t="s">
        <v>59</v>
      </c>
      <c r="D621" s="26" t="s">
        <v>54</v>
      </c>
      <c r="E621" s="27" t="s">
        <v>78</v>
      </c>
      <c r="F621" s="26" t="s">
        <v>90</v>
      </c>
      <c r="G621" s="59">
        <v>1317965</v>
      </c>
      <c r="H621" s="29">
        <v>9</v>
      </c>
      <c r="I621" s="26" t="s">
        <v>63</v>
      </c>
      <c r="J621" s="26" t="s">
        <v>1095</v>
      </c>
    </row>
    <row r="622" spans="1:10" ht="15.75" customHeight="1">
      <c r="A622" s="26" t="s">
        <v>713</v>
      </c>
      <c r="B622" s="29">
        <v>31</v>
      </c>
      <c r="C622" s="26" t="s">
        <v>59</v>
      </c>
      <c r="D622" s="26" t="s">
        <v>54</v>
      </c>
      <c r="E622" s="27" t="s">
        <v>55</v>
      </c>
      <c r="F622" s="26" t="s">
        <v>82</v>
      </c>
      <c r="G622" s="59">
        <v>2556570</v>
      </c>
      <c r="H622" s="29">
        <v>4</v>
      </c>
      <c r="I622" s="26" t="s">
        <v>60</v>
      </c>
      <c r="J622" s="26" t="s">
        <v>1095</v>
      </c>
    </row>
    <row r="623" spans="1:10" ht="15.75" customHeight="1">
      <c r="A623" s="26" t="s">
        <v>714</v>
      </c>
      <c r="B623" s="29">
        <v>38</v>
      </c>
      <c r="C623" s="26" t="s">
        <v>53</v>
      </c>
      <c r="D623" s="26" t="s">
        <v>60</v>
      </c>
      <c r="E623" s="27" t="s">
        <v>55</v>
      </c>
      <c r="F623" s="26" t="s">
        <v>121</v>
      </c>
      <c r="G623" s="59">
        <v>1384460</v>
      </c>
      <c r="H623" s="29">
        <v>11</v>
      </c>
      <c r="I623" s="26" t="s">
        <v>67</v>
      </c>
      <c r="J623" s="26" t="s">
        <v>1095</v>
      </c>
    </row>
    <row r="624" spans="1:10" ht="15.75" customHeight="1">
      <c r="A624" s="26" t="s">
        <v>715</v>
      </c>
      <c r="B624" s="29">
        <v>33</v>
      </c>
      <c r="C624" s="26" t="s">
        <v>59</v>
      </c>
      <c r="D624" s="26" t="s">
        <v>54</v>
      </c>
      <c r="E624" s="27" t="s">
        <v>85</v>
      </c>
      <c r="F624" s="26" t="s">
        <v>134</v>
      </c>
      <c r="G624" s="59">
        <v>6018030</v>
      </c>
      <c r="H624" s="29">
        <v>2</v>
      </c>
      <c r="I624" s="26" t="s">
        <v>60</v>
      </c>
      <c r="J624" s="26" t="s">
        <v>1096</v>
      </c>
    </row>
    <row r="625" spans="1:10" ht="15.75" customHeight="1">
      <c r="A625" s="26" t="s">
        <v>716</v>
      </c>
      <c r="B625" s="29">
        <v>33</v>
      </c>
      <c r="C625" s="26" t="s">
        <v>59</v>
      </c>
      <c r="D625" s="26" t="s">
        <v>54</v>
      </c>
      <c r="E625" s="27" t="s">
        <v>85</v>
      </c>
      <c r="F625" s="26" t="s">
        <v>167</v>
      </c>
      <c r="G625" s="59">
        <v>1653695</v>
      </c>
      <c r="H625" s="29">
        <v>5</v>
      </c>
      <c r="I625" s="26" t="s">
        <v>63</v>
      </c>
      <c r="J625" s="26" t="s">
        <v>1096</v>
      </c>
    </row>
    <row r="626" spans="1:10" ht="15.75" customHeight="1">
      <c r="A626" s="26" t="s">
        <v>717</v>
      </c>
      <c r="B626" s="29">
        <v>42</v>
      </c>
      <c r="C626" s="26" t="s">
        <v>53</v>
      </c>
      <c r="D626" s="26" t="s">
        <v>54</v>
      </c>
      <c r="E626" s="27" t="s">
        <v>85</v>
      </c>
      <c r="F626" s="26" t="s">
        <v>1093</v>
      </c>
      <c r="G626" s="59">
        <v>4667980</v>
      </c>
      <c r="H626" s="29">
        <v>10</v>
      </c>
      <c r="I626" s="26" t="s">
        <v>57</v>
      </c>
      <c r="J626" s="26" t="s">
        <v>1096</v>
      </c>
    </row>
    <row r="627" spans="1:10" ht="15.75" customHeight="1">
      <c r="A627" s="26" t="s">
        <v>718</v>
      </c>
      <c r="B627" s="29">
        <v>49</v>
      </c>
      <c r="C627" s="26" t="s">
        <v>59</v>
      </c>
      <c r="D627" s="26" t="s">
        <v>54</v>
      </c>
      <c r="E627" s="27" t="s">
        <v>85</v>
      </c>
      <c r="F627" s="26" t="s">
        <v>92</v>
      </c>
      <c r="G627" s="59">
        <v>956505</v>
      </c>
      <c r="H627" s="29">
        <v>6</v>
      </c>
      <c r="I627" s="26" t="s">
        <v>67</v>
      </c>
      <c r="J627" s="26" t="s">
        <v>1096</v>
      </c>
    </row>
    <row r="628" spans="1:10" ht="15.75" customHeight="1">
      <c r="A628" s="26" t="s">
        <v>719</v>
      </c>
      <c r="B628" s="29">
        <v>46</v>
      </c>
      <c r="C628" s="26" t="s">
        <v>53</v>
      </c>
      <c r="D628" s="26" t="s">
        <v>54</v>
      </c>
      <c r="E628" s="27" t="s">
        <v>55</v>
      </c>
      <c r="F628" s="26" t="s">
        <v>80</v>
      </c>
      <c r="G628" s="59">
        <v>1291615</v>
      </c>
      <c r="H628" s="29">
        <v>11</v>
      </c>
      <c r="I628" s="26" t="s">
        <v>63</v>
      </c>
      <c r="J628" s="26" t="s">
        <v>1095</v>
      </c>
    </row>
    <row r="629" spans="1:10" ht="15.75" customHeight="1">
      <c r="A629" s="26" t="s">
        <v>720</v>
      </c>
      <c r="B629" s="29">
        <v>42</v>
      </c>
      <c r="C629" s="26" t="s">
        <v>59</v>
      </c>
      <c r="D629" s="26" t="s">
        <v>60</v>
      </c>
      <c r="E629" s="27" t="s">
        <v>73</v>
      </c>
      <c r="F629" s="26" t="s">
        <v>76</v>
      </c>
      <c r="G629" s="59">
        <v>6383055</v>
      </c>
      <c r="H629" s="29">
        <v>4</v>
      </c>
      <c r="I629" s="26" t="s">
        <v>60</v>
      </c>
      <c r="J629" s="26" t="s">
        <v>1095</v>
      </c>
    </row>
    <row r="630" spans="1:10" ht="15.75" customHeight="1">
      <c r="A630" s="26" t="s">
        <v>721</v>
      </c>
      <c r="B630" s="29">
        <v>44</v>
      </c>
      <c r="C630" s="26" t="s">
        <v>53</v>
      </c>
      <c r="D630" s="26" t="s">
        <v>54</v>
      </c>
      <c r="E630" s="27" t="s">
        <v>55</v>
      </c>
      <c r="F630" s="26" t="s">
        <v>86</v>
      </c>
      <c r="G630" s="59">
        <v>1781415</v>
      </c>
      <c r="H630" s="29">
        <v>3</v>
      </c>
      <c r="I630" s="26" t="s">
        <v>60</v>
      </c>
      <c r="J630" s="26" t="s">
        <v>1095</v>
      </c>
    </row>
    <row r="631" spans="1:10" ht="15.75" customHeight="1">
      <c r="A631" s="26" t="s">
        <v>722</v>
      </c>
      <c r="B631" s="29">
        <v>33</v>
      </c>
      <c r="C631" s="26" t="s">
        <v>53</v>
      </c>
      <c r="D631" s="26" t="s">
        <v>60</v>
      </c>
      <c r="E631" s="27" t="s">
        <v>85</v>
      </c>
      <c r="F631" s="26" t="s">
        <v>167</v>
      </c>
      <c r="G631" s="59">
        <v>6795510</v>
      </c>
      <c r="H631" s="29">
        <v>11</v>
      </c>
      <c r="I631" s="26" t="s">
        <v>63</v>
      </c>
      <c r="J631" s="26" t="s">
        <v>1095</v>
      </c>
    </row>
    <row r="632" spans="1:10" ht="15.75" customHeight="1">
      <c r="A632" s="26" t="s">
        <v>723</v>
      </c>
      <c r="B632" s="29">
        <v>36</v>
      </c>
      <c r="C632" s="26" t="s">
        <v>59</v>
      </c>
      <c r="D632" s="26" t="s">
        <v>54</v>
      </c>
      <c r="E632" s="27" t="s">
        <v>78</v>
      </c>
      <c r="F632" s="26" t="s">
        <v>86</v>
      </c>
      <c r="G632" s="59">
        <v>2944535</v>
      </c>
      <c r="H632" s="29">
        <v>2</v>
      </c>
      <c r="I632" s="26" t="s">
        <v>60</v>
      </c>
      <c r="J632" s="26" t="s">
        <v>1095</v>
      </c>
    </row>
    <row r="633" spans="1:10" ht="15.75" customHeight="1">
      <c r="A633" s="26" t="s">
        <v>724</v>
      </c>
      <c r="B633" s="29">
        <v>35</v>
      </c>
      <c r="C633" s="26" t="s">
        <v>59</v>
      </c>
      <c r="D633" s="26" t="s">
        <v>60</v>
      </c>
      <c r="E633" s="27" t="s">
        <v>61</v>
      </c>
      <c r="F633" s="26" t="s">
        <v>113</v>
      </c>
      <c r="G633" s="59">
        <v>3518965</v>
      </c>
      <c r="H633" s="29">
        <v>12</v>
      </c>
      <c r="I633" s="26" t="s">
        <v>60</v>
      </c>
      <c r="J633" s="26" t="s">
        <v>1095</v>
      </c>
    </row>
    <row r="634" spans="1:10" ht="15.75" customHeight="1">
      <c r="A634" s="26" t="s">
        <v>725</v>
      </c>
      <c r="B634" s="29">
        <v>26</v>
      </c>
      <c r="C634" s="26" t="s">
        <v>59</v>
      </c>
      <c r="D634" s="26" t="s">
        <v>60</v>
      </c>
      <c r="E634" s="27" t="s">
        <v>73</v>
      </c>
      <c r="F634" s="26" t="s">
        <v>69</v>
      </c>
      <c r="G634" s="59">
        <v>4316595</v>
      </c>
      <c r="H634" s="29">
        <v>4</v>
      </c>
      <c r="I634" s="26" t="s">
        <v>67</v>
      </c>
      <c r="J634" s="26" t="s">
        <v>1095</v>
      </c>
    </row>
    <row r="635" spans="1:10" ht="15.75" customHeight="1">
      <c r="A635" s="26" t="s">
        <v>726</v>
      </c>
      <c r="B635" s="29">
        <v>43</v>
      </c>
      <c r="C635" s="26" t="s">
        <v>53</v>
      </c>
      <c r="D635" s="26" t="s">
        <v>60</v>
      </c>
      <c r="E635" s="27" t="s">
        <v>65</v>
      </c>
      <c r="F635" s="26" t="s">
        <v>88</v>
      </c>
      <c r="G635" s="59">
        <v>1868680</v>
      </c>
      <c r="H635" s="29">
        <v>5</v>
      </c>
      <c r="I635" s="26" t="s">
        <v>57</v>
      </c>
      <c r="J635" s="26" t="s">
        <v>1096</v>
      </c>
    </row>
    <row r="636" spans="1:10" ht="15.75" customHeight="1">
      <c r="A636" s="26" t="s">
        <v>727</v>
      </c>
      <c r="B636" s="29">
        <v>25</v>
      </c>
      <c r="C636" s="26" t="s">
        <v>59</v>
      </c>
      <c r="D636" s="26" t="s">
        <v>60</v>
      </c>
      <c r="E636" s="27" t="s">
        <v>73</v>
      </c>
      <c r="F636" s="26" t="s">
        <v>56</v>
      </c>
      <c r="G636" s="59">
        <v>4974570</v>
      </c>
      <c r="H636" s="29">
        <v>11</v>
      </c>
      <c r="I636" s="26" t="s">
        <v>60</v>
      </c>
      <c r="J636" s="26" t="s">
        <v>1096</v>
      </c>
    </row>
    <row r="637" spans="1:10" ht="15.75" customHeight="1">
      <c r="A637" s="26" t="s">
        <v>728</v>
      </c>
      <c r="B637" s="29">
        <v>37</v>
      </c>
      <c r="C637" s="26" t="s">
        <v>53</v>
      </c>
      <c r="D637" s="26" t="s">
        <v>60</v>
      </c>
      <c r="E637" s="27" t="s">
        <v>55</v>
      </c>
      <c r="F637" s="26" t="s">
        <v>167</v>
      </c>
      <c r="G637" s="59">
        <v>3374660</v>
      </c>
      <c r="H637" s="29">
        <v>0</v>
      </c>
      <c r="I637" s="26" t="s">
        <v>63</v>
      </c>
      <c r="J637" s="26" t="s">
        <v>1096</v>
      </c>
    </row>
    <row r="638" spans="1:10" ht="15.75" customHeight="1">
      <c r="A638" s="26" t="s">
        <v>729</v>
      </c>
      <c r="B638" s="29">
        <v>25</v>
      </c>
      <c r="C638" s="26" t="s">
        <v>59</v>
      </c>
      <c r="D638" s="26" t="s">
        <v>60</v>
      </c>
      <c r="E638" s="27" t="s">
        <v>65</v>
      </c>
      <c r="F638" s="26" t="s">
        <v>69</v>
      </c>
      <c r="G638" s="59">
        <v>3450455</v>
      </c>
      <c r="H638" s="29">
        <v>3</v>
      </c>
      <c r="I638" s="26" t="s">
        <v>63</v>
      </c>
      <c r="J638" s="26" t="s">
        <v>1096</v>
      </c>
    </row>
    <row r="639" spans="1:10" ht="15.75" customHeight="1">
      <c r="A639" s="26" t="s">
        <v>730</v>
      </c>
      <c r="B639" s="29">
        <v>40</v>
      </c>
      <c r="C639" s="26" t="s">
        <v>53</v>
      </c>
      <c r="D639" s="26" t="s">
        <v>54</v>
      </c>
      <c r="E639" s="27" t="s">
        <v>55</v>
      </c>
      <c r="F639" s="26" t="s">
        <v>137</v>
      </c>
      <c r="G639" s="59">
        <v>1592315</v>
      </c>
      <c r="H639" s="29">
        <v>3</v>
      </c>
      <c r="I639" s="26" t="s">
        <v>57</v>
      </c>
      <c r="J639" s="26" t="s">
        <v>1096</v>
      </c>
    </row>
    <row r="640" spans="1:10" ht="15.75" customHeight="1">
      <c r="A640" s="26" t="s">
        <v>731</v>
      </c>
      <c r="B640" s="29">
        <v>40</v>
      </c>
      <c r="C640" s="26" t="s">
        <v>53</v>
      </c>
      <c r="D640" s="26" t="s">
        <v>54</v>
      </c>
      <c r="E640" s="27" t="s">
        <v>55</v>
      </c>
      <c r="F640" s="26" t="s">
        <v>80</v>
      </c>
      <c r="G640" s="59">
        <v>6616485</v>
      </c>
      <c r="H640" s="29">
        <v>2</v>
      </c>
      <c r="I640" s="26" t="s">
        <v>57</v>
      </c>
      <c r="J640" s="26" t="s">
        <v>1096</v>
      </c>
    </row>
    <row r="641" spans="1:10" ht="15.75" customHeight="1">
      <c r="A641" s="26" t="s">
        <v>732</v>
      </c>
      <c r="B641" s="29">
        <v>20</v>
      </c>
      <c r="C641" s="26" t="s">
        <v>53</v>
      </c>
      <c r="D641" s="26" t="s">
        <v>54</v>
      </c>
      <c r="E641" s="27" t="s">
        <v>73</v>
      </c>
      <c r="F641" s="26" t="s">
        <v>167</v>
      </c>
      <c r="G641" s="59">
        <v>7335840</v>
      </c>
      <c r="H641" s="29">
        <v>5</v>
      </c>
      <c r="I641" s="26" t="s">
        <v>63</v>
      </c>
      <c r="J641" s="26" t="s">
        <v>1096</v>
      </c>
    </row>
    <row r="642" spans="1:10" ht="15.75" customHeight="1">
      <c r="A642" s="26" t="s">
        <v>733</v>
      </c>
      <c r="B642" s="29">
        <v>39</v>
      </c>
      <c r="C642" s="26" t="s">
        <v>59</v>
      </c>
      <c r="D642" s="26" t="s">
        <v>60</v>
      </c>
      <c r="E642" s="27" t="s">
        <v>78</v>
      </c>
      <c r="F642" s="26" t="s">
        <v>167</v>
      </c>
      <c r="G642" s="59">
        <v>6913465</v>
      </c>
      <c r="H642" s="29">
        <v>9</v>
      </c>
      <c r="I642" s="26" t="s">
        <v>67</v>
      </c>
      <c r="J642" s="26" t="s">
        <v>1095</v>
      </c>
    </row>
    <row r="643" spans="1:10" ht="15.75" customHeight="1">
      <c r="A643" s="26" t="s">
        <v>734</v>
      </c>
      <c r="B643" s="29">
        <v>19</v>
      </c>
      <c r="C643" s="26" t="s">
        <v>53</v>
      </c>
      <c r="D643" s="26" t="s">
        <v>60</v>
      </c>
      <c r="E643" s="27" t="s">
        <v>61</v>
      </c>
      <c r="F643" s="26" t="s">
        <v>109</v>
      </c>
      <c r="G643" s="59">
        <v>4463225</v>
      </c>
      <c r="H643" s="29">
        <v>3</v>
      </c>
      <c r="I643" s="26" t="s">
        <v>57</v>
      </c>
      <c r="J643" s="26" t="s">
        <v>1095</v>
      </c>
    </row>
    <row r="644" spans="1:10" ht="15.75" customHeight="1">
      <c r="A644" s="26" t="s">
        <v>735</v>
      </c>
      <c r="B644" s="29">
        <v>31</v>
      </c>
      <c r="C644" s="26" t="s">
        <v>53</v>
      </c>
      <c r="D644" s="26" t="s">
        <v>54</v>
      </c>
      <c r="E644" s="27" t="s">
        <v>73</v>
      </c>
      <c r="F644" s="26" t="s">
        <v>86</v>
      </c>
      <c r="G644" s="59">
        <v>2054060</v>
      </c>
      <c r="H644" s="29">
        <v>6</v>
      </c>
      <c r="I644" s="26" t="s">
        <v>63</v>
      </c>
      <c r="J644" s="26" t="s">
        <v>1095</v>
      </c>
    </row>
    <row r="645" spans="1:10" ht="15.75" customHeight="1">
      <c r="A645" s="26" t="s">
        <v>736</v>
      </c>
      <c r="B645" s="29">
        <v>36</v>
      </c>
      <c r="C645" s="26" t="s">
        <v>53</v>
      </c>
      <c r="D645" s="26" t="s">
        <v>54</v>
      </c>
      <c r="E645" s="27" t="s">
        <v>61</v>
      </c>
      <c r="F645" s="26" t="s">
        <v>80</v>
      </c>
      <c r="G645" s="59">
        <v>5877600</v>
      </c>
      <c r="H645" s="29">
        <v>7</v>
      </c>
      <c r="I645" s="26" t="s">
        <v>63</v>
      </c>
      <c r="J645" s="26" t="s">
        <v>1095</v>
      </c>
    </row>
    <row r="646" spans="1:10" ht="15.75" customHeight="1">
      <c r="A646" s="26" t="s">
        <v>737</v>
      </c>
      <c r="B646" s="29">
        <v>31</v>
      </c>
      <c r="C646" s="26" t="s">
        <v>53</v>
      </c>
      <c r="D646" s="26" t="s">
        <v>54</v>
      </c>
      <c r="E646" s="27" t="s">
        <v>55</v>
      </c>
      <c r="F646" s="26" t="s">
        <v>121</v>
      </c>
      <c r="G646" s="59">
        <v>6936715</v>
      </c>
      <c r="H646" s="29">
        <v>4</v>
      </c>
      <c r="I646" s="26" t="s">
        <v>60</v>
      </c>
      <c r="J646" s="26" t="s">
        <v>1095</v>
      </c>
    </row>
    <row r="647" spans="1:10" ht="15.75" customHeight="1">
      <c r="A647" s="26" t="s">
        <v>738</v>
      </c>
      <c r="B647" s="29">
        <v>45</v>
      </c>
      <c r="C647" s="26" t="s">
        <v>53</v>
      </c>
      <c r="D647" s="26" t="s">
        <v>60</v>
      </c>
      <c r="E647" s="27" t="s">
        <v>85</v>
      </c>
      <c r="F647" s="26" t="s">
        <v>66</v>
      </c>
      <c r="G647" s="59">
        <v>2145820</v>
      </c>
      <c r="H647" s="29">
        <v>4</v>
      </c>
      <c r="I647" s="26" t="s">
        <v>57</v>
      </c>
      <c r="J647" s="26" t="s">
        <v>1096</v>
      </c>
    </row>
    <row r="648" spans="1:10" ht="15.75" customHeight="1">
      <c r="A648" s="26" t="s">
        <v>739</v>
      </c>
      <c r="B648" s="29">
        <v>45</v>
      </c>
      <c r="C648" s="26" t="s">
        <v>53</v>
      </c>
      <c r="D648" s="26" t="s">
        <v>54</v>
      </c>
      <c r="E648" s="27" t="s">
        <v>61</v>
      </c>
      <c r="F648" s="26" t="s">
        <v>69</v>
      </c>
      <c r="G648" s="59">
        <v>6829610</v>
      </c>
      <c r="H648" s="29">
        <v>8</v>
      </c>
      <c r="I648" s="26" t="s">
        <v>57</v>
      </c>
      <c r="J648" s="26" t="s">
        <v>1095</v>
      </c>
    </row>
    <row r="649" spans="1:10" ht="15.75" customHeight="1">
      <c r="A649" s="26" t="s">
        <v>740</v>
      </c>
      <c r="B649" s="29">
        <v>23</v>
      </c>
      <c r="C649" s="26" t="s">
        <v>53</v>
      </c>
      <c r="D649" s="26" t="s">
        <v>60</v>
      </c>
      <c r="E649" s="27" t="s">
        <v>61</v>
      </c>
      <c r="F649" s="26" t="s">
        <v>80</v>
      </c>
      <c r="G649" s="59">
        <v>2262690</v>
      </c>
      <c r="H649" s="29">
        <v>4</v>
      </c>
      <c r="I649" s="26" t="s">
        <v>67</v>
      </c>
      <c r="J649" s="26" t="s">
        <v>1096</v>
      </c>
    </row>
    <row r="650" spans="1:10" ht="15.75" customHeight="1">
      <c r="A650" s="26" t="s">
        <v>741</v>
      </c>
      <c r="B650" s="29">
        <v>28</v>
      </c>
      <c r="C650" s="26" t="s">
        <v>59</v>
      </c>
      <c r="D650" s="26" t="s">
        <v>54</v>
      </c>
      <c r="E650" s="27" t="s">
        <v>85</v>
      </c>
      <c r="F650" s="26" t="s">
        <v>100</v>
      </c>
      <c r="G650" s="59">
        <v>6287730</v>
      </c>
      <c r="H650" s="29">
        <v>11</v>
      </c>
      <c r="I650" s="26" t="s">
        <v>63</v>
      </c>
      <c r="J650" s="26" t="s">
        <v>1095</v>
      </c>
    </row>
    <row r="651" spans="1:10" ht="15.75" customHeight="1">
      <c r="A651" s="26" t="s">
        <v>742</v>
      </c>
      <c r="B651" s="29">
        <v>26</v>
      </c>
      <c r="C651" s="26" t="s">
        <v>53</v>
      </c>
      <c r="D651" s="26" t="s">
        <v>60</v>
      </c>
      <c r="E651" s="27" t="s">
        <v>55</v>
      </c>
      <c r="F651" s="26" t="s">
        <v>134</v>
      </c>
      <c r="G651" s="59">
        <v>6509690</v>
      </c>
      <c r="H651" s="29">
        <v>7</v>
      </c>
      <c r="I651" s="26" t="s">
        <v>57</v>
      </c>
      <c r="J651" s="26" t="s">
        <v>1095</v>
      </c>
    </row>
    <row r="652" spans="1:10" ht="15.75" customHeight="1">
      <c r="A652" s="26" t="s">
        <v>743</v>
      </c>
      <c r="B652" s="29">
        <v>50</v>
      </c>
      <c r="C652" s="26" t="s">
        <v>53</v>
      </c>
      <c r="D652" s="26" t="s">
        <v>54</v>
      </c>
      <c r="E652" s="27" t="s">
        <v>78</v>
      </c>
      <c r="F652" s="26" t="s">
        <v>109</v>
      </c>
      <c r="G652" s="59">
        <v>4032170</v>
      </c>
      <c r="H652" s="29">
        <v>5</v>
      </c>
      <c r="I652" s="26" t="s">
        <v>57</v>
      </c>
      <c r="J652" s="26" t="s">
        <v>1095</v>
      </c>
    </row>
    <row r="653" spans="1:10" ht="15.75" customHeight="1">
      <c r="A653" s="26" t="s">
        <v>744</v>
      </c>
      <c r="B653" s="29">
        <v>36</v>
      </c>
      <c r="C653" s="26" t="s">
        <v>53</v>
      </c>
      <c r="D653" s="26" t="s">
        <v>54</v>
      </c>
      <c r="E653" s="27" t="s">
        <v>65</v>
      </c>
      <c r="F653" s="26" t="s">
        <v>109</v>
      </c>
      <c r="G653" s="59">
        <v>5718105</v>
      </c>
      <c r="H653" s="29">
        <v>10</v>
      </c>
      <c r="I653" s="26" t="s">
        <v>60</v>
      </c>
      <c r="J653" s="26" t="s">
        <v>1096</v>
      </c>
    </row>
    <row r="654" spans="1:10" ht="15.75" customHeight="1">
      <c r="A654" s="26" t="s">
        <v>745</v>
      </c>
      <c r="B654" s="29">
        <v>32</v>
      </c>
      <c r="C654" s="26" t="s">
        <v>59</v>
      </c>
      <c r="D654" s="26" t="s">
        <v>54</v>
      </c>
      <c r="E654" s="27" t="s">
        <v>55</v>
      </c>
      <c r="F654" s="26" t="s">
        <v>69</v>
      </c>
      <c r="G654" s="59">
        <v>1554960</v>
      </c>
      <c r="H654" s="29">
        <v>2</v>
      </c>
      <c r="I654" s="26" t="s">
        <v>67</v>
      </c>
      <c r="J654" s="26" t="s">
        <v>1096</v>
      </c>
    </row>
    <row r="655" spans="1:10" ht="15.75" customHeight="1">
      <c r="A655" s="26" t="s">
        <v>746</v>
      </c>
      <c r="B655" s="29">
        <v>34</v>
      </c>
      <c r="C655" s="26" t="s">
        <v>59</v>
      </c>
      <c r="D655" s="26" t="s">
        <v>60</v>
      </c>
      <c r="E655" s="27" t="s">
        <v>73</v>
      </c>
      <c r="F655" s="26" t="s">
        <v>62</v>
      </c>
      <c r="G655" s="59">
        <v>1671210</v>
      </c>
      <c r="H655" s="29">
        <v>7</v>
      </c>
      <c r="I655" s="26" t="s">
        <v>60</v>
      </c>
      <c r="J655" s="26" t="s">
        <v>1096</v>
      </c>
    </row>
    <row r="656" spans="1:10" ht="15.75" customHeight="1">
      <c r="A656" s="26" t="s">
        <v>747</v>
      </c>
      <c r="B656" s="29">
        <v>50</v>
      </c>
      <c r="C656" s="26" t="s">
        <v>59</v>
      </c>
      <c r="D656" s="26" t="s">
        <v>54</v>
      </c>
      <c r="E656" s="27" t="s">
        <v>73</v>
      </c>
      <c r="F656" s="26" t="s">
        <v>102</v>
      </c>
      <c r="G656" s="59">
        <v>1300140</v>
      </c>
      <c r="H656" s="29">
        <v>11</v>
      </c>
      <c r="I656" s="26" t="s">
        <v>63</v>
      </c>
      <c r="J656" s="26" t="s">
        <v>1095</v>
      </c>
    </row>
    <row r="657" spans="1:10" ht="15.75" customHeight="1">
      <c r="A657" s="26" t="s">
        <v>748</v>
      </c>
      <c r="B657" s="29">
        <v>24</v>
      </c>
      <c r="C657" s="26" t="s">
        <v>53</v>
      </c>
      <c r="D657" s="26" t="s">
        <v>54</v>
      </c>
      <c r="E657" s="27" t="s">
        <v>55</v>
      </c>
      <c r="F657" s="26" t="s">
        <v>1094</v>
      </c>
      <c r="G657" s="59">
        <v>1259375</v>
      </c>
      <c r="H657" s="29">
        <v>9</v>
      </c>
      <c r="I657" s="26" t="s">
        <v>67</v>
      </c>
      <c r="J657" s="26" t="s">
        <v>1095</v>
      </c>
    </row>
    <row r="658" spans="1:10" ht="15.75" customHeight="1">
      <c r="A658" s="26" t="s">
        <v>749</v>
      </c>
      <c r="B658" s="29">
        <v>49</v>
      </c>
      <c r="C658" s="26" t="s">
        <v>59</v>
      </c>
      <c r="D658" s="26" t="s">
        <v>54</v>
      </c>
      <c r="E658" s="27" t="s">
        <v>61</v>
      </c>
      <c r="F658" s="26" t="s">
        <v>69</v>
      </c>
      <c r="G658" s="59">
        <v>1949900</v>
      </c>
      <c r="H658" s="29">
        <v>12</v>
      </c>
      <c r="I658" s="26" t="s">
        <v>57</v>
      </c>
      <c r="J658" s="26" t="s">
        <v>1096</v>
      </c>
    </row>
    <row r="659" spans="1:10" ht="15.75" customHeight="1">
      <c r="A659" s="26" t="s">
        <v>750</v>
      </c>
      <c r="B659" s="29">
        <v>18</v>
      </c>
      <c r="C659" s="26" t="s">
        <v>53</v>
      </c>
      <c r="D659" s="26" t="s">
        <v>54</v>
      </c>
      <c r="E659" s="27" t="s">
        <v>85</v>
      </c>
      <c r="F659" s="26" t="s">
        <v>113</v>
      </c>
      <c r="G659" s="59">
        <v>3067450</v>
      </c>
      <c r="H659" s="29">
        <v>11</v>
      </c>
      <c r="I659" s="26" t="s">
        <v>63</v>
      </c>
      <c r="J659" s="26" t="s">
        <v>1095</v>
      </c>
    </row>
    <row r="660" spans="1:10" ht="15.75" customHeight="1">
      <c r="A660" s="26" t="s">
        <v>751</v>
      </c>
      <c r="B660" s="29">
        <v>44</v>
      </c>
      <c r="C660" s="26" t="s">
        <v>59</v>
      </c>
      <c r="D660" s="26" t="s">
        <v>60</v>
      </c>
      <c r="E660" s="27" t="s">
        <v>61</v>
      </c>
      <c r="F660" s="26" t="s">
        <v>1094</v>
      </c>
      <c r="G660" s="59">
        <v>4635895</v>
      </c>
      <c r="H660" s="29">
        <v>8</v>
      </c>
      <c r="I660" s="26" t="s">
        <v>60</v>
      </c>
      <c r="J660" s="26" t="s">
        <v>1096</v>
      </c>
    </row>
    <row r="661" spans="1:10" ht="15.75" customHeight="1">
      <c r="A661" s="26" t="s">
        <v>752</v>
      </c>
      <c r="B661" s="29">
        <v>41</v>
      </c>
      <c r="C661" s="26" t="s">
        <v>59</v>
      </c>
      <c r="D661" s="26" t="s">
        <v>60</v>
      </c>
      <c r="E661" s="27" t="s">
        <v>55</v>
      </c>
      <c r="F661" s="26" t="s">
        <v>1094</v>
      </c>
      <c r="G661" s="59">
        <v>1229150</v>
      </c>
      <c r="H661" s="29">
        <v>10</v>
      </c>
      <c r="I661" s="26" t="s">
        <v>67</v>
      </c>
      <c r="J661" s="26" t="s">
        <v>1096</v>
      </c>
    </row>
    <row r="662" spans="1:10" ht="15.75" customHeight="1">
      <c r="A662" s="26" t="s">
        <v>753</v>
      </c>
      <c r="B662" s="29">
        <v>33</v>
      </c>
      <c r="C662" s="26" t="s">
        <v>59</v>
      </c>
      <c r="D662" s="26" t="s">
        <v>60</v>
      </c>
      <c r="E662" s="27" t="s">
        <v>61</v>
      </c>
      <c r="F662" s="26" t="s">
        <v>76</v>
      </c>
      <c r="G662" s="59">
        <v>863815</v>
      </c>
      <c r="H662" s="29">
        <v>12</v>
      </c>
      <c r="I662" s="26" t="s">
        <v>63</v>
      </c>
      <c r="J662" s="26" t="s">
        <v>1096</v>
      </c>
    </row>
    <row r="663" spans="1:10" ht="15.75" customHeight="1">
      <c r="A663" s="26" t="s">
        <v>754</v>
      </c>
      <c r="B663" s="29">
        <v>46</v>
      </c>
      <c r="C663" s="26" t="s">
        <v>59</v>
      </c>
      <c r="D663" s="26" t="s">
        <v>60</v>
      </c>
      <c r="E663" s="27" t="s">
        <v>85</v>
      </c>
      <c r="F663" s="26" t="s">
        <v>100</v>
      </c>
      <c r="G663" s="59">
        <v>3974820</v>
      </c>
      <c r="H663" s="29">
        <v>8</v>
      </c>
      <c r="I663" s="26" t="s">
        <v>60</v>
      </c>
      <c r="J663" s="26" t="s">
        <v>1096</v>
      </c>
    </row>
    <row r="664" spans="1:10" ht="15.75" customHeight="1">
      <c r="A664" s="26" t="s">
        <v>755</v>
      </c>
      <c r="B664" s="29">
        <v>23</v>
      </c>
      <c r="C664" s="26" t="s">
        <v>53</v>
      </c>
      <c r="D664" s="26" t="s">
        <v>60</v>
      </c>
      <c r="E664" s="27" t="s">
        <v>78</v>
      </c>
      <c r="F664" s="26" t="s">
        <v>104</v>
      </c>
      <c r="G664" s="59">
        <v>5226755</v>
      </c>
      <c r="H664" s="29">
        <v>12</v>
      </c>
      <c r="I664" s="26" t="s">
        <v>67</v>
      </c>
      <c r="J664" s="26" t="s">
        <v>1095</v>
      </c>
    </row>
    <row r="665" spans="1:10" ht="15.75" customHeight="1">
      <c r="A665" s="26" t="s">
        <v>756</v>
      </c>
      <c r="B665" s="29">
        <v>35</v>
      </c>
      <c r="C665" s="26" t="s">
        <v>53</v>
      </c>
      <c r="D665" s="26" t="s">
        <v>60</v>
      </c>
      <c r="E665" s="27" t="s">
        <v>78</v>
      </c>
      <c r="F665" s="26" t="s">
        <v>100</v>
      </c>
      <c r="G665" s="59">
        <v>7672035</v>
      </c>
      <c r="H665" s="29">
        <v>12</v>
      </c>
      <c r="I665" s="26" t="s">
        <v>67</v>
      </c>
      <c r="J665" s="26" t="s">
        <v>1096</v>
      </c>
    </row>
    <row r="666" spans="1:10" ht="15.75" customHeight="1">
      <c r="A666" s="26" t="s">
        <v>757</v>
      </c>
      <c r="B666" s="29">
        <v>31</v>
      </c>
      <c r="C666" s="26" t="s">
        <v>53</v>
      </c>
      <c r="D666" s="26" t="s">
        <v>54</v>
      </c>
      <c r="E666" s="27" t="s">
        <v>85</v>
      </c>
      <c r="F666" s="26" t="s">
        <v>109</v>
      </c>
      <c r="G666" s="59">
        <v>3697990</v>
      </c>
      <c r="H666" s="29">
        <v>6</v>
      </c>
      <c r="I666" s="26" t="s">
        <v>63</v>
      </c>
      <c r="J666" s="26" t="s">
        <v>1095</v>
      </c>
    </row>
    <row r="667" spans="1:10" ht="15.75" customHeight="1">
      <c r="A667" s="26" t="s">
        <v>758</v>
      </c>
      <c r="B667" s="29">
        <v>20</v>
      </c>
      <c r="C667" s="26" t="s">
        <v>53</v>
      </c>
      <c r="D667" s="26" t="s">
        <v>60</v>
      </c>
      <c r="E667" s="27" t="s">
        <v>65</v>
      </c>
      <c r="F667" s="26" t="s">
        <v>80</v>
      </c>
      <c r="G667" s="59">
        <v>2044450</v>
      </c>
      <c r="H667" s="29">
        <v>8</v>
      </c>
      <c r="I667" s="26" t="s">
        <v>57</v>
      </c>
      <c r="J667" s="26" t="s">
        <v>1095</v>
      </c>
    </row>
    <row r="668" spans="1:10" ht="15.75" customHeight="1">
      <c r="A668" s="26" t="s">
        <v>759</v>
      </c>
      <c r="B668" s="29">
        <v>49</v>
      </c>
      <c r="C668" s="26" t="s">
        <v>53</v>
      </c>
      <c r="D668" s="26" t="s">
        <v>54</v>
      </c>
      <c r="E668" s="27" t="s">
        <v>61</v>
      </c>
      <c r="F668" s="26" t="s">
        <v>62</v>
      </c>
      <c r="G668" s="59">
        <v>6246965</v>
      </c>
      <c r="H668" s="29">
        <v>12</v>
      </c>
      <c r="I668" s="26" t="s">
        <v>63</v>
      </c>
      <c r="J668" s="26" t="s">
        <v>1095</v>
      </c>
    </row>
    <row r="669" spans="1:10" ht="15.75" customHeight="1">
      <c r="A669" s="26" t="s">
        <v>760</v>
      </c>
      <c r="B669" s="29">
        <v>26</v>
      </c>
      <c r="C669" s="26" t="s">
        <v>53</v>
      </c>
      <c r="D669" s="26" t="s">
        <v>60</v>
      </c>
      <c r="E669" s="27" t="s">
        <v>65</v>
      </c>
      <c r="F669" s="26" t="s">
        <v>113</v>
      </c>
      <c r="G669" s="59">
        <v>5248300</v>
      </c>
      <c r="H669" s="29">
        <v>10</v>
      </c>
      <c r="I669" s="26" t="s">
        <v>63</v>
      </c>
      <c r="J669" s="26" t="s">
        <v>1096</v>
      </c>
    </row>
    <row r="670" spans="1:10" ht="15.75" customHeight="1">
      <c r="A670" s="26" t="s">
        <v>761</v>
      </c>
      <c r="B670" s="29">
        <v>36</v>
      </c>
      <c r="C670" s="26" t="s">
        <v>59</v>
      </c>
      <c r="D670" s="26" t="s">
        <v>54</v>
      </c>
      <c r="E670" s="27" t="s">
        <v>65</v>
      </c>
      <c r="F670" s="26" t="s">
        <v>71</v>
      </c>
      <c r="G670" s="59">
        <v>5663390</v>
      </c>
      <c r="H670" s="29">
        <v>0</v>
      </c>
      <c r="I670" s="26" t="s">
        <v>60</v>
      </c>
      <c r="J670" s="26" t="s">
        <v>1096</v>
      </c>
    </row>
    <row r="671" spans="1:10" ht="15.75" customHeight="1">
      <c r="A671" s="26" t="s">
        <v>762</v>
      </c>
      <c r="B671" s="29">
        <v>21</v>
      </c>
      <c r="C671" s="26" t="s">
        <v>59</v>
      </c>
      <c r="D671" s="26" t="s">
        <v>54</v>
      </c>
      <c r="E671" s="27" t="s">
        <v>85</v>
      </c>
      <c r="F671" s="26" t="s">
        <v>80</v>
      </c>
      <c r="G671" s="59">
        <v>6726845</v>
      </c>
      <c r="H671" s="29">
        <v>11</v>
      </c>
      <c r="I671" s="26" t="s">
        <v>60</v>
      </c>
      <c r="J671" s="26" t="s">
        <v>1096</v>
      </c>
    </row>
    <row r="672" spans="1:10" ht="15.75" customHeight="1">
      <c r="A672" s="26" t="s">
        <v>763</v>
      </c>
      <c r="B672" s="29">
        <v>35</v>
      </c>
      <c r="C672" s="26" t="s">
        <v>53</v>
      </c>
      <c r="D672" s="26" t="s">
        <v>54</v>
      </c>
      <c r="E672" s="27" t="s">
        <v>55</v>
      </c>
      <c r="F672" s="26" t="s">
        <v>90</v>
      </c>
      <c r="G672" s="59">
        <v>7687225</v>
      </c>
      <c r="H672" s="29">
        <v>5</v>
      </c>
      <c r="I672" s="26" t="s">
        <v>60</v>
      </c>
      <c r="J672" s="26" t="s">
        <v>1096</v>
      </c>
    </row>
    <row r="673" spans="1:10" ht="15.75" customHeight="1">
      <c r="A673" s="26" t="s">
        <v>764</v>
      </c>
      <c r="B673" s="29">
        <v>41</v>
      </c>
      <c r="C673" s="26" t="s">
        <v>59</v>
      </c>
      <c r="D673" s="26" t="s">
        <v>60</v>
      </c>
      <c r="E673" s="27" t="s">
        <v>73</v>
      </c>
      <c r="F673" s="26" t="s">
        <v>102</v>
      </c>
      <c r="G673" s="59">
        <v>5521410</v>
      </c>
      <c r="H673" s="29">
        <v>7</v>
      </c>
      <c r="I673" s="26" t="s">
        <v>63</v>
      </c>
      <c r="J673" s="26" t="s">
        <v>1096</v>
      </c>
    </row>
    <row r="674" spans="1:10" ht="15.75" customHeight="1">
      <c r="A674" s="26" t="s">
        <v>765</v>
      </c>
      <c r="B674" s="29">
        <v>22</v>
      </c>
      <c r="C674" s="26" t="s">
        <v>59</v>
      </c>
      <c r="D674" s="26" t="s">
        <v>60</v>
      </c>
      <c r="E674" s="27" t="s">
        <v>55</v>
      </c>
      <c r="F674" s="26" t="s">
        <v>113</v>
      </c>
      <c r="G674" s="59">
        <v>2424200</v>
      </c>
      <c r="H674" s="29">
        <v>7</v>
      </c>
      <c r="I674" s="26" t="s">
        <v>67</v>
      </c>
      <c r="J674" s="26" t="s">
        <v>1096</v>
      </c>
    </row>
    <row r="675" spans="1:10" ht="15.75" customHeight="1">
      <c r="A675" s="26" t="s">
        <v>766</v>
      </c>
      <c r="B675" s="29">
        <v>42</v>
      </c>
      <c r="C675" s="26" t="s">
        <v>59</v>
      </c>
      <c r="D675" s="26" t="s">
        <v>54</v>
      </c>
      <c r="E675" s="27" t="s">
        <v>78</v>
      </c>
      <c r="F675" s="26" t="s">
        <v>80</v>
      </c>
      <c r="G675" s="59">
        <v>7042580</v>
      </c>
      <c r="H675" s="29">
        <v>3</v>
      </c>
      <c r="I675" s="26" t="s">
        <v>67</v>
      </c>
      <c r="J675" s="26" t="s">
        <v>1095</v>
      </c>
    </row>
    <row r="676" spans="1:10" ht="15.75" customHeight="1">
      <c r="A676" s="26" t="s">
        <v>767</v>
      </c>
      <c r="B676" s="29">
        <v>50</v>
      </c>
      <c r="C676" s="26" t="s">
        <v>59</v>
      </c>
      <c r="D676" s="26" t="s">
        <v>60</v>
      </c>
      <c r="E676" s="27" t="s">
        <v>61</v>
      </c>
      <c r="F676" s="26" t="s">
        <v>100</v>
      </c>
      <c r="G676" s="59">
        <v>7534085</v>
      </c>
      <c r="H676" s="29">
        <v>11</v>
      </c>
      <c r="I676" s="26" t="s">
        <v>63</v>
      </c>
      <c r="J676" s="26" t="s">
        <v>1096</v>
      </c>
    </row>
    <row r="677" spans="1:10" ht="15.75" customHeight="1">
      <c r="A677" s="26" t="s">
        <v>768</v>
      </c>
      <c r="B677" s="29">
        <v>30</v>
      </c>
      <c r="C677" s="26" t="s">
        <v>53</v>
      </c>
      <c r="D677" s="26" t="s">
        <v>60</v>
      </c>
      <c r="E677" s="27" t="s">
        <v>61</v>
      </c>
      <c r="F677" s="26" t="s">
        <v>1093</v>
      </c>
      <c r="G677" s="59">
        <v>6631830</v>
      </c>
      <c r="H677" s="29">
        <v>11</v>
      </c>
      <c r="I677" s="26" t="s">
        <v>63</v>
      </c>
      <c r="J677" s="26" t="s">
        <v>1095</v>
      </c>
    </row>
    <row r="678" spans="1:10" ht="15.75" customHeight="1">
      <c r="A678" s="26" t="s">
        <v>769</v>
      </c>
      <c r="B678" s="29">
        <v>49</v>
      </c>
      <c r="C678" s="26" t="s">
        <v>53</v>
      </c>
      <c r="D678" s="26" t="s">
        <v>60</v>
      </c>
      <c r="E678" s="27" t="s">
        <v>55</v>
      </c>
      <c r="F678" s="26" t="s">
        <v>137</v>
      </c>
      <c r="G678" s="59">
        <v>3644515</v>
      </c>
      <c r="H678" s="29">
        <v>10</v>
      </c>
      <c r="I678" s="26" t="s">
        <v>63</v>
      </c>
      <c r="J678" s="26" t="s">
        <v>1095</v>
      </c>
    </row>
    <row r="679" spans="1:10" ht="15.75" customHeight="1">
      <c r="A679" s="26" t="s">
        <v>770</v>
      </c>
      <c r="B679" s="29">
        <v>40</v>
      </c>
      <c r="C679" s="26" t="s">
        <v>53</v>
      </c>
      <c r="D679" s="26" t="s">
        <v>54</v>
      </c>
      <c r="E679" s="27" t="s">
        <v>78</v>
      </c>
      <c r="F679" s="26" t="s">
        <v>121</v>
      </c>
      <c r="G679" s="59">
        <v>5599685</v>
      </c>
      <c r="H679" s="29">
        <v>4</v>
      </c>
      <c r="I679" s="26" t="s">
        <v>57</v>
      </c>
      <c r="J679" s="26" t="s">
        <v>1095</v>
      </c>
    </row>
    <row r="680" spans="1:10" ht="15.75" customHeight="1">
      <c r="A680" s="26" t="s">
        <v>771</v>
      </c>
      <c r="B680" s="29">
        <v>38</v>
      </c>
      <c r="C680" s="26" t="s">
        <v>53</v>
      </c>
      <c r="D680" s="26" t="s">
        <v>54</v>
      </c>
      <c r="E680" s="27" t="s">
        <v>65</v>
      </c>
      <c r="F680" s="26" t="s">
        <v>71</v>
      </c>
      <c r="G680" s="59">
        <v>3035365</v>
      </c>
      <c r="H680" s="29">
        <v>10</v>
      </c>
      <c r="I680" s="26" t="s">
        <v>57</v>
      </c>
      <c r="J680" s="26" t="s">
        <v>1095</v>
      </c>
    </row>
    <row r="681" spans="1:10" ht="15.75" customHeight="1">
      <c r="A681" s="26" t="s">
        <v>772</v>
      </c>
      <c r="B681" s="29">
        <v>21</v>
      </c>
      <c r="C681" s="26" t="s">
        <v>59</v>
      </c>
      <c r="D681" s="26" t="s">
        <v>60</v>
      </c>
      <c r="E681" s="27" t="s">
        <v>85</v>
      </c>
      <c r="F681" s="26" t="s">
        <v>80</v>
      </c>
      <c r="G681" s="59">
        <v>5274805</v>
      </c>
      <c r="H681" s="29">
        <v>10</v>
      </c>
      <c r="I681" s="26" t="s">
        <v>67</v>
      </c>
      <c r="J681" s="26" t="s">
        <v>1096</v>
      </c>
    </row>
    <row r="682" spans="1:10" ht="15.75" customHeight="1">
      <c r="A682" s="26" t="s">
        <v>773</v>
      </c>
      <c r="B682" s="29">
        <v>40</v>
      </c>
      <c r="C682" s="26" t="s">
        <v>59</v>
      </c>
      <c r="D682" s="26" t="s">
        <v>60</v>
      </c>
      <c r="E682" s="27" t="s">
        <v>85</v>
      </c>
      <c r="F682" s="26" t="s">
        <v>88</v>
      </c>
      <c r="G682" s="59">
        <v>7589885</v>
      </c>
      <c r="H682" s="29">
        <v>5</v>
      </c>
      <c r="I682" s="26" t="s">
        <v>57</v>
      </c>
      <c r="J682" s="26" t="s">
        <v>1096</v>
      </c>
    </row>
    <row r="683" spans="1:10" ht="15.75" customHeight="1">
      <c r="A683" s="26" t="s">
        <v>774</v>
      </c>
      <c r="B683" s="29">
        <v>26</v>
      </c>
      <c r="C683" s="26" t="s">
        <v>59</v>
      </c>
      <c r="D683" s="26" t="s">
        <v>60</v>
      </c>
      <c r="E683" s="27" t="s">
        <v>85</v>
      </c>
      <c r="F683" s="26" t="s">
        <v>82</v>
      </c>
      <c r="G683" s="59">
        <v>7478750</v>
      </c>
      <c r="H683" s="29">
        <v>11</v>
      </c>
      <c r="I683" s="26" t="s">
        <v>57</v>
      </c>
      <c r="J683" s="26" t="s">
        <v>1095</v>
      </c>
    </row>
    <row r="684" spans="1:10" ht="15.75" customHeight="1">
      <c r="A684" s="26" t="s">
        <v>775</v>
      </c>
      <c r="B684" s="29">
        <v>32</v>
      </c>
      <c r="C684" s="26" t="s">
        <v>53</v>
      </c>
      <c r="D684" s="26" t="s">
        <v>54</v>
      </c>
      <c r="E684" s="27" t="s">
        <v>55</v>
      </c>
      <c r="F684" s="26" t="s">
        <v>167</v>
      </c>
      <c r="G684" s="59">
        <v>6713670</v>
      </c>
      <c r="H684" s="29">
        <v>10</v>
      </c>
      <c r="I684" s="26" t="s">
        <v>63</v>
      </c>
      <c r="J684" s="26" t="s">
        <v>1096</v>
      </c>
    </row>
    <row r="685" spans="1:10" ht="15.75" customHeight="1">
      <c r="A685" s="26" t="s">
        <v>776</v>
      </c>
      <c r="B685" s="29">
        <v>47</v>
      </c>
      <c r="C685" s="26" t="s">
        <v>53</v>
      </c>
      <c r="D685" s="26" t="s">
        <v>54</v>
      </c>
      <c r="E685" s="27" t="s">
        <v>78</v>
      </c>
      <c r="F685" s="26" t="s">
        <v>167</v>
      </c>
      <c r="G685" s="59">
        <v>5823350</v>
      </c>
      <c r="H685" s="29">
        <v>6</v>
      </c>
      <c r="I685" s="26" t="s">
        <v>67</v>
      </c>
      <c r="J685" s="26" t="s">
        <v>1095</v>
      </c>
    </row>
    <row r="686" spans="1:10" ht="15.75" customHeight="1">
      <c r="A686" s="26" t="s">
        <v>777</v>
      </c>
      <c r="B686" s="29">
        <v>21</v>
      </c>
      <c r="C686" s="26" t="s">
        <v>59</v>
      </c>
      <c r="D686" s="26" t="s">
        <v>54</v>
      </c>
      <c r="E686" s="27" t="s">
        <v>65</v>
      </c>
      <c r="F686" s="26" t="s">
        <v>1094</v>
      </c>
      <c r="G686" s="59">
        <v>5910150</v>
      </c>
      <c r="H686" s="29">
        <v>12</v>
      </c>
      <c r="I686" s="26" t="s">
        <v>60</v>
      </c>
      <c r="J686" s="26" t="s">
        <v>1096</v>
      </c>
    </row>
    <row r="687" spans="1:10" ht="15.75" customHeight="1">
      <c r="A687" s="26" t="s">
        <v>778</v>
      </c>
      <c r="B687" s="29">
        <v>34</v>
      </c>
      <c r="C687" s="26" t="s">
        <v>59</v>
      </c>
      <c r="D687" s="26" t="s">
        <v>60</v>
      </c>
      <c r="E687" s="27" t="s">
        <v>61</v>
      </c>
      <c r="F687" s="26" t="s">
        <v>98</v>
      </c>
      <c r="G687" s="59">
        <v>3258255</v>
      </c>
      <c r="H687" s="29">
        <v>4</v>
      </c>
      <c r="I687" s="26" t="s">
        <v>60</v>
      </c>
      <c r="J687" s="26" t="s">
        <v>1096</v>
      </c>
    </row>
    <row r="688" spans="1:10" ht="15.75" customHeight="1">
      <c r="A688" s="26" t="s">
        <v>779</v>
      </c>
      <c r="B688" s="29">
        <v>29</v>
      </c>
      <c r="C688" s="26" t="s">
        <v>59</v>
      </c>
      <c r="D688" s="26" t="s">
        <v>54</v>
      </c>
      <c r="E688" s="27" t="s">
        <v>85</v>
      </c>
      <c r="F688" s="26" t="s">
        <v>113</v>
      </c>
      <c r="G688" s="59">
        <v>6336555</v>
      </c>
      <c r="H688" s="29">
        <v>8</v>
      </c>
      <c r="I688" s="26" t="s">
        <v>67</v>
      </c>
      <c r="J688" s="26" t="s">
        <v>1096</v>
      </c>
    </row>
    <row r="689" spans="1:10" ht="15.75" customHeight="1">
      <c r="A689" s="26" t="s">
        <v>780</v>
      </c>
      <c r="B689" s="29">
        <v>20</v>
      </c>
      <c r="C689" s="26" t="s">
        <v>53</v>
      </c>
      <c r="D689" s="26" t="s">
        <v>54</v>
      </c>
      <c r="E689" s="27" t="s">
        <v>61</v>
      </c>
      <c r="F689" s="26" t="s">
        <v>167</v>
      </c>
      <c r="G689" s="59">
        <v>1839075</v>
      </c>
      <c r="H689" s="29">
        <v>10</v>
      </c>
      <c r="I689" s="26" t="s">
        <v>67</v>
      </c>
      <c r="J689" s="26" t="s">
        <v>1095</v>
      </c>
    </row>
    <row r="690" spans="1:10" ht="15.75" customHeight="1">
      <c r="A690" s="26" t="s">
        <v>781</v>
      </c>
      <c r="B690" s="29">
        <v>50</v>
      </c>
      <c r="C690" s="26" t="s">
        <v>59</v>
      </c>
      <c r="D690" s="26" t="s">
        <v>60</v>
      </c>
      <c r="E690" s="27" t="s">
        <v>55</v>
      </c>
      <c r="F690" s="26" t="s">
        <v>100</v>
      </c>
      <c r="G690" s="59">
        <v>2579975</v>
      </c>
      <c r="H690" s="29">
        <v>7</v>
      </c>
      <c r="I690" s="26" t="s">
        <v>67</v>
      </c>
      <c r="J690" s="26" t="s">
        <v>1095</v>
      </c>
    </row>
    <row r="691" spans="1:10" ht="15.75" customHeight="1">
      <c r="A691" s="26" t="s">
        <v>782</v>
      </c>
      <c r="B691" s="29">
        <v>29</v>
      </c>
      <c r="C691" s="26" t="s">
        <v>53</v>
      </c>
      <c r="D691" s="26" t="s">
        <v>54</v>
      </c>
      <c r="E691" s="27" t="s">
        <v>78</v>
      </c>
      <c r="F691" s="26" t="s">
        <v>1094</v>
      </c>
      <c r="G691" s="59">
        <v>5972460</v>
      </c>
      <c r="H691" s="29">
        <v>10</v>
      </c>
      <c r="I691" s="26" t="s">
        <v>67</v>
      </c>
      <c r="J691" s="26" t="s">
        <v>1095</v>
      </c>
    </row>
    <row r="692" spans="1:10" ht="15.75" customHeight="1">
      <c r="A692" s="26" t="s">
        <v>783</v>
      </c>
      <c r="B692" s="29">
        <v>25</v>
      </c>
      <c r="C692" s="26" t="s">
        <v>53</v>
      </c>
      <c r="D692" s="26" t="s">
        <v>54</v>
      </c>
      <c r="E692" s="27" t="s">
        <v>61</v>
      </c>
      <c r="F692" s="26" t="s">
        <v>82</v>
      </c>
      <c r="G692" s="59">
        <v>4556845</v>
      </c>
      <c r="H692" s="29">
        <v>10</v>
      </c>
      <c r="I692" s="26" t="s">
        <v>57</v>
      </c>
      <c r="J692" s="26" t="s">
        <v>1096</v>
      </c>
    </row>
    <row r="693" spans="1:10" ht="15.75" customHeight="1">
      <c r="A693" s="26" t="s">
        <v>784</v>
      </c>
      <c r="B693" s="29">
        <v>37</v>
      </c>
      <c r="C693" s="26" t="s">
        <v>59</v>
      </c>
      <c r="D693" s="26" t="s">
        <v>54</v>
      </c>
      <c r="E693" s="27" t="s">
        <v>61</v>
      </c>
      <c r="F693" s="26" t="s">
        <v>104</v>
      </c>
      <c r="G693" s="59">
        <v>2501855</v>
      </c>
      <c r="H693" s="29">
        <v>9</v>
      </c>
      <c r="I693" s="26" t="s">
        <v>67</v>
      </c>
      <c r="J693" s="26" t="s">
        <v>1095</v>
      </c>
    </row>
    <row r="694" spans="1:10" ht="15.75" customHeight="1">
      <c r="A694" s="26" t="s">
        <v>785</v>
      </c>
      <c r="B694" s="29">
        <v>39</v>
      </c>
      <c r="C694" s="26" t="s">
        <v>59</v>
      </c>
      <c r="D694" s="26" t="s">
        <v>54</v>
      </c>
      <c r="E694" s="27" t="s">
        <v>78</v>
      </c>
      <c r="F694" s="26" t="s">
        <v>121</v>
      </c>
      <c r="G694" s="59">
        <v>2029260</v>
      </c>
      <c r="H694" s="29">
        <v>2</v>
      </c>
      <c r="I694" s="26" t="s">
        <v>60</v>
      </c>
      <c r="J694" s="26" t="s">
        <v>1095</v>
      </c>
    </row>
    <row r="695" spans="1:10" ht="15.75" customHeight="1">
      <c r="A695" s="26" t="s">
        <v>786</v>
      </c>
      <c r="B695" s="29">
        <v>48</v>
      </c>
      <c r="C695" s="26" t="s">
        <v>53</v>
      </c>
      <c r="D695" s="26" t="s">
        <v>54</v>
      </c>
      <c r="E695" s="27" t="s">
        <v>65</v>
      </c>
      <c r="F695" s="26" t="s">
        <v>104</v>
      </c>
      <c r="G695" s="59">
        <v>7263300</v>
      </c>
      <c r="H695" s="29">
        <v>4</v>
      </c>
      <c r="I695" s="26" t="s">
        <v>63</v>
      </c>
      <c r="J695" s="26" t="s">
        <v>1096</v>
      </c>
    </row>
    <row r="696" spans="1:10" ht="15.75" customHeight="1">
      <c r="A696" s="26" t="s">
        <v>787</v>
      </c>
      <c r="B696" s="29">
        <v>47</v>
      </c>
      <c r="C696" s="26" t="s">
        <v>59</v>
      </c>
      <c r="D696" s="26" t="s">
        <v>60</v>
      </c>
      <c r="E696" s="27" t="s">
        <v>61</v>
      </c>
      <c r="F696" s="26" t="s">
        <v>104</v>
      </c>
      <c r="G696" s="59">
        <v>3682335</v>
      </c>
      <c r="H696" s="29">
        <v>0</v>
      </c>
      <c r="I696" s="26" t="s">
        <v>63</v>
      </c>
      <c r="J696" s="26" t="s">
        <v>1095</v>
      </c>
    </row>
    <row r="697" spans="1:10" ht="15.75" customHeight="1">
      <c r="A697" s="26" t="s">
        <v>788</v>
      </c>
      <c r="B697" s="29">
        <v>50</v>
      </c>
      <c r="C697" s="26" t="s">
        <v>53</v>
      </c>
      <c r="D697" s="26" t="s">
        <v>54</v>
      </c>
      <c r="E697" s="27" t="s">
        <v>61</v>
      </c>
      <c r="F697" s="26" t="s">
        <v>71</v>
      </c>
      <c r="G697" s="59">
        <v>6125290</v>
      </c>
      <c r="H697" s="29">
        <v>5</v>
      </c>
      <c r="I697" s="26" t="s">
        <v>57</v>
      </c>
      <c r="J697" s="26" t="s">
        <v>1095</v>
      </c>
    </row>
    <row r="698" spans="1:10" ht="15.75" customHeight="1">
      <c r="A698" s="26" t="s">
        <v>789</v>
      </c>
      <c r="B698" s="29">
        <v>42</v>
      </c>
      <c r="C698" s="26" t="s">
        <v>59</v>
      </c>
      <c r="D698" s="26" t="s">
        <v>60</v>
      </c>
      <c r="E698" s="27" t="s">
        <v>78</v>
      </c>
      <c r="F698" s="26" t="s">
        <v>98</v>
      </c>
      <c r="G698" s="59">
        <v>6633070</v>
      </c>
      <c r="H698" s="29">
        <v>12</v>
      </c>
      <c r="I698" s="26" t="s">
        <v>60</v>
      </c>
      <c r="J698" s="26" t="s">
        <v>1096</v>
      </c>
    </row>
    <row r="699" spans="1:10" ht="15.75" customHeight="1">
      <c r="A699" s="26" t="s">
        <v>790</v>
      </c>
      <c r="B699" s="29">
        <v>28</v>
      </c>
      <c r="C699" s="26" t="s">
        <v>53</v>
      </c>
      <c r="D699" s="26" t="s">
        <v>60</v>
      </c>
      <c r="E699" s="27" t="s">
        <v>65</v>
      </c>
      <c r="F699" s="26" t="s">
        <v>92</v>
      </c>
      <c r="G699" s="59">
        <v>1259065</v>
      </c>
      <c r="H699" s="29">
        <v>9</v>
      </c>
      <c r="I699" s="26" t="s">
        <v>60</v>
      </c>
      <c r="J699" s="26" t="s">
        <v>1096</v>
      </c>
    </row>
    <row r="700" spans="1:10" ht="15.75" customHeight="1">
      <c r="A700" s="26" t="s">
        <v>791</v>
      </c>
      <c r="B700" s="29">
        <v>23</v>
      </c>
      <c r="C700" s="26" t="s">
        <v>59</v>
      </c>
      <c r="D700" s="26" t="s">
        <v>54</v>
      </c>
      <c r="E700" s="27" t="s">
        <v>55</v>
      </c>
      <c r="F700" s="26" t="s">
        <v>92</v>
      </c>
      <c r="G700" s="59">
        <v>3990165</v>
      </c>
      <c r="H700" s="29">
        <v>5</v>
      </c>
      <c r="I700" s="26" t="s">
        <v>67</v>
      </c>
      <c r="J700" s="26" t="s">
        <v>1095</v>
      </c>
    </row>
    <row r="701" spans="1:10" ht="15.75" customHeight="1">
      <c r="A701" s="26" t="s">
        <v>792</v>
      </c>
      <c r="B701" s="29">
        <v>42</v>
      </c>
      <c r="C701" s="26" t="s">
        <v>59</v>
      </c>
      <c r="D701" s="26" t="s">
        <v>60</v>
      </c>
      <c r="E701" s="27" t="s">
        <v>73</v>
      </c>
      <c r="F701" s="26" t="s">
        <v>109</v>
      </c>
      <c r="G701" s="59">
        <v>4738815</v>
      </c>
      <c r="H701" s="29">
        <v>7</v>
      </c>
      <c r="I701" s="26" t="s">
        <v>63</v>
      </c>
      <c r="J701" s="26" t="s">
        <v>1095</v>
      </c>
    </row>
    <row r="702" spans="1:10" ht="15.75" customHeight="1">
      <c r="A702" s="26" t="s">
        <v>793</v>
      </c>
      <c r="B702" s="29">
        <v>32</v>
      </c>
      <c r="C702" s="26" t="s">
        <v>59</v>
      </c>
      <c r="D702" s="26" t="s">
        <v>60</v>
      </c>
      <c r="E702" s="27" t="s">
        <v>55</v>
      </c>
      <c r="F702" s="26" t="s">
        <v>104</v>
      </c>
      <c r="G702" s="59">
        <v>3872210</v>
      </c>
      <c r="H702" s="29">
        <v>10</v>
      </c>
      <c r="I702" s="26" t="s">
        <v>60</v>
      </c>
      <c r="J702" s="26" t="s">
        <v>1095</v>
      </c>
    </row>
    <row r="703" spans="1:10" ht="15.75" customHeight="1">
      <c r="A703" s="26" t="s">
        <v>794</v>
      </c>
      <c r="B703" s="29">
        <v>33</v>
      </c>
      <c r="C703" s="26" t="s">
        <v>59</v>
      </c>
      <c r="D703" s="26" t="s">
        <v>54</v>
      </c>
      <c r="E703" s="27" t="s">
        <v>78</v>
      </c>
      <c r="F703" s="26" t="s">
        <v>88</v>
      </c>
      <c r="G703" s="59">
        <v>5158245</v>
      </c>
      <c r="H703" s="29">
        <v>11</v>
      </c>
      <c r="I703" s="26" t="s">
        <v>57</v>
      </c>
      <c r="J703" s="26" t="s">
        <v>1096</v>
      </c>
    </row>
    <row r="704" spans="1:10" ht="15.75" customHeight="1">
      <c r="A704" s="26" t="s">
        <v>795</v>
      </c>
      <c r="B704" s="29">
        <v>32</v>
      </c>
      <c r="C704" s="26" t="s">
        <v>59</v>
      </c>
      <c r="D704" s="26" t="s">
        <v>60</v>
      </c>
      <c r="E704" s="27" t="s">
        <v>73</v>
      </c>
      <c r="F704" s="26" t="s">
        <v>109</v>
      </c>
      <c r="G704" s="59">
        <v>1222950</v>
      </c>
      <c r="H704" s="29">
        <v>3</v>
      </c>
      <c r="I704" s="26" t="s">
        <v>67</v>
      </c>
      <c r="J704" s="26" t="s">
        <v>1096</v>
      </c>
    </row>
    <row r="705" spans="1:10" ht="15.75" customHeight="1">
      <c r="A705" s="26" t="s">
        <v>796</v>
      </c>
      <c r="B705" s="29">
        <v>29</v>
      </c>
      <c r="C705" s="26" t="s">
        <v>59</v>
      </c>
      <c r="D705" s="26" t="s">
        <v>60</v>
      </c>
      <c r="E705" s="27" t="s">
        <v>61</v>
      </c>
      <c r="F705" s="26" t="s">
        <v>90</v>
      </c>
      <c r="G705" s="59">
        <v>1899525</v>
      </c>
      <c r="H705" s="29">
        <v>9</v>
      </c>
      <c r="I705" s="26" t="s">
        <v>67</v>
      </c>
      <c r="J705" s="26" t="s">
        <v>1096</v>
      </c>
    </row>
    <row r="706" spans="1:10" ht="15.75" customHeight="1">
      <c r="A706" s="26" t="s">
        <v>797</v>
      </c>
      <c r="B706" s="29">
        <v>25</v>
      </c>
      <c r="C706" s="26" t="s">
        <v>53</v>
      </c>
      <c r="D706" s="26" t="s">
        <v>60</v>
      </c>
      <c r="E706" s="27" t="s">
        <v>65</v>
      </c>
      <c r="F706" s="26" t="s">
        <v>82</v>
      </c>
      <c r="G706" s="59">
        <v>4767955</v>
      </c>
      <c r="H706" s="29">
        <v>6</v>
      </c>
      <c r="I706" s="26" t="s">
        <v>67</v>
      </c>
      <c r="J706" s="26" t="s">
        <v>1095</v>
      </c>
    </row>
    <row r="707" spans="1:10" ht="15.75" customHeight="1">
      <c r="A707" s="26" t="s">
        <v>798</v>
      </c>
      <c r="B707" s="29">
        <v>41</v>
      </c>
      <c r="C707" s="26" t="s">
        <v>53</v>
      </c>
      <c r="D707" s="26" t="s">
        <v>60</v>
      </c>
      <c r="E707" s="27" t="s">
        <v>73</v>
      </c>
      <c r="F707" s="26" t="s">
        <v>100</v>
      </c>
      <c r="G707" s="59">
        <v>2361115</v>
      </c>
      <c r="H707" s="29">
        <v>2</v>
      </c>
      <c r="I707" s="26" t="s">
        <v>57</v>
      </c>
      <c r="J707" s="26" t="s">
        <v>1096</v>
      </c>
    </row>
    <row r="708" spans="1:10" ht="15.75" customHeight="1">
      <c r="A708" s="26" t="s">
        <v>799</v>
      </c>
      <c r="B708" s="29">
        <v>24</v>
      </c>
      <c r="C708" s="26" t="s">
        <v>53</v>
      </c>
      <c r="D708" s="26" t="s">
        <v>54</v>
      </c>
      <c r="E708" s="27" t="s">
        <v>85</v>
      </c>
      <c r="F708" s="26" t="s">
        <v>82</v>
      </c>
      <c r="G708" s="59">
        <v>7208585</v>
      </c>
      <c r="H708" s="29">
        <v>8</v>
      </c>
      <c r="I708" s="26" t="s">
        <v>63</v>
      </c>
      <c r="J708" s="26" t="s">
        <v>1096</v>
      </c>
    </row>
    <row r="709" spans="1:10" ht="15.75" customHeight="1">
      <c r="A709" s="26" t="s">
        <v>800</v>
      </c>
      <c r="B709" s="29">
        <v>32</v>
      </c>
      <c r="C709" s="26" t="s">
        <v>53</v>
      </c>
      <c r="D709" s="26" t="s">
        <v>60</v>
      </c>
      <c r="E709" s="27" t="s">
        <v>65</v>
      </c>
      <c r="F709" s="26" t="s">
        <v>80</v>
      </c>
      <c r="G709" s="59">
        <v>7722565</v>
      </c>
      <c r="H709" s="29">
        <v>10</v>
      </c>
      <c r="I709" s="26" t="s">
        <v>57</v>
      </c>
      <c r="J709" s="26" t="s">
        <v>1095</v>
      </c>
    </row>
    <row r="710" spans="1:10" ht="15.75" customHeight="1">
      <c r="A710" s="26" t="s">
        <v>801</v>
      </c>
      <c r="B710" s="29">
        <v>41</v>
      </c>
      <c r="C710" s="26" t="s">
        <v>53</v>
      </c>
      <c r="D710" s="26" t="s">
        <v>54</v>
      </c>
      <c r="E710" s="27" t="s">
        <v>61</v>
      </c>
      <c r="F710" s="26" t="s">
        <v>86</v>
      </c>
      <c r="G710" s="59">
        <v>7613290</v>
      </c>
      <c r="H710" s="29">
        <v>3</v>
      </c>
      <c r="I710" s="26" t="s">
        <v>60</v>
      </c>
      <c r="J710" s="26" t="s">
        <v>1096</v>
      </c>
    </row>
    <row r="711" spans="1:10" ht="15.75" customHeight="1">
      <c r="A711" s="26" t="s">
        <v>802</v>
      </c>
      <c r="B711" s="29">
        <v>18</v>
      </c>
      <c r="C711" s="26" t="s">
        <v>59</v>
      </c>
      <c r="D711" s="26" t="s">
        <v>54</v>
      </c>
      <c r="E711" s="27" t="s">
        <v>85</v>
      </c>
      <c r="F711" s="26" t="s">
        <v>90</v>
      </c>
      <c r="G711" s="59">
        <v>2316010</v>
      </c>
      <c r="H711" s="29">
        <v>3</v>
      </c>
      <c r="I711" s="26" t="s">
        <v>63</v>
      </c>
      <c r="J711" s="26" t="s">
        <v>1095</v>
      </c>
    </row>
    <row r="712" spans="1:10" ht="15.75" customHeight="1">
      <c r="A712" s="26" t="s">
        <v>803</v>
      </c>
      <c r="B712" s="29">
        <v>25</v>
      </c>
      <c r="C712" s="26" t="s">
        <v>59</v>
      </c>
      <c r="D712" s="26" t="s">
        <v>54</v>
      </c>
      <c r="E712" s="27" t="s">
        <v>78</v>
      </c>
      <c r="F712" s="26" t="s">
        <v>71</v>
      </c>
      <c r="G712" s="59">
        <v>1273015</v>
      </c>
      <c r="H712" s="29">
        <v>9</v>
      </c>
      <c r="I712" s="26" t="s">
        <v>63</v>
      </c>
      <c r="J712" s="26" t="s">
        <v>1095</v>
      </c>
    </row>
    <row r="713" spans="1:10" ht="15.75" customHeight="1">
      <c r="A713" s="26" t="s">
        <v>804</v>
      </c>
      <c r="B713" s="29">
        <v>49</v>
      </c>
      <c r="C713" s="26" t="s">
        <v>59</v>
      </c>
      <c r="D713" s="26" t="s">
        <v>54</v>
      </c>
      <c r="E713" s="27" t="s">
        <v>85</v>
      </c>
      <c r="F713" s="26" t="s">
        <v>80</v>
      </c>
      <c r="G713" s="59">
        <v>6590290</v>
      </c>
      <c r="H713" s="29">
        <v>4</v>
      </c>
      <c r="I713" s="26" t="s">
        <v>63</v>
      </c>
      <c r="J713" s="26" t="s">
        <v>1095</v>
      </c>
    </row>
    <row r="714" spans="1:10" ht="15.75" customHeight="1">
      <c r="A714" s="26" t="s">
        <v>805</v>
      </c>
      <c r="B714" s="29">
        <v>39</v>
      </c>
      <c r="C714" s="26" t="s">
        <v>59</v>
      </c>
      <c r="D714" s="26" t="s">
        <v>60</v>
      </c>
      <c r="E714" s="27" t="s">
        <v>61</v>
      </c>
      <c r="F714" s="26" t="s">
        <v>109</v>
      </c>
      <c r="G714" s="59">
        <v>2729860</v>
      </c>
      <c r="H714" s="29">
        <v>8</v>
      </c>
      <c r="I714" s="26" t="s">
        <v>63</v>
      </c>
      <c r="J714" s="26" t="s">
        <v>1095</v>
      </c>
    </row>
    <row r="715" spans="1:10" ht="15.75" customHeight="1">
      <c r="A715" s="26" t="s">
        <v>806</v>
      </c>
      <c r="B715" s="29">
        <v>47</v>
      </c>
      <c r="C715" s="26" t="s">
        <v>53</v>
      </c>
      <c r="D715" s="26" t="s">
        <v>60</v>
      </c>
      <c r="E715" s="27" t="s">
        <v>61</v>
      </c>
      <c r="F715" s="26" t="s">
        <v>167</v>
      </c>
      <c r="G715" s="59">
        <v>1089650</v>
      </c>
      <c r="H715" s="29">
        <v>6</v>
      </c>
      <c r="I715" s="26" t="s">
        <v>57</v>
      </c>
      <c r="J715" s="26" t="s">
        <v>1095</v>
      </c>
    </row>
    <row r="716" spans="1:10" ht="15.75" customHeight="1">
      <c r="A716" s="26" t="s">
        <v>807</v>
      </c>
      <c r="B716" s="29">
        <v>43</v>
      </c>
      <c r="C716" s="26" t="s">
        <v>59</v>
      </c>
      <c r="D716" s="26" t="s">
        <v>54</v>
      </c>
      <c r="E716" s="27" t="s">
        <v>65</v>
      </c>
      <c r="F716" s="26" t="s">
        <v>86</v>
      </c>
      <c r="G716" s="59">
        <v>4950545</v>
      </c>
      <c r="H716" s="29">
        <v>7</v>
      </c>
      <c r="I716" s="26" t="s">
        <v>57</v>
      </c>
      <c r="J716" s="26" t="s">
        <v>1096</v>
      </c>
    </row>
    <row r="717" spans="1:10" ht="15.75" customHeight="1">
      <c r="A717" s="26" t="s">
        <v>808</v>
      </c>
      <c r="B717" s="29">
        <v>38</v>
      </c>
      <c r="C717" s="26" t="s">
        <v>53</v>
      </c>
      <c r="D717" s="26" t="s">
        <v>60</v>
      </c>
      <c r="E717" s="27" t="s">
        <v>55</v>
      </c>
      <c r="F717" s="26" t="s">
        <v>69</v>
      </c>
      <c r="G717" s="59">
        <v>1759405</v>
      </c>
      <c r="H717" s="29">
        <v>11</v>
      </c>
      <c r="I717" s="26" t="s">
        <v>60</v>
      </c>
      <c r="J717" s="26" t="s">
        <v>1095</v>
      </c>
    </row>
    <row r="718" spans="1:10" ht="15.75" customHeight="1">
      <c r="A718" s="26" t="s">
        <v>809</v>
      </c>
      <c r="B718" s="29">
        <v>40</v>
      </c>
      <c r="C718" s="26" t="s">
        <v>53</v>
      </c>
      <c r="D718" s="26" t="s">
        <v>60</v>
      </c>
      <c r="E718" s="27" t="s">
        <v>85</v>
      </c>
      <c r="F718" s="26" t="s">
        <v>88</v>
      </c>
      <c r="G718" s="59">
        <v>7637470</v>
      </c>
      <c r="H718" s="29">
        <v>2</v>
      </c>
      <c r="I718" s="26" t="s">
        <v>67</v>
      </c>
      <c r="J718" s="26" t="s">
        <v>1095</v>
      </c>
    </row>
    <row r="719" spans="1:10" ht="15.75" customHeight="1">
      <c r="A719" s="26" t="s">
        <v>810</v>
      </c>
      <c r="B719" s="29">
        <v>33</v>
      </c>
      <c r="C719" s="26" t="s">
        <v>59</v>
      </c>
      <c r="D719" s="26" t="s">
        <v>54</v>
      </c>
      <c r="E719" s="27" t="s">
        <v>78</v>
      </c>
      <c r="F719" s="26" t="s">
        <v>71</v>
      </c>
      <c r="G719" s="59">
        <v>2228900</v>
      </c>
      <c r="H719" s="29">
        <v>9</v>
      </c>
      <c r="I719" s="26" t="s">
        <v>67</v>
      </c>
      <c r="J719" s="26" t="s">
        <v>1095</v>
      </c>
    </row>
    <row r="720" spans="1:10" ht="15.75" customHeight="1">
      <c r="A720" s="26" t="s">
        <v>811</v>
      </c>
      <c r="B720" s="29">
        <v>18</v>
      </c>
      <c r="C720" s="26" t="s">
        <v>53</v>
      </c>
      <c r="D720" s="26" t="s">
        <v>54</v>
      </c>
      <c r="E720" s="27" t="s">
        <v>55</v>
      </c>
      <c r="F720" s="26" t="s">
        <v>109</v>
      </c>
      <c r="G720" s="59">
        <v>2457370</v>
      </c>
      <c r="H720" s="29">
        <v>5</v>
      </c>
      <c r="I720" s="26" t="s">
        <v>67</v>
      </c>
      <c r="J720" s="26" t="s">
        <v>1096</v>
      </c>
    </row>
    <row r="721" spans="1:10" ht="15.75" customHeight="1">
      <c r="A721" s="26" t="s">
        <v>812</v>
      </c>
      <c r="B721" s="29">
        <v>39</v>
      </c>
      <c r="C721" s="26" t="s">
        <v>53</v>
      </c>
      <c r="D721" s="26" t="s">
        <v>60</v>
      </c>
      <c r="E721" s="27" t="s">
        <v>78</v>
      </c>
      <c r="F721" s="26" t="s">
        <v>71</v>
      </c>
      <c r="G721" s="59">
        <v>3307545</v>
      </c>
      <c r="H721" s="29">
        <v>6</v>
      </c>
      <c r="I721" s="26" t="s">
        <v>63</v>
      </c>
      <c r="J721" s="26" t="s">
        <v>1096</v>
      </c>
    </row>
    <row r="722" spans="1:10" ht="15.75" customHeight="1">
      <c r="A722" s="26" t="s">
        <v>813</v>
      </c>
      <c r="B722" s="29">
        <v>31</v>
      </c>
      <c r="C722" s="26" t="s">
        <v>59</v>
      </c>
      <c r="D722" s="26" t="s">
        <v>54</v>
      </c>
      <c r="E722" s="27" t="s">
        <v>78</v>
      </c>
      <c r="F722" s="26" t="s">
        <v>113</v>
      </c>
      <c r="G722" s="59">
        <v>1971290</v>
      </c>
      <c r="H722" s="29">
        <v>2</v>
      </c>
      <c r="I722" s="26" t="s">
        <v>63</v>
      </c>
      <c r="J722" s="26" t="s">
        <v>1096</v>
      </c>
    </row>
    <row r="723" spans="1:10" ht="15.75" customHeight="1">
      <c r="A723" s="26" t="s">
        <v>814</v>
      </c>
      <c r="B723" s="29">
        <v>27</v>
      </c>
      <c r="C723" s="26" t="s">
        <v>59</v>
      </c>
      <c r="D723" s="26" t="s">
        <v>54</v>
      </c>
      <c r="E723" s="27" t="s">
        <v>55</v>
      </c>
      <c r="F723" s="26" t="s">
        <v>86</v>
      </c>
      <c r="G723" s="59">
        <v>7387765</v>
      </c>
      <c r="H723" s="29">
        <v>0</v>
      </c>
      <c r="I723" s="26" t="s">
        <v>63</v>
      </c>
      <c r="J723" s="26" t="s">
        <v>1095</v>
      </c>
    </row>
    <row r="724" spans="1:10" ht="15.75" customHeight="1">
      <c r="A724" s="26" t="s">
        <v>815</v>
      </c>
      <c r="B724" s="29">
        <v>31</v>
      </c>
      <c r="C724" s="26" t="s">
        <v>53</v>
      </c>
      <c r="D724" s="26" t="s">
        <v>60</v>
      </c>
      <c r="E724" s="27" t="s">
        <v>73</v>
      </c>
      <c r="F724" s="26" t="s">
        <v>88</v>
      </c>
      <c r="G724" s="59">
        <v>868310</v>
      </c>
      <c r="H724" s="29">
        <v>3</v>
      </c>
      <c r="I724" s="26" t="s">
        <v>57</v>
      </c>
      <c r="J724" s="26" t="s">
        <v>1096</v>
      </c>
    </row>
    <row r="725" spans="1:10" ht="15.75" customHeight="1">
      <c r="A725" s="26" t="s">
        <v>816</v>
      </c>
      <c r="B725" s="29">
        <v>36</v>
      </c>
      <c r="C725" s="26" t="s">
        <v>53</v>
      </c>
      <c r="D725" s="26" t="s">
        <v>60</v>
      </c>
      <c r="E725" s="27" t="s">
        <v>61</v>
      </c>
      <c r="F725" s="26" t="s">
        <v>98</v>
      </c>
      <c r="G725" s="59">
        <v>6184035</v>
      </c>
      <c r="H725" s="29">
        <v>3</v>
      </c>
      <c r="I725" s="26" t="s">
        <v>60</v>
      </c>
      <c r="J725" s="26" t="s">
        <v>1096</v>
      </c>
    </row>
    <row r="726" spans="1:10" ht="15.75" customHeight="1">
      <c r="A726" s="26" t="s">
        <v>817</v>
      </c>
      <c r="B726" s="29">
        <v>27</v>
      </c>
      <c r="C726" s="26" t="s">
        <v>53</v>
      </c>
      <c r="D726" s="26" t="s">
        <v>54</v>
      </c>
      <c r="E726" s="27" t="s">
        <v>65</v>
      </c>
      <c r="F726" s="26" t="s">
        <v>121</v>
      </c>
      <c r="G726" s="59">
        <v>828475</v>
      </c>
      <c r="H726" s="29">
        <v>6</v>
      </c>
      <c r="I726" s="26" t="s">
        <v>60</v>
      </c>
      <c r="J726" s="26" t="s">
        <v>1096</v>
      </c>
    </row>
    <row r="727" spans="1:10" ht="15.75" customHeight="1">
      <c r="A727" s="26" t="s">
        <v>818</v>
      </c>
      <c r="B727" s="29">
        <v>21</v>
      </c>
      <c r="C727" s="26" t="s">
        <v>53</v>
      </c>
      <c r="D727" s="26" t="s">
        <v>54</v>
      </c>
      <c r="E727" s="27" t="s">
        <v>85</v>
      </c>
      <c r="F727" s="26" t="s">
        <v>121</v>
      </c>
      <c r="G727" s="59">
        <v>948445</v>
      </c>
      <c r="H727" s="29">
        <v>2</v>
      </c>
      <c r="I727" s="26" t="s">
        <v>57</v>
      </c>
      <c r="J727" s="26" t="s">
        <v>1095</v>
      </c>
    </row>
    <row r="728" spans="1:10" ht="15.75" customHeight="1">
      <c r="A728" s="26" t="s">
        <v>819</v>
      </c>
      <c r="B728" s="29">
        <v>50</v>
      </c>
      <c r="C728" s="26" t="s">
        <v>53</v>
      </c>
      <c r="D728" s="26" t="s">
        <v>54</v>
      </c>
      <c r="E728" s="27" t="s">
        <v>55</v>
      </c>
      <c r="F728" s="26" t="s">
        <v>86</v>
      </c>
      <c r="G728" s="59">
        <v>7305305</v>
      </c>
      <c r="H728" s="29">
        <v>4</v>
      </c>
      <c r="I728" s="26" t="s">
        <v>60</v>
      </c>
      <c r="J728" s="26" t="s">
        <v>1096</v>
      </c>
    </row>
    <row r="729" spans="1:10" ht="15.75" customHeight="1">
      <c r="A729" s="26" t="s">
        <v>820</v>
      </c>
      <c r="B729" s="29">
        <v>49</v>
      </c>
      <c r="C729" s="26" t="s">
        <v>53</v>
      </c>
      <c r="D729" s="26" t="s">
        <v>60</v>
      </c>
      <c r="E729" s="27" t="s">
        <v>73</v>
      </c>
      <c r="F729" s="26" t="s">
        <v>90</v>
      </c>
      <c r="G729" s="59">
        <v>2777445</v>
      </c>
      <c r="H729" s="29">
        <v>10</v>
      </c>
      <c r="I729" s="26" t="s">
        <v>67</v>
      </c>
      <c r="J729" s="26" t="s">
        <v>1096</v>
      </c>
    </row>
    <row r="730" spans="1:10" ht="15.75" customHeight="1">
      <c r="A730" s="26" t="s">
        <v>821</v>
      </c>
      <c r="B730" s="29">
        <v>43</v>
      </c>
      <c r="C730" s="26" t="s">
        <v>53</v>
      </c>
      <c r="D730" s="26" t="s">
        <v>60</v>
      </c>
      <c r="E730" s="27" t="s">
        <v>55</v>
      </c>
      <c r="F730" s="26" t="s">
        <v>62</v>
      </c>
      <c r="G730" s="59">
        <v>4566455</v>
      </c>
      <c r="H730" s="29">
        <v>0</v>
      </c>
      <c r="I730" s="26" t="s">
        <v>57</v>
      </c>
      <c r="J730" s="26" t="s">
        <v>1096</v>
      </c>
    </row>
    <row r="731" spans="1:10" ht="15.75" customHeight="1">
      <c r="A731" s="26" t="s">
        <v>822</v>
      </c>
      <c r="B731" s="29">
        <v>35</v>
      </c>
      <c r="C731" s="26" t="s">
        <v>53</v>
      </c>
      <c r="D731" s="26" t="s">
        <v>60</v>
      </c>
      <c r="E731" s="27" t="s">
        <v>55</v>
      </c>
      <c r="F731" s="26" t="s">
        <v>90</v>
      </c>
      <c r="G731" s="59">
        <v>5819475</v>
      </c>
      <c r="H731" s="29">
        <v>6</v>
      </c>
      <c r="I731" s="26" t="s">
        <v>60</v>
      </c>
      <c r="J731" s="26" t="s">
        <v>1096</v>
      </c>
    </row>
    <row r="732" spans="1:10" ht="15.75" customHeight="1">
      <c r="A732" s="26" t="s">
        <v>823</v>
      </c>
      <c r="B732" s="29">
        <v>21</v>
      </c>
      <c r="C732" s="26" t="s">
        <v>59</v>
      </c>
      <c r="D732" s="26" t="s">
        <v>54</v>
      </c>
      <c r="E732" s="27" t="s">
        <v>78</v>
      </c>
      <c r="F732" s="26" t="s">
        <v>98</v>
      </c>
      <c r="G732" s="59">
        <v>1294250</v>
      </c>
      <c r="H732" s="29">
        <v>12</v>
      </c>
      <c r="I732" s="26" t="s">
        <v>57</v>
      </c>
      <c r="J732" s="26" t="s">
        <v>1095</v>
      </c>
    </row>
    <row r="733" spans="1:10" ht="15.75" customHeight="1">
      <c r="A733" s="26" t="s">
        <v>824</v>
      </c>
      <c r="B733" s="29">
        <v>34</v>
      </c>
      <c r="C733" s="26" t="s">
        <v>59</v>
      </c>
      <c r="D733" s="26" t="s">
        <v>60</v>
      </c>
      <c r="E733" s="27" t="s">
        <v>78</v>
      </c>
      <c r="F733" s="26" t="s">
        <v>69</v>
      </c>
      <c r="G733" s="59">
        <v>1703140</v>
      </c>
      <c r="H733" s="29">
        <v>7</v>
      </c>
      <c r="I733" s="26" t="s">
        <v>67</v>
      </c>
      <c r="J733" s="26" t="s">
        <v>1096</v>
      </c>
    </row>
    <row r="734" spans="1:10" ht="15.75" customHeight="1">
      <c r="A734" s="26" t="s">
        <v>825</v>
      </c>
      <c r="B734" s="29">
        <v>21</v>
      </c>
      <c r="C734" s="26" t="s">
        <v>53</v>
      </c>
      <c r="D734" s="26" t="s">
        <v>60</v>
      </c>
      <c r="E734" s="27" t="s">
        <v>65</v>
      </c>
      <c r="F734" s="26" t="s">
        <v>66</v>
      </c>
      <c r="G734" s="59">
        <v>2829370</v>
      </c>
      <c r="H734" s="29">
        <v>11</v>
      </c>
      <c r="I734" s="26" t="s">
        <v>63</v>
      </c>
      <c r="J734" s="26" t="s">
        <v>1096</v>
      </c>
    </row>
    <row r="735" spans="1:10" ht="15.75" customHeight="1">
      <c r="A735" s="26" t="s">
        <v>826</v>
      </c>
      <c r="B735" s="29">
        <v>23</v>
      </c>
      <c r="C735" s="26" t="s">
        <v>53</v>
      </c>
      <c r="D735" s="26" t="s">
        <v>60</v>
      </c>
      <c r="E735" s="27" t="s">
        <v>55</v>
      </c>
      <c r="F735" s="26" t="s">
        <v>71</v>
      </c>
      <c r="G735" s="59">
        <v>7214940</v>
      </c>
      <c r="H735" s="29">
        <v>3</v>
      </c>
      <c r="I735" s="26" t="s">
        <v>63</v>
      </c>
      <c r="J735" s="26" t="s">
        <v>1096</v>
      </c>
    </row>
    <row r="736" spans="1:10" ht="15.75" customHeight="1">
      <c r="A736" s="26" t="s">
        <v>827</v>
      </c>
      <c r="B736" s="29">
        <v>31</v>
      </c>
      <c r="C736" s="26" t="s">
        <v>53</v>
      </c>
      <c r="D736" s="26" t="s">
        <v>54</v>
      </c>
      <c r="E736" s="27" t="s">
        <v>78</v>
      </c>
      <c r="F736" s="26" t="s">
        <v>90</v>
      </c>
      <c r="G736" s="59">
        <v>3480060</v>
      </c>
      <c r="H736" s="29">
        <v>8</v>
      </c>
      <c r="I736" s="26" t="s">
        <v>67</v>
      </c>
      <c r="J736" s="26" t="s">
        <v>1095</v>
      </c>
    </row>
    <row r="737" spans="1:10" ht="15.75" customHeight="1">
      <c r="A737" s="26" t="s">
        <v>828</v>
      </c>
      <c r="B737" s="29">
        <v>21</v>
      </c>
      <c r="C737" s="26" t="s">
        <v>59</v>
      </c>
      <c r="D737" s="26" t="s">
        <v>60</v>
      </c>
      <c r="E737" s="27" t="s">
        <v>61</v>
      </c>
      <c r="F737" s="26" t="s">
        <v>137</v>
      </c>
      <c r="G737" s="59">
        <v>4361235</v>
      </c>
      <c r="H737" s="29">
        <v>12</v>
      </c>
      <c r="I737" s="26" t="s">
        <v>67</v>
      </c>
      <c r="J737" s="26" t="s">
        <v>1096</v>
      </c>
    </row>
    <row r="738" spans="1:10" ht="15.75" customHeight="1">
      <c r="A738" s="26" t="s">
        <v>829</v>
      </c>
      <c r="B738" s="29">
        <v>22</v>
      </c>
      <c r="C738" s="26" t="s">
        <v>53</v>
      </c>
      <c r="D738" s="26" t="s">
        <v>54</v>
      </c>
      <c r="E738" s="27" t="s">
        <v>65</v>
      </c>
      <c r="F738" s="26" t="s">
        <v>66</v>
      </c>
      <c r="G738" s="59">
        <v>1948040</v>
      </c>
      <c r="H738" s="29">
        <v>2</v>
      </c>
      <c r="I738" s="26" t="s">
        <v>57</v>
      </c>
      <c r="J738" s="26" t="s">
        <v>1095</v>
      </c>
    </row>
    <row r="739" spans="1:10" ht="15.75" customHeight="1">
      <c r="A739" s="26" t="s">
        <v>830</v>
      </c>
      <c r="B739" s="29">
        <v>38</v>
      </c>
      <c r="C739" s="26" t="s">
        <v>53</v>
      </c>
      <c r="D739" s="26" t="s">
        <v>60</v>
      </c>
      <c r="E739" s="27" t="s">
        <v>73</v>
      </c>
      <c r="F739" s="26" t="s">
        <v>137</v>
      </c>
      <c r="G739" s="59">
        <v>2762255</v>
      </c>
      <c r="H739" s="29">
        <v>7</v>
      </c>
      <c r="I739" s="26" t="s">
        <v>67</v>
      </c>
      <c r="J739" s="26" t="s">
        <v>1096</v>
      </c>
    </row>
    <row r="740" spans="1:10" ht="15.75" customHeight="1">
      <c r="A740" s="26" t="s">
        <v>831</v>
      </c>
      <c r="B740" s="29">
        <v>27</v>
      </c>
      <c r="C740" s="26" t="s">
        <v>59</v>
      </c>
      <c r="D740" s="26" t="s">
        <v>60</v>
      </c>
      <c r="E740" s="27" t="s">
        <v>55</v>
      </c>
      <c r="F740" s="26" t="s">
        <v>90</v>
      </c>
      <c r="G740" s="59">
        <v>7490065</v>
      </c>
      <c r="H740" s="29">
        <v>7</v>
      </c>
      <c r="I740" s="26" t="s">
        <v>63</v>
      </c>
      <c r="J740" s="26" t="s">
        <v>1095</v>
      </c>
    </row>
    <row r="741" spans="1:10" ht="15.75" customHeight="1">
      <c r="A741" s="26" t="s">
        <v>832</v>
      </c>
      <c r="B741" s="29">
        <v>18</v>
      </c>
      <c r="C741" s="26" t="s">
        <v>59</v>
      </c>
      <c r="D741" s="26" t="s">
        <v>54</v>
      </c>
      <c r="E741" s="27" t="s">
        <v>78</v>
      </c>
      <c r="F741" s="26" t="s">
        <v>69</v>
      </c>
      <c r="G741" s="59">
        <v>6437150</v>
      </c>
      <c r="H741" s="29">
        <v>11</v>
      </c>
      <c r="I741" s="26" t="s">
        <v>67</v>
      </c>
      <c r="J741" s="26" t="s">
        <v>1096</v>
      </c>
    </row>
    <row r="742" spans="1:10" ht="15.75" customHeight="1">
      <c r="A742" s="26" t="s">
        <v>833</v>
      </c>
      <c r="B742" s="29">
        <v>36</v>
      </c>
      <c r="C742" s="26" t="s">
        <v>59</v>
      </c>
      <c r="D742" s="26" t="s">
        <v>60</v>
      </c>
      <c r="E742" s="27" t="s">
        <v>55</v>
      </c>
      <c r="F742" s="26" t="s">
        <v>98</v>
      </c>
      <c r="G742" s="59">
        <v>1325560</v>
      </c>
      <c r="H742" s="29">
        <v>7</v>
      </c>
      <c r="I742" s="26" t="s">
        <v>63</v>
      </c>
      <c r="J742" s="26" t="s">
        <v>1096</v>
      </c>
    </row>
    <row r="743" spans="1:10" ht="15.75" customHeight="1">
      <c r="A743" s="26" t="s">
        <v>834</v>
      </c>
      <c r="B743" s="29">
        <v>44</v>
      </c>
      <c r="C743" s="26" t="s">
        <v>53</v>
      </c>
      <c r="D743" s="26" t="s">
        <v>54</v>
      </c>
      <c r="E743" s="27" t="s">
        <v>78</v>
      </c>
      <c r="F743" s="26" t="s">
        <v>1093</v>
      </c>
      <c r="G743" s="59">
        <v>6545805</v>
      </c>
      <c r="H743" s="29">
        <v>2</v>
      </c>
      <c r="I743" s="26" t="s">
        <v>63</v>
      </c>
      <c r="J743" s="26" t="s">
        <v>1095</v>
      </c>
    </row>
    <row r="744" spans="1:10" ht="15.75" customHeight="1">
      <c r="A744" s="26" t="s">
        <v>835</v>
      </c>
      <c r="B744" s="29">
        <v>48</v>
      </c>
      <c r="C744" s="26" t="s">
        <v>53</v>
      </c>
      <c r="D744" s="26" t="s">
        <v>60</v>
      </c>
      <c r="E744" s="27" t="s">
        <v>78</v>
      </c>
      <c r="F744" s="26" t="s">
        <v>109</v>
      </c>
      <c r="G744" s="59">
        <v>1091510</v>
      </c>
      <c r="H744" s="29">
        <v>11</v>
      </c>
      <c r="I744" s="26" t="s">
        <v>60</v>
      </c>
      <c r="J744" s="26" t="s">
        <v>1096</v>
      </c>
    </row>
    <row r="745" spans="1:10" ht="15.75" customHeight="1">
      <c r="A745" s="26" t="s">
        <v>836</v>
      </c>
      <c r="B745" s="29">
        <v>23</v>
      </c>
      <c r="C745" s="26" t="s">
        <v>53</v>
      </c>
      <c r="D745" s="26" t="s">
        <v>54</v>
      </c>
      <c r="E745" s="27" t="s">
        <v>85</v>
      </c>
      <c r="F745" s="26" t="s">
        <v>104</v>
      </c>
      <c r="G745" s="59">
        <v>6779700</v>
      </c>
      <c r="H745" s="29">
        <v>0</v>
      </c>
      <c r="I745" s="26" t="s">
        <v>60</v>
      </c>
      <c r="J745" s="26" t="s">
        <v>1096</v>
      </c>
    </row>
    <row r="746" spans="1:10" ht="15.75" customHeight="1">
      <c r="A746" s="26" t="s">
        <v>837</v>
      </c>
      <c r="B746" s="29">
        <v>35</v>
      </c>
      <c r="C746" s="26" t="s">
        <v>59</v>
      </c>
      <c r="D746" s="26" t="s">
        <v>54</v>
      </c>
      <c r="E746" s="27" t="s">
        <v>55</v>
      </c>
      <c r="F746" s="26" t="s">
        <v>167</v>
      </c>
      <c r="G746" s="59">
        <v>3210205</v>
      </c>
      <c r="H746" s="29">
        <v>4</v>
      </c>
      <c r="I746" s="26" t="s">
        <v>60</v>
      </c>
      <c r="J746" s="26" t="s">
        <v>1095</v>
      </c>
    </row>
    <row r="747" spans="1:10" ht="15.75" customHeight="1">
      <c r="A747" s="26" t="s">
        <v>838</v>
      </c>
      <c r="B747" s="29">
        <v>50</v>
      </c>
      <c r="C747" s="26" t="s">
        <v>53</v>
      </c>
      <c r="D747" s="26" t="s">
        <v>60</v>
      </c>
      <c r="E747" s="27" t="s">
        <v>61</v>
      </c>
      <c r="F747" s="26" t="s">
        <v>88</v>
      </c>
      <c r="G747" s="59">
        <v>5872485</v>
      </c>
      <c r="H747" s="29">
        <v>2</v>
      </c>
      <c r="I747" s="26" t="s">
        <v>57</v>
      </c>
      <c r="J747" s="26" t="s">
        <v>1095</v>
      </c>
    </row>
    <row r="748" spans="1:10" ht="15.75" customHeight="1">
      <c r="A748" s="26" t="s">
        <v>839</v>
      </c>
      <c r="B748" s="29">
        <v>30</v>
      </c>
      <c r="C748" s="26" t="s">
        <v>53</v>
      </c>
      <c r="D748" s="26" t="s">
        <v>60</v>
      </c>
      <c r="E748" s="27" t="s">
        <v>61</v>
      </c>
      <c r="F748" s="26" t="s">
        <v>102</v>
      </c>
      <c r="G748" s="59">
        <v>5409500</v>
      </c>
      <c r="H748" s="29">
        <v>10</v>
      </c>
      <c r="I748" s="26" t="s">
        <v>67</v>
      </c>
      <c r="J748" s="26" t="s">
        <v>1096</v>
      </c>
    </row>
    <row r="749" spans="1:10" ht="15.75" customHeight="1">
      <c r="A749" s="26" t="s">
        <v>840</v>
      </c>
      <c r="B749" s="29">
        <v>38</v>
      </c>
      <c r="C749" s="26" t="s">
        <v>59</v>
      </c>
      <c r="D749" s="26" t="s">
        <v>54</v>
      </c>
      <c r="E749" s="27" t="s">
        <v>55</v>
      </c>
      <c r="F749" s="26" t="s">
        <v>92</v>
      </c>
      <c r="G749" s="59">
        <v>5119185</v>
      </c>
      <c r="H749" s="29">
        <v>3</v>
      </c>
      <c r="I749" s="26" t="s">
        <v>60</v>
      </c>
      <c r="J749" s="26" t="s">
        <v>1095</v>
      </c>
    </row>
    <row r="750" spans="1:10" ht="15.75" customHeight="1">
      <c r="A750" s="26" t="s">
        <v>841</v>
      </c>
      <c r="B750" s="29">
        <v>42</v>
      </c>
      <c r="C750" s="26" t="s">
        <v>59</v>
      </c>
      <c r="D750" s="26" t="s">
        <v>54</v>
      </c>
      <c r="E750" s="27" t="s">
        <v>61</v>
      </c>
      <c r="F750" s="26" t="s">
        <v>113</v>
      </c>
      <c r="G750" s="59">
        <v>6359495</v>
      </c>
      <c r="H750" s="29">
        <v>10</v>
      </c>
      <c r="I750" s="26" t="s">
        <v>67</v>
      </c>
      <c r="J750" s="26" t="s">
        <v>1095</v>
      </c>
    </row>
    <row r="751" spans="1:10" ht="15.75" customHeight="1">
      <c r="A751" s="26" t="s">
        <v>842</v>
      </c>
      <c r="B751" s="29">
        <v>24</v>
      </c>
      <c r="C751" s="26" t="s">
        <v>53</v>
      </c>
      <c r="D751" s="26" t="s">
        <v>60</v>
      </c>
      <c r="E751" s="27" t="s">
        <v>73</v>
      </c>
      <c r="F751" s="26" t="s">
        <v>92</v>
      </c>
      <c r="G751" s="59">
        <v>6213330</v>
      </c>
      <c r="H751" s="29">
        <v>7</v>
      </c>
      <c r="I751" s="26" t="s">
        <v>60</v>
      </c>
      <c r="J751" s="26" t="s">
        <v>1095</v>
      </c>
    </row>
    <row r="752" spans="1:10" ht="15.75" customHeight="1">
      <c r="A752" s="26" t="s">
        <v>843</v>
      </c>
      <c r="B752" s="29">
        <v>27</v>
      </c>
      <c r="C752" s="26" t="s">
        <v>53</v>
      </c>
      <c r="D752" s="26" t="s">
        <v>60</v>
      </c>
      <c r="E752" s="27" t="s">
        <v>73</v>
      </c>
      <c r="F752" s="26" t="s">
        <v>137</v>
      </c>
      <c r="G752" s="59">
        <v>3489360</v>
      </c>
      <c r="H752" s="29">
        <v>11</v>
      </c>
      <c r="I752" s="26" t="s">
        <v>63</v>
      </c>
      <c r="J752" s="26" t="s">
        <v>1095</v>
      </c>
    </row>
    <row r="753" spans="1:10" ht="15.75" customHeight="1">
      <c r="A753" s="26" t="s">
        <v>844</v>
      </c>
      <c r="B753" s="29">
        <v>36</v>
      </c>
      <c r="C753" s="26" t="s">
        <v>53</v>
      </c>
      <c r="D753" s="26" t="s">
        <v>60</v>
      </c>
      <c r="E753" s="27" t="s">
        <v>73</v>
      </c>
      <c r="F753" s="26" t="s">
        <v>137</v>
      </c>
      <c r="G753" s="59">
        <v>4238940</v>
      </c>
      <c r="H753" s="29">
        <v>12</v>
      </c>
      <c r="I753" s="26" t="s">
        <v>67</v>
      </c>
      <c r="J753" s="26" t="s">
        <v>1095</v>
      </c>
    </row>
    <row r="754" spans="1:10" ht="15.75" customHeight="1">
      <c r="A754" s="26" t="s">
        <v>845</v>
      </c>
      <c r="B754" s="29">
        <v>19</v>
      </c>
      <c r="C754" s="26" t="s">
        <v>53</v>
      </c>
      <c r="D754" s="26" t="s">
        <v>60</v>
      </c>
      <c r="E754" s="27" t="s">
        <v>61</v>
      </c>
      <c r="F754" s="26" t="s">
        <v>71</v>
      </c>
      <c r="G754" s="59">
        <v>5639520</v>
      </c>
      <c r="H754" s="29">
        <v>11</v>
      </c>
      <c r="I754" s="26" t="s">
        <v>67</v>
      </c>
      <c r="J754" s="26" t="s">
        <v>1095</v>
      </c>
    </row>
    <row r="755" spans="1:10" ht="15.75" customHeight="1">
      <c r="A755" s="26" t="s">
        <v>846</v>
      </c>
      <c r="B755" s="29">
        <v>24</v>
      </c>
      <c r="C755" s="26" t="s">
        <v>53</v>
      </c>
      <c r="D755" s="26" t="s">
        <v>60</v>
      </c>
      <c r="E755" s="27" t="s">
        <v>61</v>
      </c>
      <c r="F755" s="26" t="s">
        <v>1093</v>
      </c>
      <c r="G755" s="59">
        <v>4690300</v>
      </c>
      <c r="H755" s="29">
        <v>9</v>
      </c>
      <c r="I755" s="26" t="s">
        <v>63</v>
      </c>
      <c r="J755" s="26" t="s">
        <v>1096</v>
      </c>
    </row>
    <row r="756" spans="1:10" ht="15.75" customHeight="1">
      <c r="A756" s="26" t="s">
        <v>847</v>
      </c>
      <c r="B756" s="29">
        <v>35</v>
      </c>
      <c r="C756" s="26" t="s">
        <v>59</v>
      </c>
      <c r="D756" s="26" t="s">
        <v>60</v>
      </c>
      <c r="E756" s="27" t="s">
        <v>78</v>
      </c>
      <c r="F756" s="26" t="s">
        <v>88</v>
      </c>
      <c r="G756" s="59">
        <v>4914895</v>
      </c>
      <c r="H756" s="29">
        <v>6</v>
      </c>
      <c r="I756" s="26" t="s">
        <v>60</v>
      </c>
      <c r="J756" s="26" t="s">
        <v>1095</v>
      </c>
    </row>
    <row r="757" spans="1:10" ht="15.75" customHeight="1">
      <c r="A757" s="26" t="s">
        <v>848</v>
      </c>
      <c r="B757" s="29">
        <v>38</v>
      </c>
      <c r="C757" s="26" t="s">
        <v>53</v>
      </c>
      <c r="D757" s="26" t="s">
        <v>60</v>
      </c>
      <c r="E757" s="27" t="s">
        <v>61</v>
      </c>
      <c r="F757" s="26" t="s">
        <v>137</v>
      </c>
      <c r="G757" s="59">
        <v>2996460</v>
      </c>
      <c r="H757" s="29">
        <v>9</v>
      </c>
      <c r="I757" s="26" t="s">
        <v>57</v>
      </c>
      <c r="J757" s="26" t="s">
        <v>1096</v>
      </c>
    </row>
    <row r="758" spans="1:10" ht="15.75" customHeight="1">
      <c r="A758" s="26" t="s">
        <v>849</v>
      </c>
      <c r="B758" s="29">
        <v>34</v>
      </c>
      <c r="C758" s="26" t="s">
        <v>59</v>
      </c>
      <c r="D758" s="26" t="s">
        <v>60</v>
      </c>
      <c r="E758" s="27" t="s">
        <v>73</v>
      </c>
      <c r="F758" s="26" t="s">
        <v>100</v>
      </c>
      <c r="G758" s="59">
        <v>4374720</v>
      </c>
      <c r="H758" s="29">
        <v>6</v>
      </c>
      <c r="I758" s="26" t="s">
        <v>57</v>
      </c>
      <c r="J758" s="26" t="s">
        <v>1095</v>
      </c>
    </row>
    <row r="759" spans="1:10" ht="15.75" customHeight="1">
      <c r="A759" s="26" t="s">
        <v>850</v>
      </c>
      <c r="B759" s="29">
        <v>29</v>
      </c>
      <c r="C759" s="26" t="s">
        <v>53</v>
      </c>
      <c r="D759" s="26" t="s">
        <v>60</v>
      </c>
      <c r="E759" s="27" t="s">
        <v>65</v>
      </c>
      <c r="F759" s="26" t="s">
        <v>92</v>
      </c>
      <c r="G759" s="59">
        <v>2389945</v>
      </c>
      <c r="H759" s="29">
        <v>6</v>
      </c>
      <c r="I759" s="26" t="s">
        <v>63</v>
      </c>
      <c r="J759" s="26" t="s">
        <v>1095</v>
      </c>
    </row>
    <row r="760" spans="1:10" ht="15.75" customHeight="1">
      <c r="A760" s="26" t="s">
        <v>851</v>
      </c>
      <c r="B760" s="29">
        <v>41</v>
      </c>
      <c r="C760" s="26" t="s">
        <v>53</v>
      </c>
      <c r="D760" s="26" t="s">
        <v>54</v>
      </c>
      <c r="E760" s="27" t="s">
        <v>55</v>
      </c>
      <c r="F760" s="26" t="s">
        <v>71</v>
      </c>
      <c r="G760" s="59">
        <v>1304325</v>
      </c>
      <c r="H760" s="29">
        <v>10</v>
      </c>
      <c r="I760" s="26" t="s">
        <v>60</v>
      </c>
      <c r="J760" s="26" t="s">
        <v>1095</v>
      </c>
    </row>
    <row r="761" spans="1:10" ht="15.75" customHeight="1">
      <c r="A761" s="26" t="s">
        <v>852</v>
      </c>
      <c r="B761" s="29">
        <v>41</v>
      </c>
      <c r="C761" s="26" t="s">
        <v>59</v>
      </c>
      <c r="D761" s="26" t="s">
        <v>54</v>
      </c>
      <c r="E761" s="27" t="s">
        <v>65</v>
      </c>
      <c r="F761" s="26" t="s">
        <v>113</v>
      </c>
      <c r="G761" s="59">
        <v>3327695</v>
      </c>
      <c r="H761" s="29">
        <v>7</v>
      </c>
      <c r="I761" s="26" t="s">
        <v>63</v>
      </c>
      <c r="J761" s="26" t="s">
        <v>1095</v>
      </c>
    </row>
    <row r="762" spans="1:10" ht="15.75" customHeight="1">
      <c r="A762" s="26" t="s">
        <v>853</v>
      </c>
      <c r="B762" s="29">
        <v>32</v>
      </c>
      <c r="C762" s="26" t="s">
        <v>59</v>
      </c>
      <c r="D762" s="26" t="s">
        <v>60</v>
      </c>
      <c r="E762" s="27" t="s">
        <v>55</v>
      </c>
      <c r="F762" s="26" t="s">
        <v>88</v>
      </c>
      <c r="G762" s="59">
        <v>948755</v>
      </c>
      <c r="H762" s="29">
        <v>12</v>
      </c>
      <c r="I762" s="26" t="s">
        <v>57</v>
      </c>
      <c r="J762" s="26" t="s">
        <v>1095</v>
      </c>
    </row>
    <row r="763" spans="1:10" ht="15.75" customHeight="1">
      <c r="A763" s="26" t="s">
        <v>854</v>
      </c>
      <c r="B763" s="29">
        <v>36</v>
      </c>
      <c r="C763" s="26" t="s">
        <v>53</v>
      </c>
      <c r="D763" s="26" t="s">
        <v>54</v>
      </c>
      <c r="E763" s="27" t="s">
        <v>55</v>
      </c>
      <c r="F763" s="26" t="s">
        <v>1093</v>
      </c>
      <c r="G763" s="59">
        <v>7168440</v>
      </c>
      <c r="H763" s="29">
        <v>11</v>
      </c>
      <c r="I763" s="26" t="s">
        <v>63</v>
      </c>
      <c r="J763" s="26" t="s">
        <v>1096</v>
      </c>
    </row>
    <row r="764" spans="1:10" ht="15.75" customHeight="1">
      <c r="A764" s="26" t="s">
        <v>855</v>
      </c>
      <c r="B764" s="29">
        <v>33</v>
      </c>
      <c r="C764" s="26" t="s">
        <v>59</v>
      </c>
      <c r="D764" s="26" t="s">
        <v>54</v>
      </c>
      <c r="E764" s="27" t="s">
        <v>55</v>
      </c>
      <c r="F764" s="26" t="s">
        <v>100</v>
      </c>
      <c r="G764" s="59">
        <v>6962290</v>
      </c>
      <c r="H764" s="29">
        <v>3</v>
      </c>
      <c r="I764" s="26" t="s">
        <v>63</v>
      </c>
      <c r="J764" s="26" t="s">
        <v>1095</v>
      </c>
    </row>
    <row r="765" spans="1:10" ht="15.75" customHeight="1">
      <c r="A765" s="26" t="s">
        <v>856</v>
      </c>
      <c r="B765" s="29">
        <v>25</v>
      </c>
      <c r="C765" s="26" t="s">
        <v>53</v>
      </c>
      <c r="D765" s="26" t="s">
        <v>54</v>
      </c>
      <c r="E765" s="27" t="s">
        <v>55</v>
      </c>
      <c r="F765" s="26" t="s">
        <v>82</v>
      </c>
      <c r="G765" s="59">
        <v>4872580</v>
      </c>
      <c r="H765" s="29">
        <v>7</v>
      </c>
      <c r="I765" s="26" t="s">
        <v>63</v>
      </c>
      <c r="J765" s="26" t="s">
        <v>1095</v>
      </c>
    </row>
    <row r="766" spans="1:10" ht="15.75" customHeight="1">
      <c r="A766" s="26" t="s">
        <v>857</v>
      </c>
      <c r="B766" s="29">
        <v>46</v>
      </c>
      <c r="C766" s="26" t="s">
        <v>53</v>
      </c>
      <c r="D766" s="26" t="s">
        <v>54</v>
      </c>
      <c r="E766" s="27" t="s">
        <v>65</v>
      </c>
      <c r="F766" s="26" t="s">
        <v>167</v>
      </c>
      <c r="G766" s="59">
        <v>5699350</v>
      </c>
      <c r="H766" s="29">
        <v>3</v>
      </c>
      <c r="I766" s="26" t="s">
        <v>57</v>
      </c>
      <c r="J766" s="26" t="s">
        <v>1095</v>
      </c>
    </row>
    <row r="767" spans="1:10" ht="15.75" customHeight="1">
      <c r="A767" s="26" t="s">
        <v>858</v>
      </c>
      <c r="B767" s="29">
        <v>41</v>
      </c>
      <c r="C767" s="26" t="s">
        <v>53</v>
      </c>
      <c r="D767" s="26" t="s">
        <v>60</v>
      </c>
      <c r="E767" s="27" t="s">
        <v>55</v>
      </c>
      <c r="F767" s="26" t="s">
        <v>80</v>
      </c>
      <c r="G767" s="59">
        <v>3564535</v>
      </c>
      <c r="H767" s="29">
        <v>7</v>
      </c>
      <c r="I767" s="26" t="s">
        <v>57</v>
      </c>
      <c r="J767" s="26" t="s">
        <v>1096</v>
      </c>
    </row>
    <row r="768" spans="1:10" ht="15.75" customHeight="1">
      <c r="A768" s="26" t="s">
        <v>859</v>
      </c>
      <c r="B768" s="29">
        <v>28</v>
      </c>
      <c r="C768" s="26" t="s">
        <v>53</v>
      </c>
      <c r="D768" s="26" t="s">
        <v>54</v>
      </c>
      <c r="E768" s="27" t="s">
        <v>55</v>
      </c>
      <c r="F768" s="26" t="s">
        <v>69</v>
      </c>
      <c r="G768" s="59">
        <v>3511215</v>
      </c>
      <c r="H768" s="29">
        <v>3</v>
      </c>
      <c r="I768" s="26" t="s">
        <v>60</v>
      </c>
      <c r="J768" s="26" t="s">
        <v>1095</v>
      </c>
    </row>
    <row r="769" spans="1:10" ht="15.75" customHeight="1">
      <c r="A769" s="26" t="s">
        <v>860</v>
      </c>
      <c r="B769" s="29">
        <v>23</v>
      </c>
      <c r="C769" s="26" t="s">
        <v>59</v>
      </c>
      <c r="D769" s="26" t="s">
        <v>60</v>
      </c>
      <c r="E769" s="27" t="s">
        <v>78</v>
      </c>
      <c r="F769" s="26" t="s">
        <v>100</v>
      </c>
      <c r="G769" s="59">
        <v>3383960</v>
      </c>
      <c r="H769" s="29">
        <v>2</v>
      </c>
      <c r="I769" s="26" t="s">
        <v>60</v>
      </c>
      <c r="J769" s="26" t="s">
        <v>1096</v>
      </c>
    </row>
    <row r="770" spans="1:10" ht="15.75" customHeight="1">
      <c r="A770" s="26" t="s">
        <v>861</v>
      </c>
      <c r="B770" s="29">
        <v>48</v>
      </c>
      <c r="C770" s="26" t="s">
        <v>53</v>
      </c>
      <c r="D770" s="26" t="s">
        <v>60</v>
      </c>
      <c r="E770" s="27" t="s">
        <v>73</v>
      </c>
      <c r="F770" s="26" t="s">
        <v>71</v>
      </c>
      <c r="G770" s="59">
        <v>2056385</v>
      </c>
      <c r="H770" s="29">
        <v>7</v>
      </c>
      <c r="I770" s="26" t="s">
        <v>67</v>
      </c>
      <c r="J770" s="26" t="s">
        <v>1095</v>
      </c>
    </row>
    <row r="771" spans="1:10" ht="15.75" customHeight="1">
      <c r="A771" s="26" t="s">
        <v>862</v>
      </c>
      <c r="B771" s="29">
        <v>26</v>
      </c>
      <c r="C771" s="26" t="s">
        <v>59</v>
      </c>
      <c r="D771" s="26" t="s">
        <v>60</v>
      </c>
      <c r="E771" s="27" t="s">
        <v>85</v>
      </c>
      <c r="F771" s="26" t="s">
        <v>109</v>
      </c>
      <c r="G771" s="59">
        <v>6462880</v>
      </c>
      <c r="H771" s="29">
        <v>7</v>
      </c>
      <c r="I771" s="26" t="s">
        <v>60</v>
      </c>
      <c r="J771" s="26" t="s">
        <v>1096</v>
      </c>
    </row>
    <row r="772" spans="1:10" ht="15.75" customHeight="1">
      <c r="A772" s="26" t="s">
        <v>863</v>
      </c>
      <c r="B772" s="29">
        <v>39</v>
      </c>
      <c r="C772" s="26" t="s">
        <v>53</v>
      </c>
      <c r="D772" s="26" t="s">
        <v>60</v>
      </c>
      <c r="E772" s="27" t="s">
        <v>65</v>
      </c>
      <c r="F772" s="26" t="s">
        <v>109</v>
      </c>
      <c r="G772" s="59">
        <v>7122405</v>
      </c>
      <c r="H772" s="29">
        <v>7</v>
      </c>
      <c r="I772" s="26" t="s">
        <v>60</v>
      </c>
      <c r="J772" s="26" t="s">
        <v>1095</v>
      </c>
    </row>
    <row r="773" spans="1:10" ht="15.75" customHeight="1">
      <c r="A773" s="26" t="s">
        <v>864</v>
      </c>
      <c r="B773" s="29">
        <v>45</v>
      </c>
      <c r="C773" s="26" t="s">
        <v>59</v>
      </c>
      <c r="D773" s="26" t="s">
        <v>54</v>
      </c>
      <c r="E773" s="27" t="s">
        <v>78</v>
      </c>
      <c r="F773" s="26" t="s">
        <v>80</v>
      </c>
      <c r="G773" s="59">
        <v>7563380</v>
      </c>
      <c r="H773" s="29">
        <v>2</v>
      </c>
      <c r="I773" s="26" t="s">
        <v>67</v>
      </c>
      <c r="J773" s="26" t="s">
        <v>1095</v>
      </c>
    </row>
    <row r="774" spans="1:10" ht="15.75" customHeight="1">
      <c r="A774" s="26" t="s">
        <v>865</v>
      </c>
      <c r="B774" s="29">
        <v>22</v>
      </c>
      <c r="C774" s="26" t="s">
        <v>59</v>
      </c>
      <c r="D774" s="26" t="s">
        <v>54</v>
      </c>
      <c r="E774" s="27" t="s">
        <v>61</v>
      </c>
      <c r="F774" s="26" t="s">
        <v>104</v>
      </c>
      <c r="G774" s="59">
        <v>2326705</v>
      </c>
      <c r="H774" s="29">
        <v>7</v>
      </c>
      <c r="I774" s="26" t="s">
        <v>67</v>
      </c>
      <c r="J774" s="26" t="s">
        <v>1095</v>
      </c>
    </row>
    <row r="775" spans="1:10" ht="15.75" customHeight="1">
      <c r="A775" s="26" t="s">
        <v>866</v>
      </c>
      <c r="B775" s="29">
        <v>36</v>
      </c>
      <c r="C775" s="26" t="s">
        <v>59</v>
      </c>
      <c r="D775" s="26" t="s">
        <v>60</v>
      </c>
      <c r="E775" s="27" t="s">
        <v>55</v>
      </c>
      <c r="F775" s="26" t="s">
        <v>92</v>
      </c>
      <c r="G775" s="59">
        <v>3392485</v>
      </c>
      <c r="H775" s="29">
        <v>5</v>
      </c>
      <c r="I775" s="26" t="s">
        <v>63</v>
      </c>
      <c r="J775" s="26" t="s">
        <v>1095</v>
      </c>
    </row>
    <row r="776" spans="1:10" ht="15.75" customHeight="1">
      <c r="A776" s="26" t="s">
        <v>867</v>
      </c>
      <c r="B776" s="29">
        <v>29</v>
      </c>
      <c r="C776" s="26" t="s">
        <v>53</v>
      </c>
      <c r="D776" s="26" t="s">
        <v>54</v>
      </c>
      <c r="E776" s="27" t="s">
        <v>78</v>
      </c>
      <c r="F776" s="26" t="s">
        <v>82</v>
      </c>
      <c r="G776" s="59">
        <v>6774430</v>
      </c>
      <c r="H776" s="29">
        <v>7</v>
      </c>
      <c r="I776" s="26" t="s">
        <v>67</v>
      </c>
      <c r="J776" s="26" t="s">
        <v>1096</v>
      </c>
    </row>
    <row r="777" spans="1:10" ht="15.75" customHeight="1">
      <c r="A777" s="26" t="s">
        <v>868</v>
      </c>
      <c r="B777" s="29">
        <v>33</v>
      </c>
      <c r="C777" s="26" t="s">
        <v>59</v>
      </c>
      <c r="D777" s="26" t="s">
        <v>60</v>
      </c>
      <c r="E777" s="27" t="s">
        <v>61</v>
      </c>
      <c r="F777" s="26" t="s">
        <v>137</v>
      </c>
      <c r="G777" s="59">
        <v>1899990</v>
      </c>
      <c r="H777" s="29">
        <v>2</v>
      </c>
      <c r="I777" s="26" t="s">
        <v>67</v>
      </c>
      <c r="J777" s="26" t="s">
        <v>1095</v>
      </c>
    </row>
    <row r="778" spans="1:10" ht="15.75" customHeight="1">
      <c r="A778" s="26" t="s">
        <v>869</v>
      </c>
      <c r="B778" s="29">
        <v>35</v>
      </c>
      <c r="C778" s="26" t="s">
        <v>59</v>
      </c>
      <c r="D778" s="26" t="s">
        <v>60</v>
      </c>
      <c r="E778" s="27" t="s">
        <v>65</v>
      </c>
      <c r="F778" s="26" t="s">
        <v>62</v>
      </c>
      <c r="G778" s="59">
        <v>3023585</v>
      </c>
      <c r="H778" s="29">
        <v>8</v>
      </c>
      <c r="I778" s="26" t="s">
        <v>60</v>
      </c>
      <c r="J778" s="26" t="s">
        <v>1096</v>
      </c>
    </row>
    <row r="779" spans="1:10" ht="15.75" customHeight="1">
      <c r="A779" s="26" t="s">
        <v>870</v>
      </c>
      <c r="B779" s="29">
        <v>39</v>
      </c>
      <c r="C779" s="26" t="s">
        <v>53</v>
      </c>
      <c r="D779" s="26" t="s">
        <v>54</v>
      </c>
      <c r="E779" s="27" t="s">
        <v>85</v>
      </c>
      <c r="F779" s="26" t="s">
        <v>76</v>
      </c>
      <c r="G779" s="59">
        <v>2945930</v>
      </c>
      <c r="H779" s="29">
        <v>9</v>
      </c>
      <c r="I779" s="26" t="s">
        <v>57</v>
      </c>
      <c r="J779" s="26" t="s">
        <v>1095</v>
      </c>
    </row>
    <row r="780" spans="1:10" ht="15.75" customHeight="1">
      <c r="A780" s="26" t="s">
        <v>871</v>
      </c>
      <c r="B780" s="29">
        <v>38</v>
      </c>
      <c r="C780" s="26" t="s">
        <v>53</v>
      </c>
      <c r="D780" s="26" t="s">
        <v>54</v>
      </c>
      <c r="E780" s="27" t="s">
        <v>65</v>
      </c>
      <c r="F780" s="26" t="s">
        <v>121</v>
      </c>
      <c r="G780" s="59">
        <v>7529280</v>
      </c>
      <c r="H780" s="29">
        <v>10</v>
      </c>
      <c r="I780" s="26" t="s">
        <v>63</v>
      </c>
      <c r="J780" s="26" t="s">
        <v>1095</v>
      </c>
    </row>
    <row r="781" spans="1:10" ht="15.75" customHeight="1">
      <c r="A781" s="26" t="s">
        <v>872</v>
      </c>
      <c r="B781" s="29">
        <v>27</v>
      </c>
      <c r="C781" s="26" t="s">
        <v>53</v>
      </c>
      <c r="D781" s="26" t="s">
        <v>60</v>
      </c>
      <c r="E781" s="27" t="s">
        <v>61</v>
      </c>
      <c r="F781" s="26" t="s">
        <v>76</v>
      </c>
      <c r="G781" s="59">
        <v>3759835</v>
      </c>
      <c r="H781" s="29">
        <v>7</v>
      </c>
      <c r="I781" s="26" t="s">
        <v>67</v>
      </c>
      <c r="J781" s="26" t="s">
        <v>1095</v>
      </c>
    </row>
    <row r="782" spans="1:10" ht="15.75" customHeight="1">
      <c r="A782" s="26" t="s">
        <v>873</v>
      </c>
      <c r="B782" s="29">
        <v>35</v>
      </c>
      <c r="C782" s="26" t="s">
        <v>59</v>
      </c>
      <c r="D782" s="26" t="s">
        <v>54</v>
      </c>
      <c r="E782" s="27" t="s">
        <v>65</v>
      </c>
      <c r="F782" s="26" t="s">
        <v>109</v>
      </c>
      <c r="G782" s="59">
        <v>4698515</v>
      </c>
      <c r="H782" s="29">
        <v>2</v>
      </c>
      <c r="I782" s="26" t="s">
        <v>60</v>
      </c>
      <c r="J782" s="26" t="s">
        <v>1096</v>
      </c>
    </row>
    <row r="783" spans="1:10" ht="15.75" customHeight="1">
      <c r="A783" s="26" t="s">
        <v>874</v>
      </c>
      <c r="B783" s="29">
        <v>43</v>
      </c>
      <c r="C783" s="26" t="s">
        <v>53</v>
      </c>
      <c r="D783" s="26" t="s">
        <v>54</v>
      </c>
      <c r="E783" s="27" t="s">
        <v>78</v>
      </c>
      <c r="F783" s="26" t="s">
        <v>104</v>
      </c>
      <c r="G783" s="59">
        <v>2109550</v>
      </c>
      <c r="H783" s="29">
        <v>5</v>
      </c>
      <c r="I783" s="26" t="s">
        <v>67</v>
      </c>
      <c r="J783" s="26" t="s">
        <v>1096</v>
      </c>
    </row>
    <row r="784" spans="1:10" ht="15.75" customHeight="1">
      <c r="A784" s="26" t="s">
        <v>875</v>
      </c>
      <c r="B784" s="29">
        <v>40</v>
      </c>
      <c r="C784" s="26" t="s">
        <v>53</v>
      </c>
      <c r="D784" s="26" t="s">
        <v>60</v>
      </c>
      <c r="E784" s="27" t="s">
        <v>78</v>
      </c>
      <c r="F784" s="26" t="s">
        <v>98</v>
      </c>
      <c r="G784" s="59">
        <v>3859810</v>
      </c>
      <c r="H784" s="29">
        <v>11</v>
      </c>
      <c r="I784" s="26" t="s">
        <v>63</v>
      </c>
      <c r="J784" s="26" t="s">
        <v>1095</v>
      </c>
    </row>
    <row r="785" spans="1:10" ht="15.75" customHeight="1">
      <c r="A785" s="26" t="s">
        <v>876</v>
      </c>
      <c r="B785" s="29">
        <v>19</v>
      </c>
      <c r="C785" s="26" t="s">
        <v>59</v>
      </c>
      <c r="D785" s="26" t="s">
        <v>54</v>
      </c>
      <c r="E785" s="27" t="s">
        <v>78</v>
      </c>
      <c r="F785" s="26" t="s">
        <v>66</v>
      </c>
      <c r="G785" s="59">
        <v>7234470</v>
      </c>
      <c r="H785" s="29">
        <v>7</v>
      </c>
      <c r="I785" s="26" t="s">
        <v>63</v>
      </c>
      <c r="J785" s="26" t="s">
        <v>1095</v>
      </c>
    </row>
    <row r="786" spans="1:10" ht="15.75" customHeight="1">
      <c r="A786" s="26" t="s">
        <v>877</v>
      </c>
      <c r="B786" s="29">
        <v>46</v>
      </c>
      <c r="C786" s="26" t="s">
        <v>53</v>
      </c>
      <c r="D786" s="26" t="s">
        <v>60</v>
      </c>
      <c r="E786" s="27" t="s">
        <v>78</v>
      </c>
      <c r="F786" s="26" t="s">
        <v>88</v>
      </c>
      <c r="G786" s="59">
        <v>3554150</v>
      </c>
      <c r="H786" s="29">
        <v>6</v>
      </c>
      <c r="I786" s="26" t="s">
        <v>57</v>
      </c>
      <c r="J786" s="26" t="s">
        <v>1096</v>
      </c>
    </row>
    <row r="787" spans="1:10" ht="15.75" customHeight="1">
      <c r="A787" s="26" t="s">
        <v>878</v>
      </c>
      <c r="B787" s="29">
        <v>30</v>
      </c>
      <c r="C787" s="26" t="s">
        <v>53</v>
      </c>
      <c r="D787" s="26" t="s">
        <v>60</v>
      </c>
      <c r="E787" s="27" t="s">
        <v>61</v>
      </c>
      <c r="F787" s="26" t="s">
        <v>1093</v>
      </c>
      <c r="G787" s="59">
        <v>6983060</v>
      </c>
      <c r="H787" s="29">
        <v>8</v>
      </c>
      <c r="I787" s="26" t="s">
        <v>60</v>
      </c>
      <c r="J787" s="26" t="s">
        <v>1095</v>
      </c>
    </row>
    <row r="788" spans="1:10" ht="15.75" customHeight="1">
      <c r="A788" s="26" t="s">
        <v>879</v>
      </c>
      <c r="B788" s="29">
        <v>35</v>
      </c>
      <c r="C788" s="26" t="s">
        <v>59</v>
      </c>
      <c r="D788" s="26" t="s">
        <v>60</v>
      </c>
      <c r="E788" s="27" t="s">
        <v>85</v>
      </c>
      <c r="F788" s="26" t="s">
        <v>121</v>
      </c>
      <c r="G788" s="59">
        <v>3819820</v>
      </c>
      <c r="H788" s="29">
        <v>4</v>
      </c>
      <c r="I788" s="26" t="s">
        <v>63</v>
      </c>
      <c r="J788" s="26" t="s">
        <v>1096</v>
      </c>
    </row>
    <row r="789" spans="1:10" ht="15.75" customHeight="1">
      <c r="A789" s="26" t="s">
        <v>880</v>
      </c>
      <c r="B789" s="29">
        <v>34</v>
      </c>
      <c r="C789" s="26" t="s">
        <v>59</v>
      </c>
      <c r="D789" s="26" t="s">
        <v>60</v>
      </c>
      <c r="E789" s="27" t="s">
        <v>78</v>
      </c>
      <c r="F789" s="26" t="s">
        <v>69</v>
      </c>
      <c r="G789" s="59">
        <v>1449560</v>
      </c>
      <c r="H789" s="29">
        <v>2</v>
      </c>
      <c r="I789" s="26" t="s">
        <v>57</v>
      </c>
      <c r="J789" s="26" t="s">
        <v>1096</v>
      </c>
    </row>
    <row r="790" spans="1:10" ht="15.75" customHeight="1">
      <c r="A790" s="26" t="s">
        <v>881</v>
      </c>
      <c r="B790" s="29">
        <v>28</v>
      </c>
      <c r="C790" s="26" t="s">
        <v>53</v>
      </c>
      <c r="D790" s="26" t="s">
        <v>54</v>
      </c>
      <c r="E790" s="27" t="s">
        <v>85</v>
      </c>
      <c r="F790" s="26" t="s">
        <v>121</v>
      </c>
      <c r="G790" s="59">
        <v>2135125</v>
      </c>
      <c r="H790" s="29">
        <v>6</v>
      </c>
      <c r="I790" s="26" t="s">
        <v>60</v>
      </c>
      <c r="J790" s="26" t="s">
        <v>1096</v>
      </c>
    </row>
    <row r="791" spans="1:10" ht="15.75" customHeight="1">
      <c r="A791" s="26" t="s">
        <v>882</v>
      </c>
      <c r="B791" s="29">
        <v>44</v>
      </c>
      <c r="C791" s="26" t="s">
        <v>53</v>
      </c>
      <c r="D791" s="26" t="s">
        <v>54</v>
      </c>
      <c r="E791" s="27" t="s">
        <v>61</v>
      </c>
      <c r="F791" s="26" t="s">
        <v>69</v>
      </c>
      <c r="G791" s="59">
        <v>1218920</v>
      </c>
      <c r="H791" s="29">
        <v>5</v>
      </c>
      <c r="I791" s="26" t="s">
        <v>60</v>
      </c>
      <c r="J791" s="26" t="s">
        <v>1095</v>
      </c>
    </row>
    <row r="792" spans="1:10" ht="15.75" customHeight="1">
      <c r="A792" s="26" t="s">
        <v>883</v>
      </c>
      <c r="B792" s="29">
        <v>25</v>
      </c>
      <c r="C792" s="26" t="s">
        <v>59</v>
      </c>
      <c r="D792" s="26" t="s">
        <v>60</v>
      </c>
      <c r="E792" s="27" t="s">
        <v>78</v>
      </c>
      <c r="F792" s="26" t="s">
        <v>100</v>
      </c>
      <c r="G792" s="59">
        <v>3329710</v>
      </c>
      <c r="H792" s="29">
        <v>9</v>
      </c>
      <c r="I792" s="26" t="s">
        <v>57</v>
      </c>
      <c r="J792" s="26" t="s">
        <v>1095</v>
      </c>
    </row>
    <row r="793" spans="1:10" ht="15.75" customHeight="1">
      <c r="A793" s="26" t="s">
        <v>884</v>
      </c>
      <c r="B793" s="29">
        <v>45</v>
      </c>
      <c r="C793" s="26" t="s">
        <v>59</v>
      </c>
      <c r="D793" s="26" t="s">
        <v>54</v>
      </c>
      <c r="E793" s="27" t="s">
        <v>55</v>
      </c>
      <c r="F793" s="26" t="s">
        <v>82</v>
      </c>
      <c r="G793" s="59">
        <v>889545</v>
      </c>
      <c r="H793" s="29">
        <v>3</v>
      </c>
      <c r="I793" s="26" t="s">
        <v>57</v>
      </c>
      <c r="J793" s="26" t="s">
        <v>1096</v>
      </c>
    </row>
    <row r="794" spans="1:10" ht="15.75" customHeight="1">
      <c r="A794" s="26" t="s">
        <v>885</v>
      </c>
      <c r="B794" s="29">
        <v>47</v>
      </c>
      <c r="C794" s="26" t="s">
        <v>53</v>
      </c>
      <c r="D794" s="26" t="s">
        <v>60</v>
      </c>
      <c r="E794" s="27" t="s">
        <v>85</v>
      </c>
      <c r="F794" s="26" t="s">
        <v>137</v>
      </c>
      <c r="G794" s="59">
        <v>5640605</v>
      </c>
      <c r="H794" s="29">
        <v>10</v>
      </c>
      <c r="I794" s="26" t="s">
        <v>63</v>
      </c>
      <c r="J794" s="26" t="s">
        <v>1095</v>
      </c>
    </row>
    <row r="795" spans="1:10" ht="15.75" customHeight="1">
      <c r="A795" s="26" t="s">
        <v>886</v>
      </c>
      <c r="B795" s="29">
        <v>39</v>
      </c>
      <c r="C795" s="26" t="s">
        <v>59</v>
      </c>
      <c r="D795" s="26" t="s">
        <v>54</v>
      </c>
      <c r="E795" s="27" t="s">
        <v>85</v>
      </c>
      <c r="F795" s="26" t="s">
        <v>1094</v>
      </c>
      <c r="G795" s="59">
        <v>4724245</v>
      </c>
      <c r="H795" s="29">
        <v>12</v>
      </c>
      <c r="I795" s="26" t="s">
        <v>67</v>
      </c>
      <c r="J795" s="26" t="s">
        <v>1095</v>
      </c>
    </row>
    <row r="796" spans="1:10" ht="15.75" customHeight="1">
      <c r="A796" s="26" t="s">
        <v>887</v>
      </c>
      <c r="B796" s="29">
        <v>32</v>
      </c>
      <c r="C796" s="26" t="s">
        <v>59</v>
      </c>
      <c r="D796" s="26" t="s">
        <v>60</v>
      </c>
      <c r="E796" s="27" t="s">
        <v>85</v>
      </c>
      <c r="F796" s="26" t="s">
        <v>167</v>
      </c>
      <c r="G796" s="59">
        <v>5641690</v>
      </c>
      <c r="H796" s="29">
        <v>4</v>
      </c>
      <c r="I796" s="26" t="s">
        <v>57</v>
      </c>
      <c r="J796" s="26" t="s">
        <v>1095</v>
      </c>
    </row>
    <row r="797" spans="1:10" ht="15.75" customHeight="1">
      <c r="A797" s="26" t="s">
        <v>888</v>
      </c>
      <c r="B797" s="29">
        <v>47</v>
      </c>
      <c r="C797" s="26" t="s">
        <v>59</v>
      </c>
      <c r="D797" s="26" t="s">
        <v>54</v>
      </c>
      <c r="E797" s="27" t="s">
        <v>55</v>
      </c>
      <c r="F797" s="26" t="s">
        <v>76</v>
      </c>
      <c r="G797" s="59">
        <v>3868800</v>
      </c>
      <c r="H797" s="29">
        <v>7</v>
      </c>
      <c r="I797" s="26" t="s">
        <v>67</v>
      </c>
      <c r="J797" s="26" t="s">
        <v>1095</v>
      </c>
    </row>
    <row r="798" spans="1:10" ht="15.75" customHeight="1">
      <c r="A798" s="26" t="s">
        <v>889</v>
      </c>
      <c r="B798" s="29">
        <v>19</v>
      </c>
      <c r="C798" s="26" t="s">
        <v>59</v>
      </c>
      <c r="D798" s="26" t="s">
        <v>60</v>
      </c>
      <c r="E798" s="27" t="s">
        <v>61</v>
      </c>
      <c r="F798" s="26" t="s">
        <v>98</v>
      </c>
      <c r="G798" s="59">
        <v>5348120</v>
      </c>
      <c r="H798" s="29">
        <v>12</v>
      </c>
      <c r="I798" s="26" t="s">
        <v>67</v>
      </c>
      <c r="J798" s="26" t="s">
        <v>1095</v>
      </c>
    </row>
    <row r="799" spans="1:10" ht="15.75" customHeight="1">
      <c r="A799" s="26" t="s">
        <v>890</v>
      </c>
      <c r="B799" s="29">
        <v>48</v>
      </c>
      <c r="C799" s="26" t="s">
        <v>53</v>
      </c>
      <c r="D799" s="26" t="s">
        <v>54</v>
      </c>
      <c r="E799" s="27" t="s">
        <v>73</v>
      </c>
      <c r="F799" s="26" t="s">
        <v>109</v>
      </c>
      <c r="G799" s="59">
        <v>916825</v>
      </c>
      <c r="H799" s="29">
        <v>0</v>
      </c>
      <c r="I799" s="26" t="s">
        <v>57</v>
      </c>
      <c r="J799" s="26" t="s">
        <v>1096</v>
      </c>
    </row>
    <row r="800" spans="1:10" ht="15.75" customHeight="1">
      <c r="A800" s="26" t="s">
        <v>891</v>
      </c>
      <c r="B800" s="29">
        <v>27</v>
      </c>
      <c r="C800" s="26" t="s">
        <v>59</v>
      </c>
      <c r="D800" s="26" t="s">
        <v>60</v>
      </c>
      <c r="E800" s="27" t="s">
        <v>61</v>
      </c>
      <c r="F800" s="26" t="s">
        <v>69</v>
      </c>
      <c r="G800" s="59">
        <v>7158055</v>
      </c>
      <c r="H800" s="29">
        <v>12</v>
      </c>
      <c r="I800" s="26" t="s">
        <v>63</v>
      </c>
      <c r="J800" s="26" t="s">
        <v>1095</v>
      </c>
    </row>
    <row r="801" spans="1:10" ht="15.75" customHeight="1">
      <c r="A801" s="26" t="s">
        <v>892</v>
      </c>
      <c r="B801" s="29">
        <v>31</v>
      </c>
      <c r="C801" s="26" t="s">
        <v>53</v>
      </c>
      <c r="D801" s="26" t="s">
        <v>60</v>
      </c>
      <c r="E801" s="27" t="s">
        <v>85</v>
      </c>
      <c r="F801" s="26" t="s">
        <v>90</v>
      </c>
      <c r="G801" s="59">
        <v>4353640</v>
      </c>
      <c r="H801" s="29">
        <v>4</v>
      </c>
      <c r="I801" s="26" t="s">
        <v>60</v>
      </c>
      <c r="J801" s="26" t="s">
        <v>1095</v>
      </c>
    </row>
    <row r="802" spans="1:10" ht="15.75" customHeight="1">
      <c r="A802" s="26" t="s">
        <v>893</v>
      </c>
      <c r="B802" s="29">
        <v>44</v>
      </c>
      <c r="C802" s="26" t="s">
        <v>59</v>
      </c>
      <c r="D802" s="26" t="s">
        <v>54</v>
      </c>
      <c r="E802" s="27" t="s">
        <v>61</v>
      </c>
      <c r="F802" s="26" t="s">
        <v>86</v>
      </c>
      <c r="G802" s="59">
        <v>4397350</v>
      </c>
      <c r="H802" s="29">
        <v>8</v>
      </c>
      <c r="I802" s="26" t="s">
        <v>63</v>
      </c>
      <c r="J802" s="26" t="s">
        <v>1096</v>
      </c>
    </row>
    <row r="803" spans="1:10" ht="15.75" customHeight="1">
      <c r="A803" s="26" t="s">
        <v>894</v>
      </c>
      <c r="B803" s="29">
        <v>24</v>
      </c>
      <c r="C803" s="26" t="s">
        <v>53</v>
      </c>
      <c r="D803" s="26" t="s">
        <v>60</v>
      </c>
      <c r="E803" s="27" t="s">
        <v>65</v>
      </c>
      <c r="F803" s="26" t="s">
        <v>86</v>
      </c>
      <c r="G803" s="59">
        <v>6385225</v>
      </c>
      <c r="H803" s="29">
        <v>10</v>
      </c>
      <c r="I803" s="26" t="s">
        <v>57</v>
      </c>
      <c r="J803" s="26" t="s">
        <v>1095</v>
      </c>
    </row>
    <row r="804" spans="1:10" ht="15.75" customHeight="1">
      <c r="A804" s="26" t="s">
        <v>895</v>
      </c>
      <c r="B804" s="29">
        <v>32</v>
      </c>
      <c r="C804" s="26" t="s">
        <v>53</v>
      </c>
      <c r="D804" s="26" t="s">
        <v>54</v>
      </c>
      <c r="E804" s="27" t="s">
        <v>61</v>
      </c>
      <c r="F804" s="26" t="s">
        <v>56</v>
      </c>
      <c r="G804" s="59">
        <v>7379705</v>
      </c>
      <c r="H804" s="29">
        <v>5</v>
      </c>
      <c r="I804" s="26" t="s">
        <v>57</v>
      </c>
      <c r="J804" s="26" t="s">
        <v>1095</v>
      </c>
    </row>
    <row r="805" spans="1:10" ht="15.75" customHeight="1">
      <c r="A805" s="26" t="s">
        <v>896</v>
      </c>
      <c r="B805" s="29">
        <v>28</v>
      </c>
      <c r="C805" s="26" t="s">
        <v>53</v>
      </c>
      <c r="D805" s="26" t="s">
        <v>54</v>
      </c>
      <c r="E805" s="27" t="s">
        <v>85</v>
      </c>
      <c r="F805" s="26" t="s">
        <v>56</v>
      </c>
      <c r="G805" s="59">
        <v>6188220</v>
      </c>
      <c r="H805" s="29">
        <v>7</v>
      </c>
      <c r="I805" s="26" t="s">
        <v>63</v>
      </c>
      <c r="J805" s="26" t="s">
        <v>1096</v>
      </c>
    </row>
    <row r="806" spans="1:10" ht="15.75" customHeight="1">
      <c r="A806" s="26" t="s">
        <v>897</v>
      </c>
      <c r="B806" s="29">
        <v>26</v>
      </c>
      <c r="C806" s="26" t="s">
        <v>59</v>
      </c>
      <c r="D806" s="26" t="s">
        <v>54</v>
      </c>
      <c r="E806" s="27" t="s">
        <v>73</v>
      </c>
      <c r="F806" s="26" t="s">
        <v>167</v>
      </c>
      <c r="G806" s="59">
        <v>1407245</v>
      </c>
      <c r="H806" s="29">
        <v>12</v>
      </c>
      <c r="I806" s="26" t="s">
        <v>63</v>
      </c>
      <c r="J806" s="26" t="s">
        <v>1096</v>
      </c>
    </row>
    <row r="807" spans="1:10" ht="15.75" customHeight="1">
      <c r="A807" s="26" t="s">
        <v>898</v>
      </c>
      <c r="B807" s="29">
        <v>38</v>
      </c>
      <c r="C807" s="26" t="s">
        <v>53</v>
      </c>
      <c r="D807" s="26" t="s">
        <v>54</v>
      </c>
      <c r="E807" s="27" t="s">
        <v>78</v>
      </c>
      <c r="F807" s="26" t="s">
        <v>88</v>
      </c>
      <c r="G807" s="59">
        <v>3558180</v>
      </c>
      <c r="H807" s="29">
        <v>9</v>
      </c>
      <c r="I807" s="26" t="s">
        <v>57</v>
      </c>
      <c r="J807" s="26" t="s">
        <v>1095</v>
      </c>
    </row>
    <row r="808" spans="1:10" ht="15.75" customHeight="1">
      <c r="A808" s="26" t="s">
        <v>899</v>
      </c>
      <c r="B808" s="29">
        <v>28</v>
      </c>
      <c r="C808" s="26" t="s">
        <v>53</v>
      </c>
      <c r="D808" s="26" t="s">
        <v>54</v>
      </c>
      <c r="E808" s="27" t="s">
        <v>85</v>
      </c>
      <c r="F808" s="26" t="s">
        <v>80</v>
      </c>
      <c r="G808" s="59">
        <v>2487285</v>
      </c>
      <c r="H808" s="29">
        <v>7</v>
      </c>
      <c r="I808" s="26" t="s">
        <v>57</v>
      </c>
      <c r="J808" s="26" t="s">
        <v>1095</v>
      </c>
    </row>
    <row r="809" spans="1:10" ht="15.75" customHeight="1">
      <c r="A809" s="26" t="s">
        <v>900</v>
      </c>
      <c r="B809" s="29">
        <v>30</v>
      </c>
      <c r="C809" s="26" t="s">
        <v>59</v>
      </c>
      <c r="D809" s="26" t="s">
        <v>60</v>
      </c>
      <c r="E809" s="27" t="s">
        <v>65</v>
      </c>
      <c r="F809" s="26" t="s">
        <v>100</v>
      </c>
      <c r="G809" s="59">
        <v>1623470</v>
      </c>
      <c r="H809" s="29">
        <v>6</v>
      </c>
      <c r="I809" s="26" t="s">
        <v>57</v>
      </c>
      <c r="J809" s="26" t="s">
        <v>1096</v>
      </c>
    </row>
    <row r="810" spans="1:10" ht="15.75" customHeight="1">
      <c r="A810" s="26" t="s">
        <v>901</v>
      </c>
      <c r="B810" s="29">
        <v>37</v>
      </c>
      <c r="C810" s="26" t="s">
        <v>53</v>
      </c>
      <c r="D810" s="26" t="s">
        <v>60</v>
      </c>
      <c r="E810" s="27" t="s">
        <v>65</v>
      </c>
      <c r="F810" s="26" t="s">
        <v>62</v>
      </c>
      <c r="G810" s="59">
        <v>6199225</v>
      </c>
      <c r="H810" s="29">
        <v>10</v>
      </c>
      <c r="I810" s="26" t="s">
        <v>67</v>
      </c>
      <c r="J810" s="26" t="s">
        <v>1095</v>
      </c>
    </row>
    <row r="811" spans="1:10" ht="15.75" customHeight="1">
      <c r="A811" s="26" t="s">
        <v>902</v>
      </c>
      <c r="B811" s="29">
        <v>47</v>
      </c>
      <c r="C811" s="26" t="s">
        <v>53</v>
      </c>
      <c r="D811" s="26" t="s">
        <v>60</v>
      </c>
      <c r="E811" s="27" t="s">
        <v>85</v>
      </c>
      <c r="F811" s="26" t="s">
        <v>102</v>
      </c>
      <c r="G811" s="59">
        <v>5228615</v>
      </c>
      <c r="H811" s="29">
        <v>8</v>
      </c>
      <c r="I811" s="26" t="s">
        <v>57</v>
      </c>
      <c r="J811" s="26" t="s">
        <v>1096</v>
      </c>
    </row>
    <row r="812" spans="1:10" ht="15.75" customHeight="1">
      <c r="A812" s="26" t="s">
        <v>903</v>
      </c>
      <c r="B812" s="29">
        <v>41</v>
      </c>
      <c r="C812" s="26" t="s">
        <v>53</v>
      </c>
      <c r="D812" s="26" t="s">
        <v>60</v>
      </c>
      <c r="E812" s="27" t="s">
        <v>61</v>
      </c>
      <c r="F812" s="26" t="s">
        <v>167</v>
      </c>
      <c r="G812" s="59">
        <v>3174865</v>
      </c>
      <c r="H812" s="29">
        <v>6</v>
      </c>
      <c r="I812" s="26" t="s">
        <v>60</v>
      </c>
      <c r="J812" s="26" t="s">
        <v>1095</v>
      </c>
    </row>
    <row r="813" spans="1:10" ht="15.75" customHeight="1">
      <c r="A813" s="26" t="s">
        <v>904</v>
      </c>
      <c r="B813" s="29">
        <v>22</v>
      </c>
      <c r="C813" s="26" t="s">
        <v>53</v>
      </c>
      <c r="D813" s="26" t="s">
        <v>54</v>
      </c>
      <c r="E813" s="27" t="s">
        <v>78</v>
      </c>
      <c r="F813" s="26" t="s">
        <v>1093</v>
      </c>
      <c r="G813" s="59">
        <v>3006070</v>
      </c>
      <c r="H813" s="29">
        <v>11</v>
      </c>
      <c r="I813" s="26" t="s">
        <v>57</v>
      </c>
      <c r="J813" s="26" t="s">
        <v>1096</v>
      </c>
    </row>
    <row r="814" spans="1:10" ht="15.75" customHeight="1">
      <c r="A814" s="26" t="s">
        <v>905</v>
      </c>
      <c r="B814" s="29">
        <v>46</v>
      </c>
      <c r="C814" s="26" t="s">
        <v>59</v>
      </c>
      <c r="D814" s="26" t="s">
        <v>60</v>
      </c>
      <c r="E814" s="27" t="s">
        <v>73</v>
      </c>
      <c r="F814" s="26" t="s">
        <v>82</v>
      </c>
      <c r="G814" s="59">
        <v>7135735</v>
      </c>
      <c r="H814" s="29">
        <v>10</v>
      </c>
      <c r="I814" s="26" t="s">
        <v>67</v>
      </c>
      <c r="J814" s="26" t="s">
        <v>1095</v>
      </c>
    </row>
    <row r="815" spans="1:10" ht="15.75" customHeight="1">
      <c r="A815" s="26" t="s">
        <v>906</v>
      </c>
      <c r="B815" s="29">
        <v>34</v>
      </c>
      <c r="C815" s="26" t="s">
        <v>53</v>
      </c>
      <c r="D815" s="26" t="s">
        <v>54</v>
      </c>
      <c r="E815" s="27" t="s">
        <v>65</v>
      </c>
      <c r="F815" s="26" t="s">
        <v>109</v>
      </c>
      <c r="G815" s="59">
        <v>4607995</v>
      </c>
      <c r="H815" s="29">
        <v>9</v>
      </c>
      <c r="I815" s="26" t="s">
        <v>57</v>
      </c>
      <c r="J815" s="26" t="s">
        <v>1095</v>
      </c>
    </row>
    <row r="816" spans="1:10" ht="15.75" customHeight="1">
      <c r="A816" s="26" t="s">
        <v>907</v>
      </c>
      <c r="B816" s="29">
        <v>31</v>
      </c>
      <c r="C816" s="26" t="s">
        <v>59</v>
      </c>
      <c r="D816" s="26" t="s">
        <v>54</v>
      </c>
      <c r="E816" s="27" t="s">
        <v>65</v>
      </c>
      <c r="F816" s="26" t="s">
        <v>76</v>
      </c>
      <c r="G816" s="59">
        <v>6036785</v>
      </c>
      <c r="H816" s="29">
        <v>4</v>
      </c>
      <c r="I816" s="26" t="s">
        <v>67</v>
      </c>
      <c r="J816" s="26" t="s">
        <v>1095</v>
      </c>
    </row>
    <row r="817" spans="1:10" ht="15.75" customHeight="1">
      <c r="A817" s="26" t="s">
        <v>908</v>
      </c>
      <c r="B817" s="29">
        <v>38</v>
      </c>
      <c r="C817" s="26" t="s">
        <v>59</v>
      </c>
      <c r="D817" s="26" t="s">
        <v>60</v>
      </c>
      <c r="E817" s="27" t="s">
        <v>85</v>
      </c>
      <c r="F817" s="26" t="s">
        <v>69</v>
      </c>
      <c r="G817" s="59">
        <v>5735775</v>
      </c>
      <c r="H817" s="29">
        <v>11</v>
      </c>
      <c r="I817" s="26" t="s">
        <v>63</v>
      </c>
      <c r="J817" s="26" t="s">
        <v>1095</v>
      </c>
    </row>
    <row r="818" spans="1:10" ht="15.75" customHeight="1">
      <c r="A818" s="26" t="s">
        <v>909</v>
      </c>
      <c r="B818" s="29">
        <v>45</v>
      </c>
      <c r="C818" s="26" t="s">
        <v>59</v>
      </c>
      <c r="D818" s="26" t="s">
        <v>60</v>
      </c>
      <c r="E818" s="27" t="s">
        <v>65</v>
      </c>
      <c r="F818" s="26" t="s">
        <v>167</v>
      </c>
      <c r="G818" s="59">
        <v>7164720</v>
      </c>
      <c r="H818" s="29">
        <v>2</v>
      </c>
      <c r="I818" s="26" t="s">
        <v>67</v>
      </c>
      <c r="J818" s="26" t="s">
        <v>1095</v>
      </c>
    </row>
    <row r="819" spans="1:10" ht="15.75" customHeight="1">
      <c r="A819" s="26" t="s">
        <v>910</v>
      </c>
      <c r="B819" s="29">
        <v>30</v>
      </c>
      <c r="C819" s="26" t="s">
        <v>53</v>
      </c>
      <c r="D819" s="26" t="s">
        <v>60</v>
      </c>
      <c r="E819" s="27" t="s">
        <v>78</v>
      </c>
      <c r="F819" s="26" t="s">
        <v>62</v>
      </c>
      <c r="G819" s="59">
        <v>7324215</v>
      </c>
      <c r="H819" s="29">
        <v>11</v>
      </c>
      <c r="I819" s="26" t="s">
        <v>63</v>
      </c>
      <c r="J819" s="26" t="s">
        <v>1096</v>
      </c>
    </row>
    <row r="820" spans="1:10" ht="15.75" customHeight="1">
      <c r="A820" s="26" t="s">
        <v>911</v>
      </c>
      <c r="B820" s="29">
        <v>45</v>
      </c>
      <c r="C820" s="26" t="s">
        <v>53</v>
      </c>
      <c r="D820" s="26" t="s">
        <v>54</v>
      </c>
      <c r="E820" s="27" t="s">
        <v>55</v>
      </c>
      <c r="F820" s="26" t="s">
        <v>69</v>
      </c>
      <c r="G820" s="59">
        <v>6312995</v>
      </c>
      <c r="H820" s="29">
        <v>3</v>
      </c>
      <c r="I820" s="26" t="s">
        <v>67</v>
      </c>
      <c r="J820" s="26" t="s">
        <v>1096</v>
      </c>
    </row>
    <row r="821" spans="1:10" ht="15.75" customHeight="1">
      <c r="A821" s="26" t="s">
        <v>912</v>
      </c>
      <c r="B821" s="29">
        <v>18</v>
      </c>
      <c r="C821" s="26" t="s">
        <v>59</v>
      </c>
      <c r="D821" s="26" t="s">
        <v>60</v>
      </c>
      <c r="E821" s="27" t="s">
        <v>61</v>
      </c>
      <c r="F821" s="26" t="s">
        <v>82</v>
      </c>
      <c r="G821" s="59">
        <v>2102575</v>
      </c>
      <c r="H821" s="29">
        <v>8</v>
      </c>
      <c r="I821" s="26" t="s">
        <v>67</v>
      </c>
      <c r="J821" s="26" t="s">
        <v>1096</v>
      </c>
    </row>
    <row r="822" spans="1:10" ht="15.75" customHeight="1">
      <c r="A822" s="26" t="s">
        <v>913</v>
      </c>
      <c r="B822" s="29">
        <v>36</v>
      </c>
      <c r="C822" s="26" t="s">
        <v>59</v>
      </c>
      <c r="D822" s="26" t="s">
        <v>60</v>
      </c>
      <c r="E822" s="27" t="s">
        <v>55</v>
      </c>
      <c r="F822" s="26" t="s">
        <v>88</v>
      </c>
      <c r="G822" s="59">
        <v>5461425</v>
      </c>
      <c r="H822" s="29">
        <v>4</v>
      </c>
      <c r="I822" s="26" t="s">
        <v>67</v>
      </c>
      <c r="J822" s="26" t="s">
        <v>1096</v>
      </c>
    </row>
    <row r="823" spans="1:10" ht="15.75" customHeight="1">
      <c r="A823" s="26" t="s">
        <v>914</v>
      </c>
      <c r="B823" s="29">
        <v>25</v>
      </c>
      <c r="C823" s="26" t="s">
        <v>53</v>
      </c>
      <c r="D823" s="26" t="s">
        <v>60</v>
      </c>
      <c r="E823" s="27" t="s">
        <v>73</v>
      </c>
      <c r="F823" s="26" t="s">
        <v>76</v>
      </c>
      <c r="G823" s="59">
        <v>6846815</v>
      </c>
      <c r="H823" s="29">
        <v>12</v>
      </c>
      <c r="I823" s="26" t="s">
        <v>67</v>
      </c>
      <c r="J823" s="26" t="s">
        <v>1095</v>
      </c>
    </row>
    <row r="824" spans="1:10" ht="15.75" customHeight="1">
      <c r="A824" s="26" t="s">
        <v>915</v>
      </c>
      <c r="B824" s="29">
        <v>21</v>
      </c>
      <c r="C824" s="26" t="s">
        <v>53</v>
      </c>
      <c r="D824" s="26" t="s">
        <v>60</v>
      </c>
      <c r="E824" s="27" t="s">
        <v>73</v>
      </c>
      <c r="F824" s="26" t="s">
        <v>86</v>
      </c>
      <c r="G824" s="59">
        <v>1642225</v>
      </c>
      <c r="H824" s="29">
        <v>12</v>
      </c>
      <c r="I824" s="26" t="s">
        <v>67</v>
      </c>
      <c r="J824" s="26" t="s">
        <v>1096</v>
      </c>
    </row>
    <row r="825" spans="1:10" ht="15.75" customHeight="1">
      <c r="A825" s="26" t="s">
        <v>916</v>
      </c>
      <c r="B825" s="29">
        <v>26</v>
      </c>
      <c r="C825" s="26" t="s">
        <v>59</v>
      </c>
      <c r="D825" s="26" t="s">
        <v>60</v>
      </c>
      <c r="E825" s="27" t="s">
        <v>78</v>
      </c>
      <c r="F825" s="26" t="s">
        <v>121</v>
      </c>
      <c r="G825" s="59">
        <v>5448870</v>
      </c>
      <c r="H825" s="29">
        <v>11</v>
      </c>
      <c r="I825" s="26" t="s">
        <v>57</v>
      </c>
      <c r="J825" s="26" t="s">
        <v>1095</v>
      </c>
    </row>
    <row r="826" spans="1:10" ht="15.75" customHeight="1">
      <c r="A826" s="26" t="s">
        <v>917</v>
      </c>
      <c r="B826" s="29">
        <v>40</v>
      </c>
      <c r="C826" s="26" t="s">
        <v>59</v>
      </c>
      <c r="D826" s="26" t="s">
        <v>60</v>
      </c>
      <c r="E826" s="27" t="s">
        <v>73</v>
      </c>
      <c r="F826" s="26" t="s">
        <v>69</v>
      </c>
      <c r="G826" s="59">
        <v>4979530</v>
      </c>
      <c r="H826" s="29">
        <v>12</v>
      </c>
      <c r="I826" s="26" t="s">
        <v>57</v>
      </c>
      <c r="J826" s="26" t="s">
        <v>1096</v>
      </c>
    </row>
    <row r="827" spans="1:10" ht="15.75" customHeight="1">
      <c r="A827" s="26" t="s">
        <v>918</v>
      </c>
      <c r="B827" s="29">
        <v>47</v>
      </c>
      <c r="C827" s="26" t="s">
        <v>53</v>
      </c>
      <c r="D827" s="26" t="s">
        <v>60</v>
      </c>
      <c r="E827" s="27" t="s">
        <v>61</v>
      </c>
      <c r="F827" s="26" t="s">
        <v>88</v>
      </c>
      <c r="G827" s="59">
        <v>6533250</v>
      </c>
      <c r="H827" s="29">
        <v>11</v>
      </c>
      <c r="I827" s="26" t="s">
        <v>67</v>
      </c>
      <c r="J827" s="26" t="s">
        <v>1095</v>
      </c>
    </row>
    <row r="828" spans="1:10" ht="15.75" customHeight="1">
      <c r="A828" s="26" t="s">
        <v>919</v>
      </c>
      <c r="B828" s="29">
        <v>27</v>
      </c>
      <c r="C828" s="26" t="s">
        <v>53</v>
      </c>
      <c r="D828" s="26" t="s">
        <v>60</v>
      </c>
      <c r="E828" s="27" t="s">
        <v>85</v>
      </c>
      <c r="F828" s="26" t="s">
        <v>62</v>
      </c>
      <c r="G828" s="59">
        <v>3925995</v>
      </c>
      <c r="H828" s="29">
        <v>6</v>
      </c>
      <c r="I828" s="26" t="s">
        <v>57</v>
      </c>
      <c r="J828" s="26" t="s">
        <v>1095</v>
      </c>
    </row>
    <row r="829" spans="1:10" ht="15.75" customHeight="1">
      <c r="A829" s="26" t="s">
        <v>920</v>
      </c>
      <c r="B829" s="29">
        <v>29</v>
      </c>
      <c r="C829" s="26" t="s">
        <v>53</v>
      </c>
      <c r="D829" s="26" t="s">
        <v>54</v>
      </c>
      <c r="E829" s="27" t="s">
        <v>73</v>
      </c>
      <c r="F829" s="26" t="s">
        <v>167</v>
      </c>
      <c r="G829" s="59">
        <v>3373110</v>
      </c>
      <c r="H829" s="29">
        <v>3</v>
      </c>
      <c r="I829" s="26" t="s">
        <v>60</v>
      </c>
      <c r="J829" s="26" t="s">
        <v>1096</v>
      </c>
    </row>
    <row r="830" spans="1:10" ht="15.75" customHeight="1">
      <c r="A830" s="26" t="s">
        <v>921</v>
      </c>
      <c r="B830" s="29">
        <v>21</v>
      </c>
      <c r="C830" s="26" t="s">
        <v>59</v>
      </c>
      <c r="D830" s="26" t="s">
        <v>54</v>
      </c>
      <c r="E830" s="27" t="s">
        <v>78</v>
      </c>
      <c r="F830" s="26" t="s">
        <v>76</v>
      </c>
      <c r="G830" s="59">
        <v>3503620</v>
      </c>
      <c r="H830" s="29">
        <v>11</v>
      </c>
      <c r="I830" s="26" t="s">
        <v>57</v>
      </c>
      <c r="J830" s="26" t="s">
        <v>1095</v>
      </c>
    </row>
    <row r="831" spans="1:10" ht="15.75" customHeight="1">
      <c r="A831" s="26" t="s">
        <v>922</v>
      </c>
      <c r="B831" s="29">
        <v>41</v>
      </c>
      <c r="C831" s="26" t="s">
        <v>53</v>
      </c>
      <c r="D831" s="26" t="s">
        <v>60</v>
      </c>
      <c r="E831" s="27" t="s">
        <v>73</v>
      </c>
      <c r="F831" s="26" t="s">
        <v>1093</v>
      </c>
      <c r="G831" s="59">
        <v>818245</v>
      </c>
      <c r="H831" s="29">
        <v>4</v>
      </c>
      <c r="I831" s="26" t="s">
        <v>67</v>
      </c>
      <c r="J831" s="26" t="s">
        <v>1095</v>
      </c>
    </row>
    <row r="832" spans="1:10" ht="15.75" customHeight="1">
      <c r="A832" s="26" t="s">
        <v>923</v>
      </c>
      <c r="B832" s="29">
        <v>43</v>
      </c>
      <c r="C832" s="26" t="s">
        <v>59</v>
      </c>
      <c r="D832" s="26" t="s">
        <v>54</v>
      </c>
      <c r="E832" s="27" t="s">
        <v>65</v>
      </c>
      <c r="F832" s="26" t="s">
        <v>167</v>
      </c>
      <c r="G832" s="59">
        <v>5968740</v>
      </c>
      <c r="H832" s="29">
        <v>7</v>
      </c>
      <c r="I832" s="26" t="s">
        <v>60</v>
      </c>
      <c r="J832" s="26" t="s">
        <v>1096</v>
      </c>
    </row>
    <row r="833" spans="1:10" ht="15.75" customHeight="1">
      <c r="A833" s="26" t="s">
        <v>924</v>
      </c>
      <c r="B833" s="29">
        <v>33</v>
      </c>
      <c r="C833" s="26" t="s">
        <v>59</v>
      </c>
      <c r="D833" s="26" t="s">
        <v>60</v>
      </c>
      <c r="E833" s="27" t="s">
        <v>73</v>
      </c>
      <c r="F833" s="26" t="s">
        <v>92</v>
      </c>
      <c r="G833" s="59">
        <v>2807050</v>
      </c>
      <c r="H833" s="29">
        <v>2</v>
      </c>
      <c r="I833" s="26" t="s">
        <v>67</v>
      </c>
      <c r="J833" s="26" t="s">
        <v>1096</v>
      </c>
    </row>
    <row r="834" spans="1:10" ht="15.75" customHeight="1">
      <c r="A834" s="26" t="s">
        <v>925</v>
      </c>
      <c r="B834" s="29">
        <v>23</v>
      </c>
      <c r="C834" s="26" t="s">
        <v>53</v>
      </c>
      <c r="D834" s="26" t="s">
        <v>54</v>
      </c>
      <c r="E834" s="27" t="s">
        <v>61</v>
      </c>
      <c r="F834" s="26" t="s">
        <v>66</v>
      </c>
      <c r="G834" s="59">
        <v>3819355</v>
      </c>
      <c r="H834" s="29">
        <v>7</v>
      </c>
      <c r="I834" s="26" t="s">
        <v>57</v>
      </c>
      <c r="J834" s="26" t="s">
        <v>1095</v>
      </c>
    </row>
    <row r="835" spans="1:10" ht="15.75" customHeight="1">
      <c r="A835" s="26" t="s">
        <v>926</v>
      </c>
      <c r="B835" s="29">
        <v>37</v>
      </c>
      <c r="C835" s="26" t="s">
        <v>53</v>
      </c>
      <c r="D835" s="26" t="s">
        <v>54</v>
      </c>
      <c r="E835" s="27" t="s">
        <v>73</v>
      </c>
      <c r="F835" s="26" t="s">
        <v>102</v>
      </c>
      <c r="G835" s="59">
        <v>2183485</v>
      </c>
      <c r="H835" s="29">
        <v>8</v>
      </c>
      <c r="I835" s="26" t="s">
        <v>67</v>
      </c>
      <c r="J835" s="26" t="s">
        <v>1095</v>
      </c>
    </row>
    <row r="836" spans="1:10" ht="15.75" customHeight="1">
      <c r="A836" s="26" t="s">
        <v>927</v>
      </c>
      <c r="B836" s="29">
        <v>34</v>
      </c>
      <c r="C836" s="26" t="s">
        <v>53</v>
      </c>
      <c r="D836" s="26" t="s">
        <v>60</v>
      </c>
      <c r="E836" s="27" t="s">
        <v>73</v>
      </c>
      <c r="F836" s="26" t="s">
        <v>100</v>
      </c>
      <c r="G836" s="59">
        <v>2344375</v>
      </c>
      <c r="H836" s="29">
        <v>2</v>
      </c>
      <c r="I836" s="26" t="s">
        <v>63</v>
      </c>
      <c r="J836" s="26" t="s">
        <v>1095</v>
      </c>
    </row>
    <row r="837" spans="1:10" ht="15.75" customHeight="1">
      <c r="A837" s="26" t="s">
        <v>928</v>
      </c>
      <c r="B837" s="29">
        <v>27</v>
      </c>
      <c r="C837" s="26" t="s">
        <v>59</v>
      </c>
      <c r="D837" s="26" t="s">
        <v>60</v>
      </c>
      <c r="E837" s="27" t="s">
        <v>85</v>
      </c>
      <c r="F837" s="26" t="s">
        <v>92</v>
      </c>
      <c r="G837" s="59">
        <v>2658560</v>
      </c>
      <c r="H837" s="29">
        <v>3</v>
      </c>
      <c r="I837" s="26" t="s">
        <v>63</v>
      </c>
      <c r="J837" s="26" t="s">
        <v>1095</v>
      </c>
    </row>
    <row r="838" spans="1:10" ht="15.75" customHeight="1">
      <c r="A838" s="26" t="s">
        <v>929</v>
      </c>
      <c r="B838" s="29">
        <v>40</v>
      </c>
      <c r="C838" s="26" t="s">
        <v>59</v>
      </c>
      <c r="D838" s="26" t="s">
        <v>54</v>
      </c>
      <c r="E838" s="27" t="s">
        <v>85</v>
      </c>
      <c r="F838" s="26" t="s">
        <v>80</v>
      </c>
      <c r="G838" s="59">
        <v>6193180</v>
      </c>
      <c r="H838" s="29">
        <v>10</v>
      </c>
      <c r="I838" s="26" t="s">
        <v>67</v>
      </c>
      <c r="J838" s="26" t="s">
        <v>1095</v>
      </c>
    </row>
    <row r="839" spans="1:10" ht="15.75" customHeight="1">
      <c r="A839" s="26" t="s">
        <v>930</v>
      </c>
      <c r="B839" s="29">
        <v>40</v>
      </c>
      <c r="C839" s="26" t="s">
        <v>53</v>
      </c>
      <c r="D839" s="26" t="s">
        <v>54</v>
      </c>
      <c r="E839" s="27" t="s">
        <v>73</v>
      </c>
      <c r="F839" s="26" t="s">
        <v>80</v>
      </c>
      <c r="G839" s="59">
        <v>2688630</v>
      </c>
      <c r="H839" s="29">
        <v>4</v>
      </c>
      <c r="I839" s="26" t="s">
        <v>57</v>
      </c>
      <c r="J839" s="26" t="s">
        <v>1096</v>
      </c>
    </row>
    <row r="840" spans="1:10" ht="15.75" customHeight="1">
      <c r="A840" s="26" t="s">
        <v>931</v>
      </c>
      <c r="B840" s="29">
        <v>43</v>
      </c>
      <c r="C840" s="26" t="s">
        <v>59</v>
      </c>
      <c r="D840" s="26" t="s">
        <v>60</v>
      </c>
      <c r="E840" s="27" t="s">
        <v>85</v>
      </c>
      <c r="F840" s="26" t="s">
        <v>104</v>
      </c>
      <c r="G840" s="59">
        <v>5148170</v>
      </c>
      <c r="H840" s="29">
        <v>10</v>
      </c>
      <c r="I840" s="26" t="s">
        <v>67</v>
      </c>
      <c r="J840" s="26" t="s">
        <v>1095</v>
      </c>
    </row>
    <row r="841" spans="1:10" ht="15.75" customHeight="1">
      <c r="A841" s="26" t="s">
        <v>932</v>
      </c>
      <c r="B841" s="29">
        <v>37</v>
      </c>
      <c r="C841" s="26" t="s">
        <v>53</v>
      </c>
      <c r="D841" s="26" t="s">
        <v>54</v>
      </c>
      <c r="E841" s="27" t="s">
        <v>65</v>
      </c>
      <c r="F841" s="26" t="s">
        <v>62</v>
      </c>
      <c r="G841" s="59">
        <v>3829275</v>
      </c>
      <c r="H841" s="29">
        <v>8</v>
      </c>
      <c r="I841" s="26" t="s">
        <v>67</v>
      </c>
      <c r="J841" s="26" t="s">
        <v>1096</v>
      </c>
    </row>
    <row r="842" spans="1:10" ht="15.75" customHeight="1">
      <c r="A842" s="26" t="s">
        <v>933</v>
      </c>
      <c r="B842" s="29">
        <v>49</v>
      </c>
      <c r="C842" s="26" t="s">
        <v>59</v>
      </c>
      <c r="D842" s="26" t="s">
        <v>60</v>
      </c>
      <c r="E842" s="27" t="s">
        <v>61</v>
      </c>
      <c r="F842" s="26" t="s">
        <v>66</v>
      </c>
      <c r="G842" s="59">
        <v>5671140</v>
      </c>
      <c r="H842" s="29">
        <v>10</v>
      </c>
      <c r="I842" s="26" t="s">
        <v>57</v>
      </c>
      <c r="J842" s="26" t="s">
        <v>1096</v>
      </c>
    </row>
    <row r="843" spans="1:10" ht="15.75" customHeight="1">
      <c r="A843" s="26" t="s">
        <v>934</v>
      </c>
      <c r="B843" s="29">
        <v>27</v>
      </c>
      <c r="C843" s="26" t="s">
        <v>53</v>
      </c>
      <c r="D843" s="26" t="s">
        <v>54</v>
      </c>
      <c r="E843" s="27" t="s">
        <v>73</v>
      </c>
      <c r="F843" s="26" t="s">
        <v>104</v>
      </c>
      <c r="G843" s="59">
        <v>5501260</v>
      </c>
      <c r="H843" s="29">
        <v>8</v>
      </c>
      <c r="I843" s="26" t="s">
        <v>57</v>
      </c>
      <c r="J843" s="26" t="s">
        <v>1095</v>
      </c>
    </row>
    <row r="844" spans="1:10" ht="15.75" customHeight="1">
      <c r="A844" s="26" t="s">
        <v>935</v>
      </c>
      <c r="B844" s="29">
        <v>19</v>
      </c>
      <c r="C844" s="26" t="s">
        <v>53</v>
      </c>
      <c r="D844" s="26" t="s">
        <v>60</v>
      </c>
      <c r="E844" s="27" t="s">
        <v>85</v>
      </c>
      <c r="F844" s="26" t="s">
        <v>167</v>
      </c>
      <c r="G844" s="59">
        <v>3029630</v>
      </c>
      <c r="H844" s="29">
        <v>10</v>
      </c>
      <c r="I844" s="26" t="s">
        <v>57</v>
      </c>
      <c r="J844" s="26" t="s">
        <v>1095</v>
      </c>
    </row>
    <row r="845" spans="1:10" ht="15.75" customHeight="1">
      <c r="A845" s="26" t="s">
        <v>936</v>
      </c>
      <c r="B845" s="29">
        <v>40</v>
      </c>
      <c r="C845" s="26" t="s">
        <v>53</v>
      </c>
      <c r="D845" s="26" t="s">
        <v>60</v>
      </c>
      <c r="E845" s="27" t="s">
        <v>61</v>
      </c>
      <c r="F845" s="26" t="s">
        <v>76</v>
      </c>
      <c r="G845" s="59">
        <v>7347465</v>
      </c>
      <c r="H845" s="29">
        <v>7</v>
      </c>
      <c r="I845" s="26" t="s">
        <v>63</v>
      </c>
      <c r="J845" s="26" t="s">
        <v>1095</v>
      </c>
    </row>
    <row r="846" spans="1:10" ht="15.75" customHeight="1">
      <c r="A846" s="26" t="s">
        <v>937</v>
      </c>
      <c r="B846" s="29">
        <v>27</v>
      </c>
      <c r="C846" s="26" t="s">
        <v>59</v>
      </c>
      <c r="D846" s="26" t="s">
        <v>54</v>
      </c>
      <c r="E846" s="27" t="s">
        <v>73</v>
      </c>
      <c r="F846" s="26" t="s">
        <v>88</v>
      </c>
      <c r="G846" s="59">
        <v>1657880</v>
      </c>
      <c r="H846" s="29">
        <v>6</v>
      </c>
      <c r="I846" s="26" t="s">
        <v>67</v>
      </c>
      <c r="J846" s="26" t="s">
        <v>1095</v>
      </c>
    </row>
    <row r="847" spans="1:10" ht="15.75" customHeight="1">
      <c r="A847" s="26" t="s">
        <v>938</v>
      </c>
      <c r="B847" s="29">
        <v>29</v>
      </c>
      <c r="C847" s="26" t="s">
        <v>53</v>
      </c>
      <c r="D847" s="26" t="s">
        <v>54</v>
      </c>
      <c r="E847" s="27" t="s">
        <v>78</v>
      </c>
      <c r="F847" s="26" t="s">
        <v>98</v>
      </c>
      <c r="G847" s="59">
        <v>5763520</v>
      </c>
      <c r="H847" s="29">
        <v>9</v>
      </c>
      <c r="I847" s="26" t="s">
        <v>57</v>
      </c>
      <c r="J847" s="26" t="s">
        <v>1096</v>
      </c>
    </row>
    <row r="848" spans="1:10" ht="15.75" customHeight="1">
      <c r="A848" s="26" t="s">
        <v>939</v>
      </c>
      <c r="B848" s="29">
        <v>45</v>
      </c>
      <c r="C848" s="26" t="s">
        <v>59</v>
      </c>
      <c r="D848" s="26" t="s">
        <v>60</v>
      </c>
      <c r="E848" s="27" t="s">
        <v>61</v>
      </c>
      <c r="F848" s="26" t="s">
        <v>113</v>
      </c>
      <c r="G848" s="59">
        <v>7147980</v>
      </c>
      <c r="H848" s="29">
        <v>8</v>
      </c>
      <c r="I848" s="26" t="s">
        <v>60</v>
      </c>
      <c r="J848" s="26" t="s">
        <v>1095</v>
      </c>
    </row>
    <row r="849" spans="1:10" ht="15.75" customHeight="1">
      <c r="A849" s="26" t="s">
        <v>940</v>
      </c>
      <c r="B849" s="29">
        <v>24</v>
      </c>
      <c r="C849" s="26" t="s">
        <v>53</v>
      </c>
      <c r="D849" s="26" t="s">
        <v>60</v>
      </c>
      <c r="E849" s="27" t="s">
        <v>78</v>
      </c>
      <c r="F849" s="26" t="s">
        <v>76</v>
      </c>
      <c r="G849" s="59">
        <v>7715125</v>
      </c>
      <c r="H849" s="29">
        <v>11</v>
      </c>
      <c r="I849" s="26" t="s">
        <v>57</v>
      </c>
      <c r="J849" s="26" t="s">
        <v>1095</v>
      </c>
    </row>
    <row r="850" spans="1:10" ht="15.75" customHeight="1">
      <c r="A850" s="26" t="s">
        <v>941</v>
      </c>
      <c r="B850" s="29">
        <v>45</v>
      </c>
      <c r="C850" s="26" t="s">
        <v>53</v>
      </c>
      <c r="D850" s="26" t="s">
        <v>54</v>
      </c>
      <c r="E850" s="27" t="s">
        <v>65</v>
      </c>
      <c r="F850" s="26" t="s">
        <v>90</v>
      </c>
      <c r="G850" s="59">
        <v>7638865</v>
      </c>
      <c r="H850" s="29">
        <v>5</v>
      </c>
      <c r="I850" s="26" t="s">
        <v>60</v>
      </c>
      <c r="J850" s="26" t="s">
        <v>1095</v>
      </c>
    </row>
    <row r="851" spans="1:10" ht="15.75" customHeight="1">
      <c r="A851" s="26" t="s">
        <v>942</v>
      </c>
      <c r="B851" s="29">
        <v>39</v>
      </c>
      <c r="C851" s="26" t="s">
        <v>53</v>
      </c>
      <c r="D851" s="26" t="s">
        <v>54</v>
      </c>
      <c r="E851" s="27" t="s">
        <v>78</v>
      </c>
      <c r="F851" s="26" t="s">
        <v>121</v>
      </c>
      <c r="G851" s="59">
        <v>4580870</v>
      </c>
      <c r="H851" s="29">
        <v>8</v>
      </c>
      <c r="I851" s="26" t="s">
        <v>57</v>
      </c>
      <c r="J851" s="26" t="s">
        <v>1096</v>
      </c>
    </row>
    <row r="852" spans="1:10" ht="15.75" customHeight="1">
      <c r="A852" s="26" t="s">
        <v>943</v>
      </c>
      <c r="B852" s="29">
        <v>40</v>
      </c>
      <c r="C852" s="26" t="s">
        <v>59</v>
      </c>
      <c r="D852" s="26" t="s">
        <v>60</v>
      </c>
      <c r="E852" s="27" t="s">
        <v>78</v>
      </c>
      <c r="F852" s="26" t="s">
        <v>71</v>
      </c>
      <c r="G852" s="59">
        <v>7669555</v>
      </c>
      <c r="H852" s="29">
        <v>9</v>
      </c>
      <c r="I852" s="26" t="s">
        <v>63</v>
      </c>
      <c r="J852" s="26" t="s">
        <v>1095</v>
      </c>
    </row>
    <row r="853" spans="1:10" ht="15.75" customHeight="1">
      <c r="A853" s="26" t="s">
        <v>944</v>
      </c>
      <c r="B853" s="29">
        <v>21</v>
      </c>
      <c r="C853" s="26" t="s">
        <v>53</v>
      </c>
      <c r="D853" s="26" t="s">
        <v>60</v>
      </c>
      <c r="E853" s="27" t="s">
        <v>73</v>
      </c>
      <c r="F853" s="26" t="s">
        <v>82</v>
      </c>
      <c r="G853" s="59">
        <v>2483875</v>
      </c>
      <c r="H853" s="29">
        <v>7</v>
      </c>
      <c r="I853" s="26" t="s">
        <v>57</v>
      </c>
      <c r="J853" s="26" t="s">
        <v>1095</v>
      </c>
    </row>
    <row r="854" spans="1:10" ht="15.75" customHeight="1">
      <c r="A854" s="26" t="s">
        <v>945</v>
      </c>
      <c r="B854" s="29">
        <v>42</v>
      </c>
      <c r="C854" s="26" t="s">
        <v>53</v>
      </c>
      <c r="D854" s="26" t="s">
        <v>54</v>
      </c>
      <c r="E854" s="27" t="s">
        <v>73</v>
      </c>
      <c r="F854" s="26" t="s">
        <v>56</v>
      </c>
      <c r="G854" s="59">
        <v>3074580</v>
      </c>
      <c r="H854" s="29">
        <v>4</v>
      </c>
      <c r="I854" s="26" t="s">
        <v>57</v>
      </c>
      <c r="J854" s="26" t="s">
        <v>1096</v>
      </c>
    </row>
    <row r="855" spans="1:10" ht="15.75" customHeight="1">
      <c r="A855" s="26" t="s">
        <v>946</v>
      </c>
      <c r="B855" s="29">
        <v>44</v>
      </c>
      <c r="C855" s="26" t="s">
        <v>53</v>
      </c>
      <c r="D855" s="26" t="s">
        <v>54</v>
      </c>
      <c r="E855" s="27" t="s">
        <v>85</v>
      </c>
      <c r="F855" s="26" t="s">
        <v>71</v>
      </c>
      <c r="G855" s="59">
        <v>1277045</v>
      </c>
      <c r="H855" s="29">
        <v>12</v>
      </c>
      <c r="I855" s="26" t="s">
        <v>57</v>
      </c>
      <c r="J855" s="26" t="s">
        <v>1096</v>
      </c>
    </row>
    <row r="856" spans="1:10" ht="15.75" customHeight="1">
      <c r="A856" s="26" t="s">
        <v>947</v>
      </c>
      <c r="B856" s="29">
        <v>46</v>
      </c>
      <c r="C856" s="26" t="s">
        <v>53</v>
      </c>
      <c r="D856" s="26" t="s">
        <v>54</v>
      </c>
      <c r="E856" s="27" t="s">
        <v>78</v>
      </c>
      <c r="F856" s="26" t="s">
        <v>92</v>
      </c>
      <c r="G856" s="59">
        <v>4503680</v>
      </c>
      <c r="H856" s="29">
        <v>3</v>
      </c>
      <c r="I856" s="26" t="s">
        <v>57</v>
      </c>
      <c r="J856" s="26" t="s">
        <v>1095</v>
      </c>
    </row>
    <row r="857" spans="1:10" ht="15.75" customHeight="1">
      <c r="A857" s="26" t="s">
        <v>948</v>
      </c>
      <c r="B857" s="29">
        <v>29</v>
      </c>
      <c r="C857" s="26" t="s">
        <v>59</v>
      </c>
      <c r="D857" s="26" t="s">
        <v>60</v>
      </c>
      <c r="E857" s="27" t="s">
        <v>85</v>
      </c>
      <c r="F857" s="26" t="s">
        <v>88</v>
      </c>
      <c r="G857" s="59">
        <v>3205245</v>
      </c>
      <c r="H857" s="29">
        <v>5</v>
      </c>
      <c r="I857" s="26" t="s">
        <v>60</v>
      </c>
      <c r="J857" s="26" t="s">
        <v>1096</v>
      </c>
    </row>
    <row r="858" spans="1:10" ht="15.75" customHeight="1">
      <c r="A858" s="26" t="s">
        <v>949</v>
      </c>
      <c r="B858" s="29">
        <v>19</v>
      </c>
      <c r="C858" s="26" t="s">
        <v>53</v>
      </c>
      <c r="D858" s="26" t="s">
        <v>54</v>
      </c>
      <c r="E858" s="27" t="s">
        <v>61</v>
      </c>
      <c r="F858" s="26" t="s">
        <v>102</v>
      </c>
      <c r="G858" s="59">
        <v>6222165</v>
      </c>
      <c r="H858" s="29">
        <v>8</v>
      </c>
      <c r="I858" s="26" t="s">
        <v>57</v>
      </c>
      <c r="J858" s="26" t="s">
        <v>1095</v>
      </c>
    </row>
    <row r="859" spans="1:10" ht="15.75" customHeight="1">
      <c r="A859" s="26" t="s">
        <v>950</v>
      </c>
      <c r="B859" s="29">
        <v>21</v>
      </c>
      <c r="C859" s="26" t="s">
        <v>59</v>
      </c>
      <c r="D859" s="26" t="s">
        <v>60</v>
      </c>
      <c r="E859" s="27" t="s">
        <v>55</v>
      </c>
      <c r="F859" s="26" t="s">
        <v>80</v>
      </c>
      <c r="G859" s="59">
        <v>2916635</v>
      </c>
      <c r="H859" s="29">
        <v>9</v>
      </c>
      <c r="I859" s="26" t="s">
        <v>63</v>
      </c>
      <c r="J859" s="26" t="s">
        <v>1095</v>
      </c>
    </row>
    <row r="860" spans="1:10" ht="15.75" customHeight="1">
      <c r="A860" s="26" t="s">
        <v>951</v>
      </c>
      <c r="B860" s="29">
        <v>38</v>
      </c>
      <c r="C860" s="26" t="s">
        <v>53</v>
      </c>
      <c r="D860" s="26" t="s">
        <v>60</v>
      </c>
      <c r="E860" s="27" t="s">
        <v>61</v>
      </c>
      <c r="F860" s="26" t="s">
        <v>56</v>
      </c>
      <c r="G860" s="59">
        <v>1289755</v>
      </c>
      <c r="H860" s="29">
        <v>10</v>
      </c>
      <c r="I860" s="26" t="s">
        <v>67</v>
      </c>
      <c r="J860" s="26" t="s">
        <v>1096</v>
      </c>
    </row>
    <row r="861" spans="1:10" ht="15.75" customHeight="1">
      <c r="A861" s="26" t="s">
        <v>952</v>
      </c>
      <c r="B861" s="29">
        <v>41</v>
      </c>
      <c r="C861" s="26" t="s">
        <v>53</v>
      </c>
      <c r="D861" s="26" t="s">
        <v>54</v>
      </c>
      <c r="E861" s="27" t="s">
        <v>61</v>
      </c>
      <c r="F861" s="26" t="s">
        <v>56</v>
      </c>
      <c r="G861" s="59">
        <v>848470</v>
      </c>
      <c r="H861" s="29">
        <v>4</v>
      </c>
      <c r="I861" s="26" t="s">
        <v>57</v>
      </c>
      <c r="J861" s="26" t="s">
        <v>1095</v>
      </c>
    </row>
    <row r="862" spans="1:10" ht="15.75" customHeight="1">
      <c r="A862" s="26" t="s">
        <v>953</v>
      </c>
      <c r="B862" s="29">
        <v>49</v>
      </c>
      <c r="C862" s="26" t="s">
        <v>53</v>
      </c>
      <c r="D862" s="26" t="s">
        <v>60</v>
      </c>
      <c r="E862" s="27" t="s">
        <v>65</v>
      </c>
      <c r="F862" s="26" t="s">
        <v>66</v>
      </c>
      <c r="G862" s="59">
        <v>5752360</v>
      </c>
      <c r="H862" s="29">
        <v>8</v>
      </c>
      <c r="I862" s="26" t="s">
        <v>60</v>
      </c>
      <c r="J862" s="26" t="s">
        <v>1096</v>
      </c>
    </row>
    <row r="863" spans="1:10" ht="15.75" customHeight="1">
      <c r="A863" s="26" t="s">
        <v>954</v>
      </c>
      <c r="B863" s="29">
        <v>32</v>
      </c>
      <c r="C863" s="26" t="s">
        <v>53</v>
      </c>
      <c r="D863" s="26" t="s">
        <v>54</v>
      </c>
      <c r="E863" s="27" t="s">
        <v>61</v>
      </c>
      <c r="F863" s="26" t="s">
        <v>1093</v>
      </c>
      <c r="G863" s="59">
        <v>4551420</v>
      </c>
      <c r="H863" s="29">
        <v>3</v>
      </c>
      <c r="I863" s="26" t="s">
        <v>67</v>
      </c>
      <c r="J863" s="26" t="s">
        <v>1095</v>
      </c>
    </row>
    <row r="864" spans="1:10" ht="15.75" customHeight="1">
      <c r="A864" s="26" t="s">
        <v>955</v>
      </c>
      <c r="B864" s="29">
        <v>24</v>
      </c>
      <c r="C864" s="26" t="s">
        <v>59</v>
      </c>
      <c r="D864" s="26" t="s">
        <v>60</v>
      </c>
      <c r="E864" s="27" t="s">
        <v>61</v>
      </c>
      <c r="F864" s="26" t="s">
        <v>76</v>
      </c>
      <c r="G864" s="59">
        <v>2880365</v>
      </c>
      <c r="H864" s="29">
        <v>11</v>
      </c>
      <c r="I864" s="26" t="s">
        <v>67</v>
      </c>
      <c r="J864" s="26" t="s">
        <v>1096</v>
      </c>
    </row>
    <row r="865" spans="1:10" ht="15.75" customHeight="1">
      <c r="A865" s="26" t="s">
        <v>956</v>
      </c>
      <c r="B865" s="29">
        <v>27</v>
      </c>
      <c r="C865" s="26" t="s">
        <v>59</v>
      </c>
      <c r="D865" s="26" t="s">
        <v>60</v>
      </c>
      <c r="E865" s="27" t="s">
        <v>61</v>
      </c>
      <c r="F865" s="26" t="s">
        <v>66</v>
      </c>
      <c r="G865" s="59">
        <v>1815515</v>
      </c>
      <c r="H865" s="29">
        <v>7</v>
      </c>
      <c r="I865" s="26" t="s">
        <v>60</v>
      </c>
      <c r="J865" s="26" t="s">
        <v>1095</v>
      </c>
    </row>
    <row r="866" spans="1:10" ht="15.75" customHeight="1">
      <c r="A866" s="26" t="s">
        <v>957</v>
      </c>
      <c r="B866" s="29">
        <v>44</v>
      </c>
      <c r="C866" s="26" t="s">
        <v>53</v>
      </c>
      <c r="D866" s="26" t="s">
        <v>54</v>
      </c>
      <c r="E866" s="27" t="s">
        <v>61</v>
      </c>
      <c r="F866" s="26" t="s">
        <v>66</v>
      </c>
      <c r="G866" s="59">
        <v>809720</v>
      </c>
      <c r="H866" s="29">
        <v>11</v>
      </c>
      <c r="I866" s="26" t="s">
        <v>67</v>
      </c>
      <c r="J866" s="26" t="s">
        <v>1095</v>
      </c>
    </row>
    <row r="867" spans="1:10" ht="15.75" customHeight="1">
      <c r="A867" s="26" t="s">
        <v>958</v>
      </c>
      <c r="B867" s="29">
        <v>28</v>
      </c>
      <c r="C867" s="26" t="s">
        <v>53</v>
      </c>
      <c r="D867" s="26" t="s">
        <v>60</v>
      </c>
      <c r="E867" s="27" t="s">
        <v>78</v>
      </c>
      <c r="F867" s="26" t="s">
        <v>102</v>
      </c>
      <c r="G867" s="59">
        <v>6923695</v>
      </c>
      <c r="H867" s="29">
        <v>7</v>
      </c>
      <c r="I867" s="26" t="s">
        <v>63</v>
      </c>
      <c r="J867" s="26" t="s">
        <v>1096</v>
      </c>
    </row>
    <row r="868" spans="1:10" ht="15.75" customHeight="1">
      <c r="A868" s="26" t="s">
        <v>959</v>
      </c>
      <c r="B868" s="29">
        <v>23</v>
      </c>
      <c r="C868" s="26" t="s">
        <v>59</v>
      </c>
      <c r="D868" s="26" t="s">
        <v>54</v>
      </c>
      <c r="E868" s="27" t="s">
        <v>55</v>
      </c>
      <c r="F868" s="26" t="s">
        <v>1093</v>
      </c>
      <c r="G868" s="59">
        <v>3361020</v>
      </c>
      <c r="H868" s="29">
        <v>5</v>
      </c>
      <c r="I868" s="26" t="s">
        <v>67</v>
      </c>
      <c r="J868" s="26" t="s">
        <v>1096</v>
      </c>
    </row>
    <row r="869" spans="1:10" ht="15.75" customHeight="1">
      <c r="A869" s="26" t="s">
        <v>960</v>
      </c>
      <c r="B869" s="29">
        <v>42</v>
      </c>
      <c r="C869" s="26" t="s">
        <v>53</v>
      </c>
      <c r="D869" s="26" t="s">
        <v>60</v>
      </c>
      <c r="E869" s="27" t="s">
        <v>78</v>
      </c>
      <c r="F869" s="26" t="s">
        <v>98</v>
      </c>
      <c r="G869" s="59">
        <v>1166685</v>
      </c>
      <c r="H869" s="29">
        <v>7</v>
      </c>
      <c r="I869" s="26" t="s">
        <v>57</v>
      </c>
      <c r="J869" s="26" t="s">
        <v>1095</v>
      </c>
    </row>
    <row r="870" spans="1:10" ht="15.75" customHeight="1">
      <c r="A870" s="26" t="s">
        <v>961</v>
      </c>
      <c r="B870" s="29">
        <v>20</v>
      </c>
      <c r="C870" s="26" t="s">
        <v>59</v>
      </c>
      <c r="D870" s="26" t="s">
        <v>54</v>
      </c>
      <c r="E870" s="27" t="s">
        <v>55</v>
      </c>
      <c r="F870" s="26" t="s">
        <v>66</v>
      </c>
      <c r="G870" s="59">
        <v>4787485</v>
      </c>
      <c r="H870" s="29">
        <v>2</v>
      </c>
      <c r="I870" s="26" t="s">
        <v>57</v>
      </c>
      <c r="J870" s="26" t="s">
        <v>1095</v>
      </c>
    </row>
    <row r="871" spans="1:10" ht="15.75" customHeight="1">
      <c r="A871" s="26" t="s">
        <v>962</v>
      </c>
      <c r="B871" s="29">
        <v>49</v>
      </c>
      <c r="C871" s="26" t="s">
        <v>59</v>
      </c>
      <c r="D871" s="26" t="s">
        <v>60</v>
      </c>
      <c r="E871" s="27" t="s">
        <v>73</v>
      </c>
      <c r="F871" s="26" t="s">
        <v>1094</v>
      </c>
      <c r="G871" s="59">
        <v>2631435</v>
      </c>
      <c r="H871" s="29">
        <v>5</v>
      </c>
      <c r="I871" s="26" t="s">
        <v>63</v>
      </c>
      <c r="J871" s="26" t="s">
        <v>1095</v>
      </c>
    </row>
    <row r="872" spans="1:10" ht="15.75" customHeight="1">
      <c r="A872" s="26" t="s">
        <v>963</v>
      </c>
      <c r="B872" s="29">
        <v>19</v>
      </c>
      <c r="C872" s="26" t="s">
        <v>59</v>
      </c>
      <c r="D872" s="26" t="s">
        <v>60</v>
      </c>
      <c r="E872" s="27" t="s">
        <v>85</v>
      </c>
      <c r="F872" s="26" t="s">
        <v>104</v>
      </c>
      <c r="G872" s="59">
        <v>4480740</v>
      </c>
      <c r="H872" s="29">
        <v>12</v>
      </c>
      <c r="I872" s="26" t="s">
        <v>57</v>
      </c>
      <c r="J872" s="26" t="s">
        <v>1095</v>
      </c>
    </row>
    <row r="873" spans="1:10" ht="15.75" customHeight="1">
      <c r="A873" s="26" t="s">
        <v>964</v>
      </c>
      <c r="B873" s="29">
        <v>38</v>
      </c>
      <c r="C873" s="26" t="s">
        <v>53</v>
      </c>
      <c r="D873" s="26" t="s">
        <v>54</v>
      </c>
      <c r="E873" s="27" t="s">
        <v>73</v>
      </c>
      <c r="F873" s="26" t="s">
        <v>1094</v>
      </c>
      <c r="G873" s="59">
        <v>1148395</v>
      </c>
      <c r="H873" s="29">
        <v>10</v>
      </c>
      <c r="I873" s="26" t="s">
        <v>57</v>
      </c>
      <c r="J873" s="26" t="s">
        <v>1095</v>
      </c>
    </row>
    <row r="874" spans="1:10" ht="15.75" customHeight="1">
      <c r="A874" s="26" t="s">
        <v>965</v>
      </c>
      <c r="B874" s="29">
        <v>43</v>
      </c>
      <c r="C874" s="26" t="s">
        <v>59</v>
      </c>
      <c r="D874" s="26" t="s">
        <v>60</v>
      </c>
      <c r="E874" s="27" t="s">
        <v>85</v>
      </c>
      <c r="F874" s="26" t="s">
        <v>1094</v>
      </c>
      <c r="G874" s="59">
        <v>3123715</v>
      </c>
      <c r="H874" s="29">
        <v>5</v>
      </c>
      <c r="I874" s="26" t="s">
        <v>57</v>
      </c>
      <c r="J874" s="26" t="s">
        <v>1096</v>
      </c>
    </row>
    <row r="875" spans="1:10" ht="15.75" customHeight="1">
      <c r="A875" s="26" t="s">
        <v>966</v>
      </c>
      <c r="B875" s="29">
        <v>38</v>
      </c>
      <c r="C875" s="26" t="s">
        <v>59</v>
      </c>
      <c r="D875" s="26" t="s">
        <v>54</v>
      </c>
      <c r="E875" s="27" t="s">
        <v>61</v>
      </c>
      <c r="F875" s="26" t="s">
        <v>109</v>
      </c>
      <c r="G875" s="59">
        <v>3791300</v>
      </c>
      <c r="H875" s="29">
        <v>12</v>
      </c>
      <c r="I875" s="26" t="s">
        <v>63</v>
      </c>
      <c r="J875" s="26" t="s">
        <v>1096</v>
      </c>
    </row>
    <row r="876" spans="1:10" ht="15.75" customHeight="1">
      <c r="A876" s="26" t="s">
        <v>967</v>
      </c>
      <c r="B876" s="29">
        <v>21</v>
      </c>
      <c r="C876" s="26" t="s">
        <v>59</v>
      </c>
      <c r="D876" s="26" t="s">
        <v>54</v>
      </c>
      <c r="E876" s="27" t="s">
        <v>61</v>
      </c>
      <c r="F876" s="26" t="s">
        <v>100</v>
      </c>
      <c r="G876" s="59">
        <v>4967750</v>
      </c>
      <c r="H876" s="29">
        <v>10</v>
      </c>
      <c r="I876" s="26" t="s">
        <v>67</v>
      </c>
      <c r="J876" s="26" t="s">
        <v>1095</v>
      </c>
    </row>
    <row r="877" spans="1:10" ht="15.75" customHeight="1">
      <c r="A877" s="26" t="s">
        <v>968</v>
      </c>
      <c r="B877" s="29">
        <v>27</v>
      </c>
      <c r="C877" s="26" t="s">
        <v>59</v>
      </c>
      <c r="D877" s="26" t="s">
        <v>54</v>
      </c>
      <c r="E877" s="27" t="s">
        <v>78</v>
      </c>
      <c r="F877" s="26" t="s">
        <v>167</v>
      </c>
      <c r="G877" s="59">
        <v>1420265</v>
      </c>
      <c r="H877" s="29">
        <v>3</v>
      </c>
      <c r="I877" s="26" t="s">
        <v>57</v>
      </c>
      <c r="J877" s="26" t="s">
        <v>1095</v>
      </c>
    </row>
    <row r="878" spans="1:10" ht="15.75" customHeight="1">
      <c r="A878" s="26" t="s">
        <v>969</v>
      </c>
      <c r="B878" s="29">
        <v>35</v>
      </c>
      <c r="C878" s="26" t="s">
        <v>59</v>
      </c>
      <c r="D878" s="26" t="s">
        <v>54</v>
      </c>
      <c r="E878" s="27" t="s">
        <v>73</v>
      </c>
      <c r="F878" s="26" t="s">
        <v>80</v>
      </c>
      <c r="G878" s="59">
        <v>3904915</v>
      </c>
      <c r="H878" s="29">
        <v>8</v>
      </c>
      <c r="I878" s="26" t="s">
        <v>60</v>
      </c>
      <c r="J878" s="26" t="s">
        <v>1096</v>
      </c>
    </row>
    <row r="879" spans="1:10" ht="15.75" customHeight="1">
      <c r="A879" s="26" t="s">
        <v>970</v>
      </c>
      <c r="B879" s="29">
        <v>30</v>
      </c>
      <c r="C879" s="26" t="s">
        <v>59</v>
      </c>
      <c r="D879" s="26" t="s">
        <v>54</v>
      </c>
      <c r="E879" s="27" t="s">
        <v>55</v>
      </c>
      <c r="F879" s="26" t="s">
        <v>86</v>
      </c>
      <c r="G879" s="59">
        <v>7398925</v>
      </c>
      <c r="H879" s="29">
        <v>4</v>
      </c>
      <c r="I879" s="26" t="s">
        <v>60</v>
      </c>
      <c r="J879" s="26" t="s">
        <v>1096</v>
      </c>
    </row>
    <row r="880" spans="1:10" ht="15.75" customHeight="1">
      <c r="A880" s="26" t="s">
        <v>971</v>
      </c>
      <c r="B880" s="29">
        <v>31</v>
      </c>
      <c r="C880" s="26" t="s">
        <v>59</v>
      </c>
      <c r="D880" s="26" t="s">
        <v>60</v>
      </c>
      <c r="E880" s="27" t="s">
        <v>65</v>
      </c>
      <c r="F880" s="26" t="s">
        <v>102</v>
      </c>
      <c r="G880" s="59">
        <v>1342765</v>
      </c>
      <c r="H880" s="29">
        <v>10</v>
      </c>
      <c r="I880" s="26" t="s">
        <v>63</v>
      </c>
      <c r="J880" s="26" t="s">
        <v>1095</v>
      </c>
    </row>
    <row r="881" spans="1:10" ht="15.75" customHeight="1">
      <c r="A881" s="26" t="s">
        <v>972</v>
      </c>
      <c r="B881" s="29">
        <v>50</v>
      </c>
      <c r="C881" s="26" t="s">
        <v>53</v>
      </c>
      <c r="D881" s="26" t="s">
        <v>60</v>
      </c>
      <c r="E881" s="27" t="s">
        <v>85</v>
      </c>
      <c r="F881" s="26" t="s">
        <v>90</v>
      </c>
      <c r="G881" s="59">
        <v>7353510</v>
      </c>
      <c r="H881" s="29">
        <v>4</v>
      </c>
      <c r="I881" s="26" t="s">
        <v>63</v>
      </c>
      <c r="J881" s="26" t="s">
        <v>1095</v>
      </c>
    </row>
    <row r="882" spans="1:10" ht="15.75" customHeight="1">
      <c r="A882" s="26" t="s">
        <v>973</v>
      </c>
      <c r="B882" s="29">
        <v>34</v>
      </c>
      <c r="C882" s="26" t="s">
        <v>53</v>
      </c>
      <c r="D882" s="26" t="s">
        <v>60</v>
      </c>
      <c r="E882" s="27" t="s">
        <v>73</v>
      </c>
      <c r="F882" s="26" t="s">
        <v>56</v>
      </c>
      <c r="G882" s="59">
        <v>6653220</v>
      </c>
      <c r="H882" s="29">
        <v>7</v>
      </c>
      <c r="I882" s="26" t="s">
        <v>60</v>
      </c>
      <c r="J882" s="26" t="s">
        <v>1096</v>
      </c>
    </row>
    <row r="883" spans="1:10" ht="15.75" customHeight="1">
      <c r="A883" s="26" t="s">
        <v>974</v>
      </c>
      <c r="B883" s="29">
        <v>24</v>
      </c>
      <c r="C883" s="26" t="s">
        <v>53</v>
      </c>
      <c r="D883" s="26" t="s">
        <v>60</v>
      </c>
      <c r="E883" s="27" t="s">
        <v>85</v>
      </c>
      <c r="F883" s="26" t="s">
        <v>69</v>
      </c>
      <c r="G883" s="59">
        <v>7290890</v>
      </c>
      <c r="H883" s="29">
        <v>8</v>
      </c>
      <c r="I883" s="26" t="s">
        <v>63</v>
      </c>
      <c r="J883" s="26" t="s">
        <v>1095</v>
      </c>
    </row>
    <row r="884" spans="1:10" ht="15.75" customHeight="1">
      <c r="A884" s="26" t="s">
        <v>975</v>
      </c>
      <c r="B884" s="29">
        <v>32</v>
      </c>
      <c r="C884" s="26" t="s">
        <v>53</v>
      </c>
      <c r="D884" s="26" t="s">
        <v>54</v>
      </c>
      <c r="E884" s="27" t="s">
        <v>61</v>
      </c>
      <c r="F884" s="26" t="s">
        <v>56</v>
      </c>
      <c r="G884" s="59">
        <v>7684900</v>
      </c>
      <c r="H884" s="29">
        <v>4</v>
      </c>
      <c r="I884" s="26" t="s">
        <v>67</v>
      </c>
      <c r="J884" s="26" t="s">
        <v>1095</v>
      </c>
    </row>
    <row r="885" spans="1:10" ht="15.75" customHeight="1">
      <c r="A885" s="26" t="s">
        <v>976</v>
      </c>
      <c r="B885" s="29">
        <v>21</v>
      </c>
      <c r="C885" s="26" t="s">
        <v>53</v>
      </c>
      <c r="D885" s="26" t="s">
        <v>60</v>
      </c>
      <c r="E885" s="27" t="s">
        <v>65</v>
      </c>
      <c r="F885" s="26" t="s">
        <v>98</v>
      </c>
      <c r="G885" s="59">
        <v>2009420</v>
      </c>
      <c r="H885" s="29">
        <v>4</v>
      </c>
      <c r="I885" s="26" t="s">
        <v>57</v>
      </c>
      <c r="J885" s="26" t="s">
        <v>1096</v>
      </c>
    </row>
    <row r="886" spans="1:10" ht="15.75" customHeight="1">
      <c r="A886" s="26" t="s">
        <v>977</v>
      </c>
      <c r="B886" s="29">
        <v>41</v>
      </c>
      <c r="C886" s="26" t="s">
        <v>59</v>
      </c>
      <c r="D886" s="26" t="s">
        <v>54</v>
      </c>
      <c r="E886" s="27" t="s">
        <v>73</v>
      </c>
      <c r="F886" s="26" t="s">
        <v>82</v>
      </c>
      <c r="G886" s="59">
        <v>7343435</v>
      </c>
      <c r="H886" s="29">
        <v>9</v>
      </c>
      <c r="I886" s="26" t="s">
        <v>63</v>
      </c>
      <c r="J886" s="26" t="s">
        <v>1096</v>
      </c>
    </row>
    <row r="887" spans="1:10" ht="15.75" customHeight="1">
      <c r="A887" s="26" t="s">
        <v>978</v>
      </c>
      <c r="B887" s="29">
        <v>40</v>
      </c>
      <c r="C887" s="26" t="s">
        <v>53</v>
      </c>
      <c r="D887" s="26" t="s">
        <v>60</v>
      </c>
      <c r="E887" s="27" t="s">
        <v>73</v>
      </c>
      <c r="F887" s="26" t="s">
        <v>98</v>
      </c>
      <c r="G887" s="59">
        <v>2028020</v>
      </c>
      <c r="H887" s="29">
        <v>4</v>
      </c>
      <c r="I887" s="26" t="s">
        <v>63</v>
      </c>
      <c r="J887" s="26" t="s">
        <v>1095</v>
      </c>
    </row>
    <row r="888" spans="1:10" ht="15.75" customHeight="1">
      <c r="A888" s="26" t="s">
        <v>979</v>
      </c>
      <c r="B888" s="29">
        <v>48</v>
      </c>
      <c r="C888" s="26" t="s">
        <v>59</v>
      </c>
      <c r="D888" s="26" t="s">
        <v>54</v>
      </c>
      <c r="E888" s="27" t="s">
        <v>55</v>
      </c>
      <c r="F888" s="26" t="s">
        <v>121</v>
      </c>
      <c r="G888" s="59">
        <v>6766370</v>
      </c>
      <c r="H888" s="29">
        <v>12</v>
      </c>
      <c r="I888" s="26" t="s">
        <v>63</v>
      </c>
      <c r="J888" s="26" t="s">
        <v>1095</v>
      </c>
    </row>
    <row r="889" spans="1:10" ht="15.75" customHeight="1">
      <c r="A889" s="26" t="s">
        <v>980</v>
      </c>
      <c r="B889" s="29">
        <v>25</v>
      </c>
      <c r="C889" s="26" t="s">
        <v>53</v>
      </c>
      <c r="D889" s="26" t="s">
        <v>54</v>
      </c>
      <c r="E889" s="27" t="s">
        <v>65</v>
      </c>
      <c r="F889" s="26" t="s">
        <v>88</v>
      </c>
      <c r="G889" s="59">
        <v>4092155</v>
      </c>
      <c r="H889" s="29">
        <v>4</v>
      </c>
      <c r="I889" s="26" t="s">
        <v>60</v>
      </c>
      <c r="J889" s="26" t="s">
        <v>1095</v>
      </c>
    </row>
    <row r="890" spans="1:10" ht="15.75" customHeight="1">
      <c r="A890" s="26" t="s">
        <v>981</v>
      </c>
      <c r="B890" s="29">
        <v>30</v>
      </c>
      <c r="C890" s="26" t="s">
        <v>53</v>
      </c>
      <c r="D890" s="26" t="s">
        <v>60</v>
      </c>
      <c r="E890" s="27" t="s">
        <v>78</v>
      </c>
      <c r="F890" s="26" t="s">
        <v>1094</v>
      </c>
      <c r="G890" s="59">
        <v>903185</v>
      </c>
      <c r="H890" s="29">
        <v>2</v>
      </c>
      <c r="I890" s="26" t="s">
        <v>63</v>
      </c>
      <c r="J890" s="26" t="s">
        <v>1096</v>
      </c>
    </row>
    <row r="891" spans="1:10" ht="15.75" customHeight="1">
      <c r="A891" s="26" t="s">
        <v>982</v>
      </c>
      <c r="B891" s="29">
        <v>25</v>
      </c>
      <c r="C891" s="26" t="s">
        <v>59</v>
      </c>
      <c r="D891" s="26" t="s">
        <v>54</v>
      </c>
      <c r="E891" s="27" t="s">
        <v>85</v>
      </c>
      <c r="F891" s="26" t="s">
        <v>80</v>
      </c>
      <c r="G891" s="59">
        <v>2956780</v>
      </c>
      <c r="H891" s="29">
        <v>10</v>
      </c>
      <c r="I891" s="26" t="s">
        <v>57</v>
      </c>
      <c r="J891" s="26" t="s">
        <v>1096</v>
      </c>
    </row>
    <row r="892" spans="1:10" ht="15.75" customHeight="1">
      <c r="A892" s="26" t="s">
        <v>983</v>
      </c>
      <c r="B892" s="29">
        <v>40</v>
      </c>
      <c r="C892" s="26" t="s">
        <v>53</v>
      </c>
      <c r="D892" s="26" t="s">
        <v>60</v>
      </c>
      <c r="E892" s="27" t="s">
        <v>65</v>
      </c>
      <c r="F892" s="26" t="s">
        <v>88</v>
      </c>
      <c r="G892" s="59">
        <v>1639280</v>
      </c>
      <c r="H892" s="29">
        <v>8</v>
      </c>
      <c r="I892" s="26" t="s">
        <v>57</v>
      </c>
      <c r="J892" s="26" t="s">
        <v>1096</v>
      </c>
    </row>
    <row r="893" spans="1:10" ht="15.75" customHeight="1">
      <c r="A893" s="26" t="s">
        <v>984</v>
      </c>
      <c r="B893" s="29">
        <v>24</v>
      </c>
      <c r="C893" s="26" t="s">
        <v>53</v>
      </c>
      <c r="D893" s="26" t="s">
        <v>54</v>
      </c>
      <c r="E893" s="27" t="s">
        <v>78</v>
      </c>
      <c r="F893" s="26" t="s">
        <v>92</v>
      </c>
      <c r="G893" s="59">
        <v>3941495</v>
      </c>
      <c r="H893" s="29">
        <v>9</v>
      </c>
      <c r="I893" s="26" t="s">
        <v>63</v>
      </c>
      <c r="J893" s="26" t="s">
        <v>1096</v>
      </c>
    </row>
    <row r="894" spans="1:10" ht="15.75" customHeight="1">
      <c r="A894" s="26" t="s">
        <v>985</v>
      </c>
      <c r="B894" s="29">
        <v>49</v>
      </c>
      <c r="C894" s="26" t="s">
        <v>59</v>
      </c>
      <c r="D894" s="26" t="s">
        <v>54</v>
      </c>
      <c r="E894" s="27" t="s">
        <v>85</v>
      </c>
      <c r="F894" s="26" t="s">
        <v>80</v>
      </c>
      <c r="G894" s="59">
        <v>6750560</v>
      </c>
      <c r="H894" s="29">
        <v>9</v>
      </c>
      <c r="I894" s="26" t="s">
        <v>60</v>
      </c>
      <c r="J894" s="26" t="s">
        <v>1095</v>
      </c>
    </row>
    <row r="895" spans="1:10" ht="15.75" customHeight="1">
      <c r="A895" s="26" t="s">
        <v>986</v>
      </c>
      <c r="B895" s="29">
        <v>50</v>
      </c>
      <c r="C895" s="26" t="s">
        <v>53</v>
      </c>
      <c r="D895" s="26" t="s">
        <v>60</v>
      </c>
      <c r="E895" s="27" t="s">
        <v>78</v>
      </c>
      <c r="F895" s="26" t="s">
        <v>66</v>
      </c>
      <c r="G895" s="59">
        <v>3650095</v>
      </c>
      <c r="H895" s="29">
        <v>5</v>
      </c>
      <c r="I895" s="26" t="s">
        <v>60</v>
      </c>
      <c r="J895" s="26" t="s">
        <v>1095</v>
      </c>
    </row>
    <row r="896" spans="1:10" ht="15.75" customHeight="1">
      <c r="A896" s="26" t="s">
        <v>987</v>
      </c>
      <c r="B896" s="29">
        <v>45</v>
      </c>
      <c r="C896" s="26" t="s">
        <v>59</v>
      </c>
      <c r="D896" s="26" t="s">
        <v>60</v>
      </c>
      <c r="E896" s="27" t="s">
        <v>55</v>
      </c>
      <c r="F896" s="26" t="s">
        <v>82</v>
      </c>
      <c r="G896" s="59">
        <v>2500770</v>
      </c>
      <c r="H896" s="29">
        <v>3</v>
      </c>
      <c r="I896" s="26" t="s">
        <v>60</v>
      </c>
      <c r="J896" s="26" t="s">
        <v>1095</v>
      </c>
    </row>
    <row r="897" spans="1:10" ht="15.75" customHeight="1">
      <c r="A897" s="26" t="s">
        <v>988</v>
      </c>
      <c r="B897" s="29">
        <v>19</v>
      </c>
      <c r="C897" s="26" t="s">
        <v>59</v>
      </c>
      <c r="D897" s="26" t="s">
        <v>60</v>
      </c>
      <c r="E897" s="27" t="s">
        <v>55</v>
      </c>
      <c r="F897" s="26" t="s">
        <v>82</v>
      </c>
      <c r="G897" s="59">
        <v>2598885</v>
      </c>
      <c r="H897" s="29">
        <v>11</v>
      </c>
      <c r="I897" s="26" t="s">
        <v>60</v>
      </c>
      <c r="J897" s="26" t="s">
        <v>1096</v>
      </c>
    </row>
    <row r="898" spans="1:10" ht="15.75" customHeight="1">
      <c r="A898" s="26" t="s">
        <v>989</v>
      </c>
      <c r="B898" s="29">
        <v>50</v>
      </c>
      <c r="C898" s="26" t="s">
        <v>53</v>
      </c>
      <c r="D898" s="26" t="s">
        <v>54</v>
      </c>
      <c r="E898" s="27" t="s">
        <v>65</v>
      </c>
      <c r="F898" s="26" t="s">
        <v>62</v>
      </c>
      <c r="G898" s="59">
        <v>1498540</v>
      </c>
      <c r="H898" s="29">
        <v>10</v>
      </c>
      <c r="I898" s="26" t="s">
        <v>60</v>
      </c>
      <c r="J898" s="26" t="s">
        <v>1095</v>
      </c>
    </row>
    <row r="899" spans="1:10" ht="15.75" customHeight="1">
      <c r="A899" s="26" t="s">
        <v>990</v>
      </c>
      <c r="B899" s="29">
        <v>32</v>
      </c>
      <c r="C899" s="26" t="s">
        <v>59</v>
      </c>
      <c r="D899" s="26" t="s">
        <v>60</v>
      </c>
      <c r="E899" s="27" t="s">
        <v>55</v>
      </c>
      <c r="F899" s="26" t="s">
        <v>56</v>
      </c>
      <c r="G899" s="59">
        <v>3635990</v>
      </c>
      <c r="H899" s="29">
        <v>3</v>
      </c>
      <c r="I899" s="26" t="s">
        <v>67</v>
      </c>
      <c r="J899" s="26" t="s">
        <v>1095</v>
      </c>
    </row>
    <row r="900" spans="1:10" ht="15.75" customHeight="1">
      <c r="A900" s="26" t="s">
        <v>991</v>
      </c>
      <c r="B900" s="29">
        <v>21</v>
      </c>
      <c r="C900" s="26" t="s">
        <v>59</v>
      </c>
      <c r="D900" s="26" t="s">
        <v>54</v>
      </c>
      <c r="E900" s="27" t="s">
        <v>65</v>
      </c>
      <c r="F900" s="26" t="s">
        <v>71</v>
      </c>
      <c r="G900" s="59">
        <v>2425440</v>
      </c>
      <c r="H900" s="29">
        <v>7</v>
      </c>
      <c r="I900" s="26" t="s">
        <v>67</v>
      </c>
      <c r="J900" s="26" t="s">
        <v>1096</v>
      </c>
    </row>
    <row r="901" spans="1:10" ht="15.75" customHeight="1">
      <c r="A901" s="26" t="s">
        <v>992</v>
      </c>
      <c r="B901" s="29">
        <v>27</v>
      </c>
      <c r="C901" s="26" t="s">
        <v>59</v>
      </c>
      <c r="D901" s="26" t="s">
        <v>60</v>
      </c>
      <c r="E901" s="27" t="s">
        <v>55</v>
      </c>
      <c r="F901" s="26" t="s">
        <v>167</v>
      </c>
      <c r="G901" s="59">
        <v>7589730</v>
      </c>
      <c r="H901" s="29">
        <v>11</v>
      </c>
      <c r="I901" s="26" t="s">
        <v>60</v>
      </c>
      <c r="J901" s="26" t="s">
        <v>1095</v>
      </c>
    </row>
    <row r="902" spans="1:10" ht="15.75" customHeight="1">
      <c r="A902" s="26" t="s">
        <v>993</v>
      </c>
      <c r="B902" s="29">
        <v>39</v>
      </c>
      <c r="C902" s="26" t="s">
        <v>53</v>
      </c>
      <c r="D902" s="26" t="s">
        <v>60</v>
      </c>
      <c r="E902" s="27" t="s">
        <v>65</v>
      </c>
      <c r="F902" s="26" t="s">
        <v>1093</v>
      </c>
      <c r="G902" s="59">
        <v>2508675</v>
      </c>
      <c r="H902" s="29">
        <v>9</v>
      </c>
      <c r="I902" s="26" t="s">
        <v>60</v>
      </c>
      <c r="J902" s="26" t="s">
        <v>1095</v>
      </c>
    </row>
    <row r="903" spans="1:10" ht="15.75" customHeight="1">
      <c r="A903" s="26" t="s">
        <v>994</v>
      </c>
      <c r="B903" s="29">
        <v>34</v>
      </c>
      <c r="C903" s="26" t="s">
        <v>59</v>
      </c>
      <c r="D903" s="26" t="s">
        <v>54</v>
      </c>
      <c r="E903" s="27" t="s">
        <v>85</v>
      </c>
      <c r="F903" s="26" t="s">
        <v>98</v>
      </c>
      <c r="G903" s="59">
        <v>3169285</v>
      </c>
      <c r="H903" s="29">
        <v>7</v>
      </c>
      <c r="I903" s="26" t="s">
        <v>57</v>
      </c>
      <c r="J903" s="26" t="s">
        <v>1095</v>
      </c>
    </row>
    <row r="904" spans="1:10" ht="15.75" customHeight="1">
      <c r="A904" s="26" t="s">
        <v>995</v>
      </c>
      <c r="B904" s="29">
        <v>34</v>
      </c>
      <c r="C904" s="26" t="s">
        <v>53</v>
      </c>
      <c r="D904" s="26" t="s">
        <v>54</v>
      </c>
      <c r="E904" s="27" t="s">
        <v>61</v>
      </c>
      <c r="F904" s="26" t="s">
        <v>92</v>
      </c>
      <c r="G904" s="59">
        <v>4882965</v>
      </c>
      <c r="H904" s="29">
        <v>4</v>
      </c>
      <c r="I904" s="26" t="s">
        <v>60</v>
      </c>
      <c r="J904" s="26" t="s">
        <v>1095</v>
      </c>
    </row>
    <row r="905" spans="1:10" ht="15.75" customHeight="1">
      <c r="A905" s="26" t="s">
        <v>996</v>
      </c>
      <c r="B905" s="29">
        <v>42</v>
      </c>
      <c r="C905" s="26" t="s">
        <v>59</v>
      </c>
      <c r="D905" s="26" t="s">
        <v>54</v>
      </c>
      <c r="E905" s="27" t="s">
        <v>61</v>
      </c>
      <c r="F905" s="26" t="s">
        <v>71</v>
      </c>
      <c r="G905" s="59">
        <v>5120580</v>
      </c>
      <c r="H905" s="29">
        <v>12</v>
      </c>
      <c r="I905" s="26" t="s">
        <v>67</v>
      </c>
      <c r="J905" s="26" t="s">
        <v>1095</v>
      </c>
    </row>
    <row r="906" spans="1:10" ht="15.75" customHeight="1">
      <c r="A906" s="26" t="s">
        <v>997</v>
      </c>
      <c r="B906" s="29">
        <v>42</v>
      </c>
      <c r="C906" s="26" t="s">
        <v>59</v>
      </c>
      <c r="D906" s="26" t="s">
        <v>54</v>
      </c>
      <c r="E906" s="27" t="s">
        <v>65</v>
      </c>
      <c r="F906" s="26" t="s">
        <v>104</v>
      </c>
      <c r="G906" s="59">
        <v>7080865</v>
      </c>
      <c r="H906" s="29">
        <v>5</v>
      </c>
      <c r="I906" s="26" t="s">
        <v>57</v>
      </c>
      <c r="J906" s="26" t="s">
        <v>1096</v>
      </c>
    </row>
    <row r="907" spans="1:10" ht="15.75" customHeight="1">
      <c r="A907" s="26" t="s">
        <v>998</v>
      </c>
      <c r="B907" s="29">
        <v>31</v>
      </c>
      <c r="C907" s="26" t="s">
        <v>59</v>
      </c>
      <c r="D907" s="26" t="s">
        <v>60</v>
      </c>
      <c r="E907" s="27" t="s">
        <v>85</v>
      </c>
      <c r="F907" s="26" t="s">
        <v>167</v>
      </c>
      <c r="G907" s="59">
        <v>3658775</v>
      </c>
      <c r="H907" s="29">
        <v>6</v>
      </c>
      <c r="I907" s="26" t="s">
        <v>57</v>
      </c>
      <c r="J907" s="26" t="s">
        <v>1096</v>
      </c>
    </row>
    <row r="908" spans="1:10" ht="15.75" customHeight="1">
      <c r="A908" s="26" t="s">
        <v>999</v>
      </c>
      <c r="B908" s="29">
        <v>35</v>
      </c>
      <c r="C908" s="26" t="s">
        <v>53</v>
      </c>
      <c r="D908" s="26" t="s">
        <v>60</v>
      </c>
      <c r="E908" s="27" t="s">
        <v>55</v>
      </c>
      <c r="F908" s="26" t="s">
        <v>69</v>
      </c>
      <c r="G908" s="59">
        <v>4483840</v>
      </c>
      <c r="H908" s="29">
        <v>9</v>
      </c>
      <c r="I908" s="26" t="s">
        <v>60</v>
      </c>
      <c r="J908" s="26" t="s">
        <v>1096</v>
      </c>
    </row>
    <row r="909" spans="1:10" ht="15.75" customHeight="1">
      <c r="A909" s="26" t="s">
        <v>1000</v>
      </c>
      <c r="B909" s="29">
        <v>27</v>
      </c>
      <c r="C909" s="26" t="s">
        <v>53</v>
      </c>
      <c r="D909" s="26" t="s">
        <v>60</v>
      </c>
      <c r="E909" s="27" t="s">
        <v>85</v>
      </c>
      <c r="F909" s="26" t="s">
        <v>1093</v>
      </c>
      <c r="G909" s="59">
        <v>7498435</v>
      </c>
      <c r="H909" s="29">
        <v>5</v>
      </c>
      <c r="I909" s="26" t="s">
        <v>57</v>
      </c>
      <c r="J909" s="26" t="s">
        <v>1096</v>
      </c>
    </row>
    <row r="910" spans="1:10" ht="15.75" customHeight="1">
      <c r="A910" s="26" t="s">
        <v>1001</v>
      </c>
      <c r="B910" s="29">
        <v>45</v>
      </c>
      <c r="C910" s="26" t="s">
        <v>59</v>
      </c>
      <c r="D910" s="26" t="s">
        <v>54</v>
      </c>
      <c r="E910" s="27" t="s">
        <v>85</v>
      </c>
      <c r="F910" s="26" t="s">
        <v>71</v>
      </c>
      <c r="G910" s="59">
        <v>999750</v>
      </c>
      <c r="H910" s="29">
        <v>7</v>
      </c>
      <c r="I910" s="26" t="s">
        <v>60</v>
      </c>
      <c r="J910" s="26" t="s">
        <v>1095</v>
      </c>
    </row>
    <row r="911" spans="1:10" ht="15.75" customHeight="1">
      <c r="A911" s="26" t="s">
        <v>1002</v>
      </c>
      <c r="B911" s="29">
        <v>43</v>
      </c>
      <c r="C911" s="26" t="s">
        <v>59</v>
      </c>
      <c r="D911" s="26" t="s">
        <v>60</v>
      </c>
      <c r="E911" s="27" t="s">
        <v>78</v>
      </c>
      <c r="F911" s="26" t="s">
        <v>121</v>
      </c>
      <c r="G911" s="59">
        <v>6766835</v>
      </c>
      <c r="H911" s="29">
        <v>4</v>
      </c>
      <c r="I911" s="26" t="s">
        <v>60</v>
      </c>
      <c r="J911" s="26" t="s">
        <v>1096</v>
      </c>
    </row>
    <row r="912" spans="1:10" ht="15.75" customHeight="1">
      <c r="A912" s="26" t="s">
        <v>1003</v>
      </c>
      <c r="B912" s="29">
        <v>35</v>
      </c>
      <c r="C912" s="26" t="s">
        <v>53</v>
      </c>
      <c r="D912" s="26" t="s">
        <v>54</v>
      </c>
      <c r="E912" s="27" t="s">
        <v>61</v>
      </c>
      <c r="F912" s="26" t="s">
        <v>62</v>
      </c>
      <c r="G912" s="59">
        <v>5649440</v>
      </c>
      <c r="H912" s="29">
        <v>2</v>
      </c>
      <c r="I912" s="26" t="s">
        <v>57</v>
      </c>
      <c r="J912" s="26" t="s">
        <v>1096</v>
      </c>
    </row>
    <row r="913" spans="1:10" ht="15.75" customHeight="1">
      <c r="A913" s="26" t="s">
        <v>1004</v>
      </c>
      <c r="B913" s="29">
        <v>33</v>
      </c>
      <c r="C913" s="26" t="s">
        <v>53</v>
      </c>
      <c r="D913" s="26" t="s">
        <v>54</v>
      </c>
      <c r="E913" s="27" t="s">
        <v>61</v>
      </c>
      <c r="F913" s="26" t="s">
        <v>137</v>
      </c>
      <c r="G913" s="59">
        <v>3439140</v>
      </c>
      <c r="H913" s="29">
        <v>12</v>
      </c>
      <c r="I913" s="26" t="s">
        <v>67</v>
      </c>
      <c r="J913" s="26" t="s">
        <v>1095</v>
      </c>
    </row>
    <row r="914" spans="1:10" ht="15.75" customHeight="1">
      <c r="A914" s="26" t="s">
        <v>1005</v>
      </c>
      <c r="B914" s="29">
        <v>31</v>
      </c>
      <c r="C914" s="26" t="s">
        <v>53</v>
      </c>
      <c r="D914" s="26" t="s">
        <v>54</v>
      </c>
      <c r="E914" s="27" t="s">
        <v>78</v>
      </c>
      <c r="F914" s="26" t="s">
        <v>134</v>
      </c>
      <c r="G914" s="59">
        <v>4312255</v>
      </c>
      <c r="H914" s="29">
        <v>3</v>
      </c>
      <c r="I914" s="26" t="s">
        <v>67</v>
      </c>
      <c r="J914" s="26" t="s">
        <v>1095</v>
      </c>
    </row>
    <row r="915" spans="1:10" ht="15.75" customHeight="1">
      <c r="A915" s="26" t="s">
        <v>1006</v>
      </c>
      <c r="B915" s="29">
        <v>31</v>
      </c>
      <c r="C915" s="26" t="s">
        <v>53</v>
      </c>
      <c r="D915" s="26" t="s">
        <v>60</v>
      </c>
      <c r="E915" s="27" t="s">
        <v>65</v>
      </c>
      <c r="F915" s="26" t="s">
        <v>113</v>
      </c>
      <c r="G915" s="59">
        <v>5338665</v>
      </c>
      <c r="H915" s="29">
        <v>7</v>
      </c>
      <c r="I915" s="26" t="s">
        <v>63</v>
      </c>
      <c r="J915" s="26" t="s">
        <v>1095</v>
      </c>
    </row>
    <row r="916" spans="1:10" ht="15.75" customHeight="1">
      <c r="A916" s="26" t="s">
        <v>1007</v>
      </c>
      <c r="B916" s="29">
        <v>26</v>
      </c>
      <c r="C916" s="26" t="s">
        <v>59</v>
      </c>
      <c r="D916" s="26" t="s">
        <v>60</v>
      </c>
      <c r="E916" s="27" t="s">
        <v>78</v>
      </c>
      <c r="F916" s="26" t="s">
        <v>102</v>
      </c>
      <c r="G916" s="59">
        <v>5054240</v>
      </c>
      <c r="H916" s="29">
        <v>11</v>
      </c>
      <c r="I916" s="26" t="s">
        <v>63</v>
      </c>
      <c r="J916" s="26" t="s">
        <v>1095</v>
      </c>
    </row>
    <row r="917" spans="1:10" ht="15.75" customHeight="1">
      <c r="A917" s="26" t="s">
        <v>1008</v>
      </c>
      <c r="B917" s="29">
        <v>49</v>
      </c>
      <c r="C917" s="26" t="s">
        <v>59</v>
      </c>
      <c r="D917" s="26" t="s">
        <v>60</v>
      </c>
      <c r="E917" s="27" t="s">
        <v>61</v>
      </c>
      <c r="F917" s="26" t="s">
        <v>56</v>
      </c>
      <c r="G917" s="59">
        <v>6788535</v>
      </c>
      <c r="H917" s="29">
        <v>8</v>
      </c>
      <c r="I917" s="26" t="s">
        <v>60</v>
      </c>
      <c r="J917" s="26" t="s">
        <v>1095</v>
      </c>
    </row>
    <row r="918" spans="1:10" ht="15.75" customHeight="1">
      <c r="A918" s="26" t="s">
        <v>1009</v>
      </c>
      <c r="B918" s="29">
        <v>23</v>
      </c>
      <c r="C918" s="26" t="s">
        <v>59</v>
      </c>
      <c r="D918" s="26" t="s">
        <v>60</v>
      </c>
      <c r="E918" s="27" t="s">
        <v>61</v>
      </c>
      <c r="F918" s="26" t="s">
        <v>1093</v>
      </c>
      <c r="G918" s="59">
        <v>6073985</v>
      </c>
      <c r="H918" s="29">
        <v>3</v>
      </c>
      <c r="I918" s="26" t="s">
        <v>60</v>
      </c>
      <c r="J918" s="26" t="s">
        <v>1095</v>
      </c>
    </row>
    <row r="919" spans="1:10" ht="15.75" customHeight="1">
      <c r="A919" s="26" t="s">
        <v>1010</v>
      </c>
      <c r="B919" s="29">
        <v>42</v>
      </c>
      <c r="C919" s="26" t="s">
        <v>59</v>
      </c>
      <c r="D919" s="26" t="s">
        <v>60</v>
      </c>
      <c r="E919" s="27" t="s">
        <v>85</v>
      </c>
      <c r="F919" s="26" t="s">
        <v>1094</v>
      </c>
      <c r="G919" s="59">
        <v>5167855</v>
      </c>
      <c r="H919" s="29">
        <v>3</v>
      </c>
      <c r="I919" s="26" t="s">
        <v>60</v>
      </c>
      <c r="J919" s="26" t="s">
        <v>1096</v>
      </c>
    </row>
    <row r="920" spans="1:10" ht="15.75" customHeight="1">
      <c r="A920" s="26" t="s">
        <v>1011</v>
      </c>
      <c r="B920" s="29">
        <v>32</v>
      </c>
      <c r="C920" s="26" t="s">
        <v>59</v>
      </c>
      <c r="D920" s="26" t="s">
        <v>54</v>
      </c>
      <c r="E920" s="27" t="s">
        <v>61</v>
      </c>
      <c r="F920" s="26" t="s">
        <v>121</v>
      </c>
      <c r="G920" s="59">
        <v>3898870</v>
      </c>
      <c r="H920" s="29">
        <v>9</v>
      </c>
      <c r="I920" s="26" t="s">
        <v>60</v>
      </c>
      <c r="J920" s="26" t="s">
        <v>1095</v>
      </c>
    </row>
    <row r="921" spans="1:10" ht="15.75" customHeight="1">
      <c r="A921" s="26" t="s">
        <v>1012</v>
      </c>
      <c r="B921" s="29">
        <v>37</v>
      </c>
      <c r="C921" s="26" t="s">
        <v>53</v>
      </c>
      <c r="D921" s="26" t="s">
        <v>54</v>
      </c>
      <c r="E921" s="27" t="s">
        <v>65</v>
      </c>
      <c r="F921" s="26" t="s">
        <v>98</v>
      </c>
      <c r="G921" s="59">
        <v>4527240</v>
      </c>
      <c r="H921" s="29">
        <v>7</v>
      </c>
      <c r="I921" s="26" t="s">
        <v>60</v>
      </c>
      <c r="J921" s="26" t="s">
        <v>1096</v>
      </c>
    </row>
    <row r="922" spans="1:10" ht="15.75" customHeight="1">
      <c r="A922" s="26" t="s">
        <v>1013</v>
      </c>
      <c r="B922" s="29">
        <v>25</v>
      </c>
      <c r="C922" s="26" t="s">
        <v>59</v>
      </c>
      <c r="D922" s="26" t="s">
        <v>60</v>
      </c>
      <c r="E922" s="27" t="s">
        <v>55</v>
      </c>
      <c r="F922" s="26" t="s">
        <v>1094</v>
      </c>
      <c r="G922" s="59">
        <v>3166495</v>
      </c>
      <c r="H922" s="29">
        <v>11</v>
      </c>
      <c r="I922" s="26" t="s">
        <v>57</v>
      </c>
      <c r="J922" s="26" t="s">
        <v>1096</v>
      </c>
    </row>
    <row r="923" spans="1:10" ht="15.75" customHeight="1">
      <c r="A923" s="26" t="s">
        <v>1014</v>
      </c>
      <c r="B923" s="29">
        <v>49</v>
      </c>
      <c r="C923" s="26" t="s">
        <v>59</v>
      </c>
      <c r="D923" s="26" t="s">
        <v>54</v>
      </c>
      <c r="E923" s="27" t="s">
        <v>55</v>
      </c>
      <c r="F923" s="26" t="s">
        <v>1093</v>
      </c>
      <c r="G923" s="59">
        <v>4009540</v>
      </c>
      <c r="H923" s="29">
        <v>4</v>
      </c>
      <c r="I923" s="26" t="s">
        <v>67</v>
      </c>
      <c r="J923" s="26" t="s">
        <v>1096</v>
      </c>
    </row>
    <row r="924" spans="1:10" ht="15.75" customHeight="1">
      <c r="A924" s="26" t="s">
        <v>1015</v>
      </c>
      <c r="B924" s="29">
        <v>26</v>
      </c>
      <c r="C924" s="26" t="s">
        <v>59</v>
      </c>
      <c r="D924" s="26" t="s">
        <v>54</v>
      </c>
      <c r="E924" s="27" t="s">
        <v>65</v>
      </c>
      <c r="F924" s="26" t="s">
        <v>56</v>
      </c>
      <c r="G924" s="59">
        <v>3999310</v>
      </c>
      <c r="H924" s="29">
        <v>2</v>
      </c>
      <c r="I924" s="26" t="s">
        <v>67</v>
      </c>
      <c r="J924" s="26" t="s">
        <v>1095</v>
      </c>
    </row>
    <row r="925" spans="1:10" ht="15.75" customHeight="1">
      <c r="A925" s="26" t="s">
        <v>1016</v>
      </c>
      <c r="B925" s="29">
        <v>29</v>
      </c>
      <c r="C925" s="26" t="s">
        <v>53</v>
      </c>
      <c r="D925" s="26" t="s">
        <v>60</v>
      </c>
      <c r="E925" s="27" t="s">
        <v>61</v>
      </c>
      <c r="F925" s="26" t="s">
        <v>56</v>
      </c>
      <c r="G925" s="59">
        <v>2818985</v>
      </c>
      <c r="H925" s="29">
        <v>12</v>
      </c>
      <c r="I925" s="26" t="s">
        <v>63</v>
      </c>
      <c r="J925" s="26" t="s">
        <v>1096</v>
      </c>
    </row>
    <row r="926" spans="1:10" ht="15.75" customHeight="1">
      <c r="A926" s="26" t="s">
        <v>1017</v>
      </c>
      <c r="B926" s="29">
        <v>26</v>
      </c>
      <c r="C926" s="26" t="s">
        <v>59</v>
      </c>
      <c r="D926" s="26" t="s">
        <v>60</v>
      </c>
      <c r="E926" s="27" t="s">
        <v>85</v>
      </c>
      <c r="F926" s="26" t="s">
        <v>121</v>
      </c>
      <c r="G926" s="59">
        <v>1258290</v>
      </c>
      <c r="H926" s="29">
        <v>8</v>
      </c>
      <c r="I926" s="26" t="s">
        <v>67</v>
      </c>
      <c r="J926" s="26" t="s">
        <v>1096</v>
      </c>
    </row>
    <row r="927" spans="1:10" ht="15.75" customHeight="1">
      <c r="A927" s="26" t="s">
        <v>1018</v>
      </c>
      <c r="B927" s="29">
        <v>23</v>
      </c>
      <c r="C927" s="26" t="s">
        <v>53</v>
      </c>
      <c r="D927" s="26" t="s">
        <v>60</v>
      </c>
      <c r="E927" s="27" t="s">
        <v>78</v>
      </c>
      <c r="F927" s="26" t="s">
        <v>76</v>
      </c>
      <c r="G927" s="59">
        <v>5935570</v>
      </c>
      <c r="H927" s="29">
        <v>8</v>
      </c>
      <c r="I927" s="26" t="s">
        <v>63</v>
      </c>
      <c r="J927" s="26" t="s">
        <v>1096</v>
      </c>
    </row>
    <row r="928" spans="1:10" ht="15.75" customHeight="1">
      <c r="A928" s="26" t="s">
        <v>1019</v>
      </c>
      <c r="B928" s="29">
        <v>47</v>
      </c>
      <c r="C928" s="26" t="s">
        <v>53</v>
      </c>
      <c r="D928" s="26" t="s">
        <v>60</v>
      </c>
      <c r="E928" s="27" t="s">
        <v>78</v>
      </c>
      <c r="F928" s="26" t="s">
        <v>137</v>
      </c>
      <c r="G928" s="59">
        <v>6243710</v>
      </c>
      <c r="H928" s="29">
        <v>7</v>
      </c>
      <c r="I928" s="26" t="s">
        <v>57</v>
      </c>
      <c r="J928" s="26" t="s">
        <v>1096</v>
      </c>
    </row>
    <row r="929" spans="1:10" ht="15.75" customHeight="1">
      <c r="A929" s="26" t="s">
        <v>1020</v>
      </c>
      <c r="B929" s="29">
        <v>30</v>
      </c>
      <c r="C929" s="26" t="s">
        <v>59</v>
      </c>
      <c r="D929" s="26" t="s">
        <v>60</v>
      </c>
      <c r="E929" s="27" t="s">
        <v>78</v>
      </c>
      <c r="F929" s="26" t="s">
        <v>56</v>
      </c>
      <c r="G929" s="59">
        <v>7715280</v>
      </c>
      <c r="H929" s="29">
        <v>2</v>
      </c>
      <c r="I929" s="26" t="s">
        <v>60</v>
      </c>
      <c r="J929" s="26" t="s">
        <v>1095</v>
      </c>
    </row>
    <row r="930" spans="1:10" ht="15.75" customHeight="1">
      <c r="A930" s="26" t="s">
        <v>1021</v>
      </c>
      <c r="B930" s="29">
        <v>26</v>
      </c>
      <c r="C930" s="26" t="s">
        <v>53</v>
      </c>
      <c r="D930" s="26" t="s">
        <v>60</v>
      </c>
      <c r="E930" s="27" t="s">
        <v>85</v>
      </c>
      <c r="F930" s="26" t="s">
        <v>71</v>
      </c>
      <c r="G930" s="59">
        <v>3527490</v>
      </c>
      <c r="H930" s="29">
        <v>5</v>
      </c>
      <c r="I930" s="26" t="s">
        <v>60</v>
      </c>
      <c r="J930" s="26" t="s">
        <v>1095</v>
      </c>
    </row>
    <row r="931" spans="1:10" ht="15.75" customHeight="1">
      <c r="A931" s="26" t="s">
        <v>1022</v>
      </c>
      <c r="B931" s="29">
        <v>35</v>
      </c>
      <c r="C931" s="26" t="s">
        <v>53</v>
      </c>
      <c r="D931" s="26" t="s">
        <v>60</v>
      </c>
      <c r="E931" s="27" t="s">
        <v>65</v>
      </c>
      <c r="F931" s="26" t="s">
        <v>98</v>
      </c>
      <c r="G931" s="59">
        <v>4085335</v>
      </c>
      <c r="H931" s="29">
        <v>2</v>
      </c>
      <c r="I931" s="26" t="s">
        <v>60</v>
      </c>
      <c r="J931" s="26" t="s">
        <v>1095</v>
      </c>
    </row>
    <row r="932" spans="1:10" ht="15.75" customHeight="1">
      <c r="A932" s="26" t="s">
        <v>1023</v>
      </c>
      <c r="B932" s="29">
        <v>40</v>
      </c>
      <c r="C932" s="26" t="s">
        <v>59</v>
      </c>
      <c r="D932" s="26" t="s">
        <v>60</v>
      </c>
      <c r="E932" s="27" t="s">
        <v>73</v>
      </c>
      <c r="F932" s="26" t="s">
        <v>102</v>
      </c>
      <c r="G932" s="59">
        <v>6542395</v>
      </c>
      <c r="H932" s="29">
        <v>3</v>
      </c>
      <c r="I932" s="26" t="s">
        <v>60</v>
      </c>
      <c r="J932" s="26" t="s">
        <v>1095</v>
      </c>
    </row>
    <row r="933" spans="1:10" ht="15.75" customHeight="1">
      <c r="A933" s="26" t="s">
        <v>1024</v>
      </c>
      <c r="B933" s="29">
        <v>35</v>
      </c>
      <c r="C933" s="26" t="s">
        <v>59</v>
      </c>
      <c r="D933" s="26" t="s">
        <v>54</v>
      </c>
      <c r="E933" s="27" t="s">
        <v>78</v>
      </c>
      <c r="F933" s="26" t="s">
        <v>56</v>
      </c>
      <c r="G933" s="59">
        <v>6383365</v>
      </c>
      <c r="H933" s="29">
        <v>2</v>
      </c>
      <c r="I933" s="26" t="s">
        <v>60</v>
      </c>
      <c r="J933" s="26" t="s">
        <v>1095</v>
      </c>
    </row>
    <row r="934" spans="1:10" ht="15.75" customHeight="1">
      <c r="A934" s="26" t="s">
        <v>1025</v>
      </c>
      <c r="B934" s="29">
        <v>21</v>
      </c>
      <c r="C934" s="26" t="s">
        <v>59</v>
      </c>
      <c r="D934" s="26" t="s">
        <v>54</v>
      </c>
      <c r="E934" s="27" t="s">
        <v>78</v>
      </c>
      <c r="F934" s="26" t="s">
        <v>100</v>
      </c>
      <c r="G934" s="59">
        <v>3761075</v>
      </c>
      <c r="H934" s="29">
        <v>3</v>
      </c>
      <c r="I934" s="26" t="s">
        <v>57</v>
      </c>
      <c r="J934" s="26" t="s">
        <v>1096</v>
      </c>
    </row>
    <row r="935" spans="1:10" ht="15.75" customHeight="1">
      <c r="A935" s="26" t="s">
        <v>1026</v>
      </c>
      <c r="B935" s="29">
        <v>41</v>
      </c>
      <c r="C935" s="26" t="s">
        <v>59</v>
      </c>
      <c r="D935" s="26" t="s">
        <v>54</v>
      </c>
      <c r="E935" s="27" t="s">
        <v>61</v>
      </c>
      <c r="F935" s="26" t="s">
        <v>80</v>
      </c>
      <c r="G935" s="59">
        <v>4633415</v>
      </c>
      <c r="H935" s="29">
        <v>6</v>
      </c>
      <c r="I935" s="26" t="s">
        <v>57</v>
      </c>
      <c r="J935" s="26" t="s">
        <v>1095</v>
      </c>
    </row>
    <row r="936" spans="1:10" ht="15.75" customHeight="1">
      <c r="A936" s="26" t="s">
        <v>1027</v>
      </c>
      <c r="B936" s="29">
        <v>44</v>
      </c>
      <c r="C936" s="26" t="s">
        <v>53</v>
      </c>
      <c r="D936" s="26" t="s">
        <v>60</v>
      </c>
      <c r="E936" s="27" t="s">
        <v>61</v>
      </c>
      <c r="F936" s="26" t="s">
        <v>82</v>
      </c>
      <c r="G936" s="59">
        <v>2963755</v>
      </c>
      <c r="H936" s="29">
        <v>7</v>
      </c>
      <c r="I936" s="26" t="s">
        <v>67</v>
      </c>
      <c r="J936" s="26" t="s">
        <v>1096</v>
      </c>
    </row>
    <row r="937" spans="1:10" ht="15.75" customHeight="1">
      <c r="A937" s="26" t="s">
        <v>1028</v>
      </c>
      <c r="B937" s="29">
        <v>44</v>
      </c>
      <c r="C937" s="26" t="s">
        <v>53</v>
      </c>
      <c r="D937" s="26" t="s">
        <v>60</v>
      </c>
      <c r="E937" s="27" t="s">
        <v>55</v>
      </c>
      <c r="F937" s="26" t="s">
        <v>98</v>
      </c>
      <c r="G937" s="59">
        <v>2118385</v>
      </c>
      <c r="H937" s="29">
        <v>3</v>
      </c>
      <c r="I937" s="26" t="s">
        <v>67</v>
      </c>
      <c r="J937" s="26" t="s">
        <v>1096</v>
      </c>
    </row>
    <row r="938" spans="1:10" ht="15.75" customHeight="1">
      <c r="A938" s="26" t="s">
        <v>1029</v>
      </c>
      <c r="B938" s="29">
        <v>37</v>
      </c>
      <c r="C938" s="26" t="s">
        <v>59</v>
      </c>
      <c r="D938" s="26" t="s">
        <v>54</v>
      </c>
      <c r="E938" s="27" t="s">
        <v>73</v>
      </c>
      <c r="F938" s="26" t="s">
        <v>80</v>
      </c>
      <c r="G938" s="59">
        <v>5023705</v>
      </c>
      <c r="H938" s="29">
        <v>11</v>
      </c>
      <c r="I938" s="26" t="s">
        <v>57</v>
      </c>
      <c r="J938" s="26" t="s">
        <v>1096</v>
      </c>
    </row>
    <row r="939" spans="1:10" ht="15.75" customHeight="1">
      <c r="A939" s="26" t="s">
        <v>1030</v>
      </c>
      <c r="B939" s="29">
        <v>40</v>
      </c>
      <c r="C939" s="26" t="s">
        <v>53</v>
      </c>
      <c r="D939" s="26" t="s">
        <v>60</v>
      </c>
      <c r="E939" s="27" t="s">
        <v>78</v>
      </c>
      <c r="F939" s="26" t="s">
        <v>88</v>
      </c>
      <c r="G939" s="59">
        <v>1637420</v>
      </c>
      <c r="H939" s="29">
        <v>6</v>
      </c>
      <c r="I939" s="26" t="s">
        <v>67</v>
      </c>
      <c r="J939" s="26" t="s">
        <v>1095</v>
      </c>
    </row>
    <row r="940" spans="1:10" ht="15.75" customHeight="1">
      <c r="A940" s="26" t="s">
        <v>1031</v>
      </c>
      <c r="B940" s="29">
        <v>43</v>
      </c>
      <c r="C940" s="26" t="s">
        <v>59</v>
      </c>
      <c r="D940" s="26" t="s">
        <v>60</v>
      </c>
      <c r="E940" s="27" t="s">
        <v>55</v>
      </c>
      <c r="F940" s="26" t="s">
        <v>98</v>
      </c>
      <c r="G940" s="59">
        <v>4581800</v>
      </c>
      <c r="H940" s="29">
        <v>10</v>
      </c>
      <c r="I940" s="26" t="s">
        <v>60</v>
      </c>
      <c r="J940" s="26" t="s">
        <v>1095</v>
      </c>
    </row>
    <row r="941" spans="1:10" ht="15.75" customHeight="1">
      <c r="A941" s="26" t="s">
        <v>1032</v>
      </c>
      <c r="B941" s="29">
        <v>48</v>
      </c>
      <c r="C941" s="26" t="s">
        <v>59</v>
      </c>
      <c r="D941" s="26" t="s">
        <v>54</v>
      </c>
      <c r="E941" s="27" t="s">
        <v>85</v>
      </c>
      <c r="F941" s="26" t="s">
        <v>88</v>
      </c>
      <c r="G941" s="59">
        <v>3518965</v>
      </c>
      <c r="H941" s="29">
        <v>9</v>
      </c>
      <c r="I941" s="26" t="s">
        <v>67</v>
      </c>
      <c r="J941" s="26" t="s">
        <v>1095</v>
      </c>
    </row>
    <row r="942" spans="1:10" ht="15.75" customHeight="1">
      <c r="A942" s="26" t="s">
        <v>1033</v>
      </c>
      <c r="B942" s="29">
        <v>32</v>
      </c>
      <c r="C942" s="26" t="s">
        <v>53</v>
      </c>
      <c r="D942" s="26" t="s">
        <v>60</v>
      </c>
      <c r="E942" s="27" t="s">
        <v>65</v>
      </c>
      <c r="F942" s="26" t="s">
        <v>92</v>
      </c>
      <c r="G942" s="59">
        <v>7529435</v>
      </c>
      <c r="H942" s="29">
        <v>10</v>
      </c>
      <c r="I942" s="26" t="s">
        <v>67</v>
      </c>
      <c r="J942" s="26" t="s">
        <v>1096</v>
      </c>
    </row>
    <row r="943" spans="1:10" ht="15.75" customHeight="1">
      <c r="A943" s="26" t="s">
        <v>1034</v>
      </c>
      <c r="B943" s="29">
        <v>37</v>
      </c>
      <c r="C943" s="26" t="s">
        <v>53</v>
      </c>
      <c r="D943" s="26" t="s">
        <v>54</v>
      </c>
      <c r="E943" s="27" t="s">
        <v>61</v>
      </c>
      <c r="F943" s="26" t="s">
        <v>88</v>
      </c>
      <c r="G943" s="59">
        <v>2688165</v>
      </c>
      <c r="H943" s="29">
        <v>4</v>
      </c>
      <c r="I943" s="26" t="s">
        <v>63</v>
      </c>
      <c r="J943" s="26" t="s">
        <v>1095</v>
      </c>
    </row>
    <row r="944" spans="1:10" ht="15.75" customHeight="1">
      <c r="A944" s="26" t="s">
        <v>1035</v>
      </c>
      <c r="B944" s="29">
        <v>29</v>
      </c>
      <c r="C944" s="26" t="s">
        <v>53</v>
      </c>
      <c r="D944" s="26" t="s">
        <v>54</v>
      </c>
      <c r="E944" s="27" t="s">
        <v>61</v>
      </c>
      <c r="F944" s="26" t="s">
        <v>102</v>
      </c>
      <c r="G944" s="59">
        <v>7175880</v>
      </c>
      <c r="H944" s="29">
        <v>2</v>
      </c>
      <c r="I944" s="26" t="s">
        <v>60</v>
      </c>
      <c r="J944" s="26" t="s">
        <v>1095</v>
      </c>
    </row>
    <row r="945" spans="1:10" ht="15.75" customHeight="1">
      <c r="A945" s="26" t="s">
        <v>1036</v>
      </c>
      <c r="B945" s="29">
        <v>36</v>
      </c>
      <c r="C945" s="26" t="s">
        <v>59</v>
      </c>
      <c r="D945" s="26" t="s">
        <v>60</v>
      </c>
      <c r="E945" s="27" t="s">
        <v>55</v>
      </c>
      <c r="F945" s="26" t="s">
        <v>82</v>
      </c>
      <c r="G945" s="59">
        <v>3148515</v>
      </c>
      <c r="H945" s="29">
        <v>10</v>
      </c>
      <c r="I945" s="26" t="s">
        <v>57</v>
      </c>
      <c r="J945" s="26" t="s">
        <v>1095</v>
      </c>
    </row>
    <row r="946" spans="1:10" ht="15.75" customHeight="1">
      <c r="A946" s="26" t="s">
        <v>1037</v>
      </c>
      <c r="B946" s="29">
        <v>50</v>
      </c>
      <c r="C946" s="26" t="s">
        <v>53</v>
      </c>
      <c r="D946" s="26" t="s">
        <v>60</v>
      </c>
      <c r="E946" s="27" t="s">
        <v>73</v>
      </c>
      <c r="F946" s="26" t="s">
        <v>104</v>
      </c>
      <c r="G946" s="59">
        <v>6868205</v>
      </c>
      <c r="H946" s="29">
        <v>9</v>
      </c>
      <c r="I946" s="26" t="s">
        <v>57</v>
      </c>
      <c r="J946" s="26" t="s">
        <v>1095</v>
      </c>
    </row>
    <row r="947" spans="1:10" ht="15.75" customHeight="1">
      <c r="A947" s="26" t="s">
        <v>1038</v>
      </c>
      <c r="B947" s="29">
        <v>31</v>
      </c>
      <c r="C947" s="26" t="s">
        <v>53</v>
      </c>
      <c r="D947" s="26" t="s">
        <v>60</v>
      </c>
      <c r="E947" s="27" t="s">
        <v>61</v>
      </c>
      <c r="F947" s="26" t="s">
        <v>113</v>
      </c>
      <c r="G947" s="59">
        <v>3949865</v>
      </c>
      <c r="H947" s="29">
        <v>2</v>
      </c>
      <c r="I947" s="26" t="s">
        <v>57</v>
      </c>
      <c r="J947" s="26" t="s">
        <v>1096</v>
      </c>
    </row>
    <row r="948" spans="1:10" ht="15.75" customHeight="1">
      <c r="A948" s="26" t="s">
        <v>1039</v>
      </c>
      <c r="B948" s="29">
        <v>29</v>
      </c>
      <c r="C948" s="26" t="s">
        <v>53</v>
      </c>
      <c r="D948" s="26" t="s">
        <v>60</v>
      </c>
      <c r="E948" s="27" t="s">
        <v>78</v>
      </c>
      <c r="F948" s="26" t="s">
        <v>86</v>
      </c>
      <c r="G948" s="59">
        <v>5221795</v>
      </c>
      <c r="H948" s="29">
        <v>4</v>
      </c>
      <c r="I948" s="26" t="s">
        <v>63</v>
      </c>
      <c r="J948" s="26" t="s">
        <v>1096</v>
      </c>
    </row>
    <row r="949" spans="1:10" ht="15.75" customHeight="1">
      <c r="A949" s="26" t="s">
        <v>1040</v>
      </c>
      <c r="B949" s="29">
        <v>26</v>
      </c>
      <c r="C949" s="26" t="s">
        <v>59</v>
      </c>
      <c r="D949" s="26" t="s">
        <v>54</v>
      </c>
      <c r="E949" s="27" t="s">
        <v>85</v>
      </c>
      <c r="F949" s="26" t="s">
        <v>102</v>
      </c>
      <c r="G949" s="59">
        <v>5226135</v>
      </c>
      <c r="H949" s="29">
        <v>8</v>
      </c>
      <c r="I949" s="26" t="s">
        <v>67</v>
      </c>
      <c r="J949" s="26" t="s">
        <v>1096</v>
      </c>
    </row>
    <row r="950" spans="1:10" ht="15.75" customHeight="1">
      <c r="A950" s="26" t="s">
        <v>1041</v>
      </c>
      <c r="B950" s="29">
        <v>22</v>
      </c>
      <c r="C950" s="26" t="s">
        <v>53</v>
      </c>
      <c r="D950" s="26" t="s">
        <v>60</v>
      </c>
      <c r="E950" s="27" t="s">
        <v>73</v>
      </c>
      <c r="F950" s="26" t="s">
        <v>62</v>
      </c>
      <c r="G950" s="59">
        <v>6653220</v>
      </c>
      <c r="H950" s="29">
        <v>2</v>
      </c>
      <c r="I950" s="26" t="s">
        <v>63</v>
      </c>
      <c r="J950" s="26" t="s">
        <v>1096</v>
      </c>
    </row>
    <row r="951" spans="1:10" ht="15.75" customHeight="1">
      <c r="A951" s="26" t="s">
        <v>1042</v>
      </c>
      <c r="B951" s="29">
        <v>35</v>
      </c>
      <c r="C951" s="26" t="s">
        <v>53</v>
      </c>
      <c r="D951" s="26" t="s">
        <v>60</v>
      </c>
      <c r="E951" s="27" t="s">
        <v>65</v>
      </c>
      <c r="F951" s="26" t="s">
        <v>98</v>
      </c>
      <c r="G951" s="59">
        <v>3064350</v>
      </c>
      <c r="H951" s="29">
        <v>7</v>
      </c>
      <c r="I951" s="26" t="s">
        <v>60</v>
      </c>
      <c r="J951" s="26" t="s">
        <v>1096</v>
      </c>
    </row>
    <row r="952" spans="1:10" ht="15.75" customHeight="1">
      <c r="A952" s="26" t="s">
        <v>1043</v>
      </c>
      <c r="B952" s="29">
        <v>23</v>
      </c>
      <c r="C952" s="26" t="s">
        <v>59</v>
      </c>
      <c r="D952" s="26" t="s">
        <v>54</v>
      </c>
      <c r="E952" s="27" t="s">
        <v>78</v>
      </c>
      <c r="F952" s="26" t="s">
        <v>69</v>
      </c>
      <c r="G952" s="59">
        <v>5222880</v>
      </c>
      <c r="H952" s="29">
        <v>2</v>
      </c>
      <c r="I952" s="26" t="s">
        <v>60</v>
      </c>
      <c r="J952" s="26" t="s">
        <v>1095</v>
      </c>
    </row>
    <row r="953" spans="1:10" ht="15.75" customHeight="1">
      <c r="A953" s="26" t="s">
        <v>1044</v>
      </c>
      <c r="B953" s="29">
        <v>40</v>
      </c>
      <c r="C953" s="26" t="s">
        <v>53</v>
      </c>
      <c r="D953" s="26" t="s">
        <v>60</v>
      </c>
      <c r="E953" s="27" t="s">
        <v>61</v>
      </c>
      <c r="F953" s="26" t="s">
        <v>1093</v>
      </c>
      <c r="G953" s="59">
        <v>7592055</v>
      </c>
      <c r="H953" s="29">
        <v>11</v>
      </c>
      <c r="I953" s="26" t="s">
        <v>67</v>
      </c>
      <c r="J953" s="26" t="s">
        <v>1096</v>
      </c>
    </row>
    <row r="954" spans="1:10" ht="15.75" customHeight="1">
      <c r="A954" s="26" t="s">
        <v>1045</v>
      </c>
      <c r="B954" s="29">
        <v>32</v>
      </c>
      <c r="C954" s="26" t="s">
        <v>53</v>
      </c>
      <c r="D954" s="26" t="s">
        <v>60</v>
      </c>
      <c r="E954" s="27" t="s">
        <v>78</v>
      </c>
      <c r="F954" s="26" t="s">
        <v>100</v>
      </c>
      <c r="G954" s="59">
        <v>7061025</v>
      </c>
      <c r="H954" s="29">
        <v>8</v>
      </c>
      <c r="I954" s="26" t="s">
        <v>60</v>
      </c>
      <c r="J954" s="26" t="s">
        <v>1096</v>
      </c>
    </row>
    <row r="955" spans="1:10" ht="15.75" customHeight="1">
      <c r="A955" s="26" t="s">
        <v>1046</v>
      </c>
      <c r="B955" s="29">
        <v>29</v>
      </c>
      <c r="C955" s="26" t="s">
        <v>59</v>
      </c>
      <c r="D955" s="26" t="s">
        <v>54</v>
      </c>
      <c r="E955" s="27" t="s">
        <v>61</v>
      </c>
      <c r="F955" s="26" t="s">
        <v>82</v>
      </c>
      <c r="G955" s="59">
        <v>4132455</v>
      </c>
      <c r="H955" s="29">
        <v>3</v>
      </c>
      <c r="I955" s="26" t="s">
        <v>63</v>
      </c>
      <c r="J955" s="26" t="s">
        <v>1095</v>
      </c>
    </row>
    <row r="956" spans="1:10" ht="15.75" customHeight="1">
      <c r="A956" s="26" t="s">
        <v>1047</v>
      </c>
      <c r="B956" s="29">
        <v>50</v>
      </c>
      <c r="C956" s="26" t="s">
        <v>59</v>
      </c>
      <c r="D956" s="26" t="s">
        <v>54</v>
      </c>
      <c r="E956" s="27" t="s">
        <v>78</v>
      </c>
      <c r="F956" s="26" t="s">
        <v>1094</v>
      </c>
      <c r="G956" s="59">
        <v>7143640</v>
      </c>
      <c r="H956" s="29">
        <v>5</v>
      </c>
      <c r="I956" s="26" t="s">
        <v>57</v>
      </c>
      <c r="J956" s="26" t="s">
        <v>1095</v>
      </c>
    </row>
    <row r="957" spans="1:10" ht="15.75" customHeight="1">
      <c r="A957" s="26" t="s">
        <v>1048</v>
      </c>
      <c r="B957" s="29">
        <v>42</v>
      </c>
      <c r="C957" s="26" t="s">
        <v>59</v>
      </c>
      <c r="D957" s="26" t="s">
        <v>60</v>
      </c>
      <c r="E957" s="27" t="s">
        <v>78</v>
      </c>
      <c r="F957" s="26" t="s">
        <v>113</v>
      </c>
      <c r="G957" s="59">
        <v>5601700</v>
      </c>
      <c r="H957" s="29">
        <v>2</v>
      </c>
      <c r="I957" s="26" t="s">
        <v>63</v>
      </c>
      <c r="J957" s="26" t="s">
        <v>1096</v>
      </c>
    </row>
    <row r="958" spans="1:10" ht="15.75" customHeight="1">
      <c r="A958" s="26" t="s">
        <v>1049</v>
      </c>
      <c r="B958" s="29">
        <v>47</v>
      </c>
      <c r="C958" s="26" t="s">
        <v>53</v>
      </c>
      <c r="D958" s="26" t="s">
        <v>54</v>
      </c>
      <c r="E958" s="27" t="s">
        <v>85</v>
      </c>
      <c r="F958" s="26" t="s">
        <v>102</v>
      </c>
      <c r="G958" s="59">
        <v>803830</v>
      </c>
      <c r="H958" s="29">
        <v>4</v>
      </c>
      <c r="I958" s="26" t="s">
        <v>63</v>
      </c>
      <c r="J958" s="26" t="s">
        <v>1096</v>
      </c>
    </row>
    <row r="959" spans="1:10" ht="15.75" customHeight="1">
      <c r="A959" s="26" t="s">
        <v>1050</v>
      </c>
      <c r="B959" s="29">
        <v>27</v>
      </c>
      <c r="C959" s="26" t="s">
        <v>59</v>
      </c>
      <c r="D959" s="26" t="s">
        <v>54</v>
      </c>
      <c r="E959" s="27" t="s">
        <v>61</v>
      </c>
      <c r="F959" s="26" t="s">
        <v>66</v>
      </c>
      <c r="G959" s="59">
        <v>4807480</v>
      </c>
      <c r="H959" s="29">
        <v>5</v>
      </c>
      <c r="I959" s="26" t="s">
        <v>57</v>
      </c>
      <c r="J959" s="26" t="s">
        <v>1096</v>
      </c>
    </row>
    <row r="960" spans="1:10" ht="15.75" customHeight="1">
      <c r="A960" s="26" t="s">
        <v>1051</v>
      </c>
      <c r="B960" s="29">
        <v>40</v>
      </c>
      <c r="C960" s="26" t="s">
        <v>53</v>
      </c>
      <c r="D960" s="26" t="s">
        <v>54</v>
      </c>
      <c r="E960" s="27" t="s">
        <v>61</v>
      </c>
      <c r="F960" s="26" t="s">
        <v>1093</v>
      </c>
      <c r="G960" s="59">
        <v>4661315</v>
      </c>
      <c r="H960" s="29">
        <v>8</v>
      </c>
      <c r="I960" s="26" t="s">
        <v>67</v>
      </c>
      <c r="J960" s="26" t="s">
        <v>1095</v>
      </c>
    </row>
    <row r="961" spans="1:10" ht="15.75" customHeight="1">
      <c r="A961" s="26" t="s">
        <v>1052</v>
      </c>
      <c r="B961" s="29">
        <v>28</v>
      </c>
      <c r="C961" s="26" t="s">
        <v>53</v>
      </c>
      <c r="D961" s="26" t="s">
        <v>60</v>
      </c>
      <c r="E961" s="27" t="s">
        <v>55</v>
      </c>
      <c r="F961" s="26" t="s">
        <v>1093</v>
      </c>
      <c r="G961" s="59">
        <v>5531485</v>
      </c>
      <c r="H961" s="29">
        <v>12</v>
      </c>
      <c r="I961" s="26" t="s">
        <v>60</v>
      </c>
      <c r="J961" s="26" t="s">
        <v>1096</v>
      </c>
    </row>
    <row r="962" spans="1:10" ht="15.75" customHeight="1">
      <c r="A962" s="26" t="s">
        <v>1053</v>
      </c>
      <c r="B962" s="29">
        <v>28</v>
      </c>
      <c r="C962" s="26" t="s">
        <v>59</v>
      </c>
      <c r="D962" s="26" t="s">
        <v>54</v>
      </c>
      <c r="E962" s="27" t="s">
        <v>55</v>
      </c>
      <c r="F962" s="26" t="s">
        <v>134</v>
      </c>
      <c r="G962" s="59">
        <v>1276735</v>
      </c>
      <c r="H962" s="29">
        <v>6</v>
      </c>
      <c r="I962" s="26" t="s">
        <v>63</v>
      </c>
      <c r="J962" s="26" t="s">
        <v>1096</v>
      </c>
    </row>
    <row r="963" spans="1:10" ht="15.75" customHeight="1">
      <c r="A963" s="26" t="s">
        <v>1054</v>
      </c>
      <c r="B963" s="29">
        <v>29</v>
      </c>
      <c r="C963" s="26" t="s">
        <v>53</v>
      </c>
      <c r="D963" s="26" t="s">
        <v>60</v>
      </c>
      <c r="E963" s="27" t="s">
        <v>65</v>
      </c>
      <c r="F963" s="26" t="s">
        <v>134</v>
      </c>
      <c r="G963" s="59">
        <v>5775300</v>
      </c>
      <c r="H963" s="29">
        <v>3</v>
      </c>
      <c r="I963" s="26" t="s">
        <v>60</v>
      </c>
      <c r="J963" s="26" t="s">
        <v>1095</v>
      </c>
    </row>
    <row r="964" spans="1:10" ht="15.75" customHeight="1">
      <c r="A964" s="26" t="s">
        <v>1055</v>
      </c>
      <c r="B964" s="29">
        <v>29</v>
      </c>
      <c r="C964" s="26" t="s">
        <v>53</v>
      </c>
      <c r="D964" s="26" t="s">
        <v>54</v>
      </c>
      <c r="E964" s="27" t="s">
        <v>73</v>
      </c>
      <c r="F964" s="26" t="s">
        <v>88</v>
      </c>
      <c r="G964" s="59">
        <v>1213960</v>
      </c>
      <c r="H964" s="29">
        <v>9</v>
      </c>
      <c r="I964" s="26" t="s">
        <v>67</v>
      </c>
      <c r="J964" s="26" t="s">
        <v>1096</v>
      </c>
    </row>
    <row r="965" spans="1:10" ht="15.75" customHeight="1">
      <c r="A965" s="26" t="s">
        <v>1056</v>
      </c>
      <c r="B965" s="29">
        <v>32</v>
      </c>
      <c r="C965" s="26" t="s">
        <v>53</v>
      </c>
      <c r="D965" s="26" t="s">
        <v>60</v>
      </c>
      <c r="E965" s="27" t="s">
        <v>65</v>
      </c>
      <c r="F965" s="26" t="s">
        <v>102</v>
      </c>
      <c r="G965" s="59">
        <v>1111660</v>
      </c>
      <c r="H965" s="29">
        <v>12</v>
      </c>
      <c r="I965" s="26" t="s">
        <v>60</v>
      </c>
      <c r="J965" s="26" t="s">
        <v>1095</v>
      </c>
    </row>
    <row r="966" spans="1:10" ht="15.75" customHeight="1">
      <c r="A966" s="26" t="s">
        <v>1057</v>
      </c>
      <c r="B966" s="29">
        <v>39</v>
      </c>
      <c r="C966" s="26" t="s">
        <v>53</v>
      </c>
      <c r="D966" s="26" t="s">
        <v>60</v>
      </c>
      <c r="E966" s="27" t="s">
        <v>65</v>
      </c>
      <c r="F966" s="26" t="s">
        <v>86</v>
      </c>
      <c r="G966" s="59">
        <v>3737050</v>
      </c>
      <c r="H966" s="29">
        <v>12</v>
      </c>
      <c r="I966" s="26" t="s">
        <v>57</v>
      </c>
      <c r="J966" s="26" t="s">
        <v>1096</v>
      </c>
    </row>
    <row r="967" spans="1:10" ht="15.75" customHeight="1">
      <c r="A967" s="26" t="s">
        <v>1058</v>
      </c>
      <c r="B967" s="29">
        <v>22</v>
      </c>
      <c r="C967" s="26" t="s">
        <v>59</v>
      </c>
      <c r="D967" s="26" t="s">
        <v>54</v>
      </c>
      <c r="E967" s="27" t="s">
        <v>65</v>
      </c>
      <c r="F967" s="26" t="s">
        <v>1094</v>
      </c>
      <c r="G967" s="59">
        <v>1501330</v>
      </c>
      <c r="H967" s="29">
        <v>9</v>
      </c>
      <c r="I967" s="26" t="s">
        <v>57</v>
      </c>
      <c r="J967" s="26" t="s">
        <v>1096</v>
      </c>
    </row>
    <row r="968" spans="1:10" ht="15.75" customHeight="1">
      <c r="A968" s="26" t="s">
        <v>1059</v>
      </c>
      <c r="B968" s="29">
        <v>48</v>
      </c>
      <c r="C968" s="26" t="s">
        <v>59</v>
      </c>
      <c r="D968" s="26" t="s">
        <v>54</v>
      </c>
      <c r="E968" s="27" t="s">
        <v>65</v>
      </c>
      <c r="F968" s="26" t="s">
        <v>62</v>
      </c>
      <c r="G968" s="59">
        <v>4281875</v>
      </c>
      <c r="H968" s="29">
        <v>11</v>
      </c>
      <c r="I968" s="26" t="s">
        <v>60</v>
      </c>
      <c r="J968" s="26" t="s">
        <v>1095</v>
      </c>
    </row>
    <row r="969" spans="1:10" ht="15.75" customHeight="1">
      <c r="A969" s="26" t="s">
        <v>1060</v>
      </c>
      <c r="B969" s="29">
        <v>29</v>
      </c>
      <c r="C969" s="26" t="s">
        <v>59</v>
      </c>
      <c r="D969" s="26" t="s">
        <v>54</v>
      </c>
      <c r="E969" s="27" t="s">
        <v>65</v>
      </c>
      <c r="F969" s="26" t="s">
        <v>66</v>
      </c>
      <c r="G969" s="59">
        <v>4935975</v>
      </c>
      <c r="H969" s="29">
        <v>10</v>
      </c>
      <c r="I969" s="26" t="s">
        <v>57</v>
      </c>
      <c r="J969" s="26" t="s">
        <v>1096</v>
      </c>
    </row>
    <row r="970" spans="1:10" ht="15.75" customHeight="1">
      <c r="A970" s="26" t="s">
        <v>1061</v>
      </c>
      <c r="B970" s="29">
        <v>41</v>
      </c>
      <c r="C970" s="26" t="s">
        <v>53</v>
      </c>
      <c r="D970" s="26" t="s">
        <v>60</v>
      </c>
      <c r="E970" s="27" t="s">
        <v>73</v>
      </c>
      <c r="F970" s="26" t="s">
        <v>88</v>
      </c>
      <c r="G970" s="59">
        <v>1813965</v>
      </c>
      <c r="H970" s="29">
        <v>6</v>
      </c>
      <c r="I970" s="26" t="s">
        <v>57</v>
      </c>
      <c r="J970" s="26" t="s">
        <v>1096</v>
      </c>
    </row>
    <row r="971" spans="1:10" ht="15.75" customHeight="1">
      <c r="A971" s="26" t="s">
        <v>1062</v>
      </c>
      <c r="B971" s="29">
        <v>50</v>
      </c>
      <c r="C971" s="26" t="s">
        <v>53</v>
      </c>
      <c r="D971" s="26" t="s">
        <v>54</v>
      </c>
      <c r="E971" s="27" t="s">
        <v>65</v>
      </c>
      <c r="F971" s="26" t="s">
        <v>104</v>
      </c>
      <c r="G971" s="59">
        <v>7601355</v>
      </c>
      <c r="H971" s="29">
        <v>7</v>
      </c>
      <c r="I971" s="26" t="s">
        <v>63</v>
      </c>
      <c r="J971" s="26" t="s">
        <v>1095</v>
      </c>
    </row>
    <row r="972" spans="1:10" ht="15.75" customHeight="1">
      <c r="A972" s="26" t="s">
        <v>1063</v>
      </c>
      <c r="B972" s="29">
        <v>48</v>
      </c>
      <c r="C972" s="26" t="s">
        <v>59</v>
      </c>
      <c r="D972" s="26" t="s">
        <v>54</v>
      </c>
      <c r="E972" s="27" t="s">
        <v>73</v>
      </c>
      <c r="F972" s="26" t="s">
        <v>113</v>
      </c>
      <c r="G972" s="59">
        <v>7384510</v>
      </c>
      <c r="H972" s="29">
        <v>7</v>
      </c>
      <c r="I972" s="26" t="s">
        <v>60</v>
      </c>
      <c r="J972" s="26" t="s">
        <v>1095</v>
      </c>
    </row>
    <row r="973" spans="1:10" ht="15.75" customHeight="1">
      <c r="A973" s="26" t="s">
        <v>1064</v>
      </c>
      <c r="B973" s="29">
        <v>29</v>
      </c>
      <c r="C973" s="26" t="s">
        <v>53</v>
      </c>
      <c r="D973" s="26" t="s">
        <v>60</v>
      </c>
      <c r="E973" s="27" t="s">
        <v>65</v>
      </c>
      <c r="F973" s="26" t="s">
        <v>137</v>
      </c>
      <c r="G973" s="59">
        <v>6080185</v>
      </c>
      <c r="H973" s="29">
        <v>5</v>
      </c>
      <c r="I973" s="26" t="s">
        <v>60</v>
      </c>
      <c r="J973" s="26" t="s">
        <v>1095</v>
      </c>
    </row>
    <row r="974" spans="1:10" ht="15.75" customHeight="1">
      <c r="A974" s="26" t="s">
        <v>1065</v>
      </c>
      <c r="B974" s="29">
        <v>36</v>
      </c>
      <c r="C974" s="26" t="s">
        <v>59</v>
      </c>
      <c r="D974" s="26" t="s">
        <v>60</v>
      </c>
      <c r="E974" s="27" t="s">
        <v>85</v>
      </c>
      <c r="F974" s="26" t="s">
        <v>92</v>
      </c>
      <c r="G974" s="59">
        <v>3212220</v>
      </c>
      <c r="H974" s="29">
        <v>9</v>
      </c>
      <c r="I974" s="26" t="s">
        <v>67</v>
      </c>
      <c r="J974" s="26" t="s">
        <v>1095</v>
      </c>
    </row>
    <row r="975" spans="1:10" ht="15.75" customHeight="1">
      <c r="A975" s="26" t="s">
        <v>1066</v>
      </c>
      <c r="B975" s="29">
        <v>43</v>
      </c>
      <c r="C975" s="26" t="s">
        <v>59</v>
      </c>
      <c r="D975" s="26" t="s">
        <v>60</v>
      </c>
      <c r="E975" s="27" t="s">
        <v>55</v>
      </c>
      <c r="F975" s="26" t="s">
        <v>56</v>
      </c>
      <c r="G975" s="59">
        <v>2195265</v>
      </c>
      <c r="H975" s="29">
        <v>3</v>
      </c>
      <c r="I975" s="26" t="s">
        <v>57</v>
      </c>
      <c r="J975" s="26" t="s">
        <v>1095</v>
      </c>
    </row>
    <row r="976" spans="1:10" ht="15.75" customHeight="1">
      <c r="A976" s="26" t="s">
        <v>1067</v>
      </c>
      <c r="B976" s="29">
        <v>30</v>
      </c>
      <c r="C976" s="26" t="s">
        <v>59</v>
      </c>
      <c r="D976" s="26" t="s">
        <v>60</v>
      </c>
      <c r="E976" s="27" t="s">
        <v>61</v>
      </c>
      <c r="F976" s="26" t="s">
        <v>69</v>
      </c>
      <c r="G976" s="59">
        <v>3789285</v>
      </c>
      <c r="H976" s="29">
        <v>5</v>
      </c>
      <c r="I976" s="26" t="s">
        <v>60</v>
      </c>
      <c r="J976" s="26" t="s">
        <v>1096</v>
      </c>
    </row>
    <row r="977" spans="1:10" ht="15.75" customHeight="1">
      <c r="A977" s="26" t="s">
        <v>1068</v>
      </c>
      <c r="B977" s="29">
        <v>24</v>
      </c>
      <c r="C977" s="26" t="s">
        <v>59</v>
      </c>
      <c r="D977" s="26" t="s">
        <v>60</v>
      </c>
      <c r="E977" s="27" t="s">
        <v>73</v>
      </c>
      <c r="F977" s="26" t="s">
        <v>56</v>
      </c>
      <c r="G977" s="59">
        <v>3900265</v>
      </c>
      <c r="H977" s="29">
        <v>9</v>
      </c>
      <c r="I977" s="26" t="s">
        <v>67</v>
      </c>
      <c r="J977" s="26" t="s">
        <v>1095</v>
      </c>
    </row>
    <row r="978" spans="1:10" ht="15.75" customHeight="1">
      <c r="A978" s="26" t="s">
        <v>1069</v>
      </c>
      <c r="B978" s="29">
        <v>30</v>
      </c>
      <c r="C978" s="26" t="s">
        <v>59</v>
      </c>
      <c r="D978" s="26" t="s">
        <v>54</v>
      </c>
      <c r="E978" s="27" t="s">
        <v>78</v>
      </c>
      <c r="F978" s="26" t="s">
        <v>104</v>
      </c>
      <c r="G978" s="59">
        <v>6692590</v>
      </c>
      <c r="H978" s="29">
        <v>12</v>
      </c>
      <c r="I978" s="26" t="s">
        <v>63</v>
      </c>
      <c r="J978" s="26" t="s">
        <v>1095</v>
      </c>
    </row>
    <row r="979" spans="1:10" ht="15.75" customHeight="1">
      <c r="A979" s="26" t="s">
        <v>1070</v>
      </c>
      <c r="B979" s="29">
        <v>37</v>
      </c>
      <c r="C979" s="26" t="s">
        <v>53</v>
      </c>
      <c r="D979" s="26" t="s">
        <v>54</v>
      </c>
      <c r="E979" s="27" t="s">
        <v>78</v>
      </c>
      <c r="F979" s="26" t="s">
        <v>167</v>
      </c>
      <c r="G979" s="59">
        <v>4697895</v>
      </c>
      <c r="H979" s="29">
        <v>2</v>
      </c>
      <c r="I979" s="26" t="s">
        <v>57</v>
      </c>
      <c r="J979" s="26" t="s">
        <v>1096</v>
      </c>
    </row>
    <row r="980" spans="1:10" ht="15.75" customHeight="1">
      <c r="A980" s="26" t="s">
        <v>1071</v>
      </c>
      <c r="B980" s="29">
        <v>40</v>
      </c>
      <c r="C980" s="26" t="s">
        <v>59</v>
      </c>
      <c r="D980" s="26" t="s">
        <v>60</v>
      </c>
      <c r="E980" s="27" t="s">
        <v>73</v>
      </c>
      <c r="F980" s="26" t="s">
        <v>1094</v>
      </c>
      <c r="G980" s="59">
        <v>5289220</v>
      </c>
      <c r="H980" s="29">
        <v>9</v>
      </c>
      <c r="I980" s="26" t="s">
        <v>67</v>
      </c>
      <c r="J980" s="26" t="s">
        <v>1095</v>
      </c>
    </row>
    <row r="981" spans="1:10" ht="15.75" customHeight="1">
      <c r="A981" s="26" t="s">
        <v>1072</v>
      </c>
      <c r="B981" s="29">
        <v>30</v>
      </c>
      <c r="C981" s="26" t="s">
        <v>53</v>
      </c>
      <c r="D981" s="26" t="s">
        <v>54</v>
      </c>
      <c r="E981" s="27" t="s">
        <v>78</v>
      </c>
      <c r="F981" s="26" t="s">
        <v>98</v>
      </c>
      <c r="G981" s="59">
        <v>3276545</v>
      </c>
      <c r="H981" s="29">
        <v>10</v>
      </c>
      <c r="I981" s="26" t="s">
        <v>63</v>
      </c>
      <c r="J981" s="26" t="s">
        <v>1095</v>
      </c>
    </row>
    <row r="982" spans="1:10" ht="15.75" customHeight="1">
      <c r="A982" s="26" t="s">
        <v>1073</v>
      </c>
      <c r="B982" s="29">
        <v>39</v>
      </c>
      <c r="C982" s="26" t="s">
        <v>53</v>
      </c>
      <c r="D982" s="26" t="s">
        <v>54</v>
      </c>
      <c r="E982" s="27" t="s">
        <v>85</v>
      </c>
      <c r="F982" s="26" t="s">
        <v>98</v>
      </c>
      <c r="G982" s="59">
        <v>5877755</v>
      </c>
      <c r="H982" s="29">
        <v>9</v>
      </c>
      <c r="I982" s="26" t="s">
        <v>67</v>
      </c>
      <c r="J982" s="26" t="s">
        <v>1095</v>
      </c>
    </row>
    <row r="983" spans="1:10" ht="15.75" customHeight="1">
      <c r="A983" s="26" t="s">
        <v>1074</v>
      </c>
      <c r="B983" s="29">
        <v>46</v>
      </c>
      <c r="C983" s="26" t="s">
        <v>53</v>
      </c>
      <c r="D983" s="26" t="s">
        <v>60</v>
      </c>
      <c r="E983" s="27" t="s">
        <v>61</v>
      </c>
      <c r="F983" s="26" t="s">
        <v>82</v>
      </c>
      <c r="G983" s="59">
        <v>4797715</v>
      </c>
      <c r="H983" s="29">
        <v>8</v>
      </c>
      <c r="I983" s="26" t="s">
        <v>57</v>
      </c>
      <c r="J983" s="26" t="s">
        <v>1096</v>
      </c>
    </row>
    <row r="984" spans="1:10" ht="15.75" customHeight="1">
      <c r="A984" s="26" t="s">
        <v>1075</v>
      </c>
      <c r="B984" s="29">
        <v>48</v>
      </c>
      <c r="C984" s="26" t="s">
        <v>59</v>
      </c>
      <c r="D984" s="26" t="s">
        <v>54</v>
      </c>
      <c r="E984" s="27" t="s">
        <v>85</v>
      </c>
      <c r="F984" s="26" t="s">
        <v>76</v>
      </c>
      <c r="G984" s="59">
        <v>5571475</v>
      </c>
      <c r="H984" s="29">
        <v>6</v>
      </c>
      <c r="I984" s="26" t="s">
        <v>67</v>
      </c>
      <c r="J984" s="26" t="s">
        <v>1096</v>
      </c>
    </row>
    <row r="985" spans="1:10" ht="15.75" customHeight="1">
      <c r="A985" s="26" t="s">
        <v>1076</v>
      </c>
      <c r="B985" s="29">
        <v>20</v>
      </c>
      <c r="C985" s="26" t="s">
        <v>53</v>
      </c>
      <c r="D985" s="26" t="s">
        <v>60</v>
      </c>
      <c r="E985" s="27" t="s">
        <v>78</v>
      </c>
      <c r="F985" s="26" t="s">
        <v>92</v>
      </c>
      <c r="G985" s="59">
        <v>7434110</v>
      </c>
      <c r="H985" s="29">
        <v>8</v>
      </c>
      <c r="I985" s="26" t="s">
        <v>60</v>
      </c>
      <c r="J985" s="26" t="s">
        <v>1096</v>
      </c>
    </row>
    <row r="986" spans="1:10" ht="15.75" customHeight="1">
      <c r="A986" s="26" t="s">
        <v>1077</v>
      </c>
      <c r="B986" s="29">
        <v>34</v>
      </c>
      <c r="C986" s="26" t="s">
        <v>59</v>
      </c>
      <c r="D986" s="26" t="s">
        <v>60</v>
      </c>
      <c r="E986" s="27" t="s">
        <v>55</v>
      </c>
      <c r="F986" s="26" t="s">
        <v>98</v>
      </c>
      <c r="G986" s="59">
        <v>3233300</v>
      </c>
      <c r="H986" s="29">
        <v>2</v>
      </c>
      <c r="I986" s="26" t="s">
        <v>57</v>
      </c>
      <c r="J986" s="26" t="s">
        <v>1095</v>
      </c>
    </row>
    <row r="987" spans="1:10" ht="15.75" customHeight="1">
      <c r="A987" s="26" t="s">
        <v>1078</v>
      </c>
      <c r="B987" s="29">
        <v>50</v>
      </c>
      <c r="C987" s="26" t="s">
        <v>53</v>
      </c>
      <c r="D987" s="26" t="s">
        <v>54</v>
      </c>
      <c r="E987" s="27" t="s">
        <v>85</v>
      </c>
      <c r="F987" s="26" t="s">
        <v>100</v>
      </c>
      <c r="G987" s="59">
        <v>2793255</v>
      </c>
      <c r="H987" s="29">
        <v>2</v>
      </c>
      <c r="I987" s="26" t="s">
        <v>57</v>
      </c>
      <c r="J987" s="26" t="s">
        <v>1096</v>
      </c>
    </row>
    <row r="988" spans="1:10" ht="15.75" customHeight="1">
      <c r="A988" s="26" t="s">
        <v>1079</v>
      </c>
      <c r="B988" s="29">
        <v>25</v>
      </c>
      <c r="C988" s="26" t="s">
        <v>59</v>
      </c>
      <c r="D988" s="26" t="s">
        <v>54</v>
      </c>
      <c r="E988" s="27" t="s">
        <v>85</v>
      </c>
      <c r="F988" s="26" t="s">
        <v>98</v>
      </c>
      <c r="G988" s="59">
        <v>3067450</v>
      </c>
      <c r="H988" s="29">
        <v>3</v>
      </c>
      <c r="I988" s="26" t="s">
        <v>63</v>
      </c>
      <c r="J988" s="26" t="s">
        <v>1095</v>
      </c>
    </row>
    <row r="989" spans="1:10" ht="15.75" customHeight="1">
      <c r="A989" s="26" t="s">
        <v>1080</v>
      </c>
      <c r="B989" s="29">
        <v>49</v>
      </c>
      <c r="C989" s="26" t="s">
        <v>59</v>
      </c>
      <c r="D989" s="26" t="s">
        <v>54</v>
      </c>
      <c r="E989" s="27" t="s">
        <v>73</v>
      </c>
      <c r="F989" s="26" t="s">
        <v>69</v>
      </c>
      <c r="G989" s="59">
        <v>5615650</v>
      </c>
      <c r="H989" s="29">
        <v>7</v>
      </c>
      <c r="I989" s="26" t="s">
        <v>67</v>
      </c>
      <c r="J989" s="26" t="s">
        <v>1095</v>
      </c>
    </row>
    <row r="990" spans="1:10" ht="15.75" customHeight="1">
      <c r="A990" s="26" t="s">
        <v>1081</v>
      </c>
      <c r="B990" s="29">
        <v>25</v>
      </c>
      <c r="C990" s="26" t="s">
        <v>53</v>
      </c>
      <c r="D990" s="26" t="s">
        <v>60</v>
      </c>
      <c r="E990" s="27" t="s">
        <v>55</v>
      </c>
      <c r="F990" s="26" t="s">
        <v>113</v>
      </c>
      <c r="G990" s="59">
        <v>2472715</v>
      </c>
      <c r="H990" s="29">
        <v>11</v>
      </c>
      <c r="I990" s="26" t="s">
        <v>67</v>
      </c>
      <c r="J990" s="26" t="s">
        <v>1095</v>
      </c>
    </row>
    <row r="991" spans="1:10" ht="15.75" customHeight="1">
      <c r="A991" s="26" t="s">
        <v>1082</v>
      </c>
      <c r="B991" s="29">
        <v>40</v>
      </c>
      <c r="C991" s="26" t="s">
        <v>53</v>
      </c>
      <c r="D991" s="26" t="s">
        <v>60</v>
      </c>
      <c r="E991" s="27" t="s">
        <v>65</v>
      </c>
      <c r="F991" s="26" t="s">
        <v>102</v>
      </c>
      <c r="G991" s="59">
        <v>4782990</v>
      </c>
      <c r="H991" s="29">
        <v>11</v>
      </c>
      <c r="I991" s="26" t="s">
        <v>63</v>
      </c>
      <c r="J991" s="26" t="s">
        <v>1096</v>
      </c>
    </row>
    <row r="992" spans="1:10" ht="15.75" customHeight="1">
      <c r="A992" s="26" t="s">
        <v>1083</v>
      </c>
      <c r="B992" s="29">
        <v>40</v>
      </c>
      <c r="C992" s="26" t="s">
        <v>53</v>
      </c>
      <c r="D992" s="26" t="s">
        <v>60</v>
      </c>
      <c r="E992" s="27" t="s">
        <v>85</v>
      </c>
      <c r="F992" s="26" t="s">
        <v>167</v>
      </c>
      <c r="G992" s="59">
        <v>2317560</v>
      </c>
      <c r="H992" s="29">
        <v>9</v>
      </c>
      <c r="I992" s="26" t="s">
        <v>57</v>
      </c>
      <c r="J992" s="26" t="s">
        <v>1096</v>
      </c>
    </row>
    <row r="993" spans="1:10" ht="15.75" customHeight="1">
      <c r="A993" s="26" t="s">
        <v>1084</v>
      </c>
      <c r="B993" s="29">
        <v>19</v>
      </c>
      <c r="C993" s="26" t="s">
        <v>53</v>
      </c>
      <c r="D993" s="26" t="s">
        <v>60</v>
      </c>
      <c r="E993" s="27" t="s">
        <v>85</v>
      </c>
      <c r="F993" s="26" t="s">
        <v>104</v>
      </c>
      <c r="G993" s="59">
        <v>3197960</v>
      </c>
      <c r="H993" s="29">
        <v>5</v>
      </c>
      <c r="I993" s="26" t="s">
        <v>67</v>
      </c>
      <c r="J993" s="26" t="s">
        <v>1095</v>
      </c>
    </row>
    <row r="994" spans="1:10" ht="15.75" customHeight="1">
      <c r="A994" s="26" t="s">
        <v>1085</v>
      </c>
      <c r="B994" s="29">
        <v>22</v>
      </c>
      <c r="C994" s="26" t="s">
        <v>53</v>
      </c>
      <c r="D994" s="26" t="s">
        <v>60</v>
      </c>
      <c r="E994" s="27" t="s">
        <v>61</v>
      </c>
      <c r="F994" s="26" t="s">
        <v>121</v>
      </c>
      <c r="G994" s="59">
        <v>1415770</v>
      </c>
      <c r="H994" s="29">
        <v>5</v>
      </c>
      <c r="I994" s="26" t="s">
        <v>57</v>
      </c>
      <c r="J994" s="26" t="s">
        <v>1095</v>
      </c>
    </row>
    <row r="995" spans="1:10" ht="15.75" customHeight="1">
      <c r="A995" s="26" t="s">
        <v>1086</v>
      </c>
      <c r="B995" s="29">
        <v>25</v>
      </c>
      <c r="C995" s="26" t="s">
        <v>53</v>
      </c>
      <c r="D995" s="26" t="s">
        <v>60</v>
      </c>
      <c r="E995" s="27" t="s">
        <v>55</v>
      </c>
      <c r="F995" s="26" t="s">
        <v>86</v>
      </c>
      <c r="G995" s="59">
        <v>7059320</v>
      </c>
      <c r="H995" s="29">
        <v>7</v>
      </c>
      <c r="I995" s="26" t="s">
        <v>67</v>
      </c>
      <c r="J995" s="26" t="s">
        <v>1096</v>
      </c>
    </row>
    <row r="996" spans="1:10" ht="15.75" customHeight="1">
      <c r="A996" s="26" t="s">
        <v>1087</v>
      </c>
      <c r="B996" s="29">
        <v>32</v>
      </c>
      <c r="C996" s="26" t="s">
        <v>53</v>
      </c>
      <c r="D996" s="26" t="s">
        <v>60</v>
      </c>
      <c r="E996" s="27" t="s">
        <v>55</v>
      </c>
      <c r="F996" s="26" t="s">
        <v>102</v>
      </c>
      <c r="G996" s="59">
        <v>7256480</v>
      </c>
      <c r="H996" s="29">
        <v>8</v>
      </c>
      <c r="I996" s="26" t="s">
        <v>67</v>
      </c>
      <c r="J996" s="26" t="s">
        <v>1096</v>
      </c>
    </row>
    <row r="997" spans="1:10" ht="15.75" customHeight="1">
      <c r="A997" s="26" t="s">
        <v>1088</v>
      </c>
      <c r="B997" s="29">
        <v>44</v>
      </c>
      <c r="C997" s="26" t="s">
        <v>53</v>
      </c>
      <c r="D997" s="26" t="s">
        <v>60</v>
      </c>
      <c r="E997" s="27" t="s">
        <v>73</v>
      </c>
      <c r="F997" s="26" t="s">
        <v>82</v>
      </c>
      <c r="G997" s="59">
        <v>7186885</v>
      </c>
      <c r="H997" s="29">
        <v>5</v>
      </c>
      <c r="I997" s="26" t="s">
        <v>60</v>
      </c>
      <c r="J997" s="26" t="s">
        <v>1095</v>
      </c>
    </row>
    <row r="998" spans="1:10" ht="15.75" customHeight="1">
      <c r="A998" s="26" t="s">
        <v>1089</v>
      </c>
      <c r="B998" s="29">
        <v>50</v>
      </c>
      <c r="C998" s="26" t="s">
        <v>53</v>
      </c>
      <c r="D998" s="26" t="s">
        <v>60</v>
      </c>
      <c r="E998" s="27" t="s">
        <v>61</v>
      </c>
      <c r="F998" s="26" t="s">
        <v>56</v>
      </c>
      <c r="G998" s="59">
        <v>1081590</v>
      </c>
      <c r="H998" s="29">
        <v>9</v>
      </c>
      <c r="I998" s="26" t="s">
        <v>67</v>
      </c>
      <c r="J998" s="26" t="s">
        <v>1095</v>
      </c>
    </row>
    <row r="999" spans="1:10" ht="15.75" customHeight="1">
      <c r="A999" s="26" t="s">
        <v>1090</v>
      </c>
      <c r="B999" s="29">
        <v>26</v>
      </c>
      <c r="C999" s="26" t="s">
        <v>59</v>
      </c>
      <c r="D999" s="26" t="s">
        <v>60</v>
      </c>
      <c r="E999" s="27" t="s">
        <v>85</v>
      </c>
      <c r="F999" s="26" t="s">
        <v>62</v>
      </c>
      <c r="G999" s="59">
        <v>7027235</v>
      </c>
      <c r="H999" s="29">
        <v>0</v>
      </c>
      <c r="I999" s="26" t="s">
        <v>67</v>
      </c>
      <c r="J999" s="26" t="s">
        <v>1095</v>
      </c>
    </row>
    <row r="1000" spans="1:10" ht="15.75" customHeight="1">
      <c r="A1000" s="26" t="s">
        <v>1091</v>
      </c>
      <c r="B1000" s="29">
        <v>21</v>
      </c>
      <c r="C1000" s="26" t="s">
        <v>53</v>
      </c>
      <c r="D1000" s="26" t="s">
        <v>60</v>
      </c>
      <c r="E1000" s="27" t="s">
        <v>65</v>
      </c>
      <c r="F1000" s="26" t="s">
        <v>102</v>
      </c>
      <c r="G1000" s="59">
        <v>1645325</v>
      </c>
      <c r="H1000" s="29">
        <v>12</v>
      </c>
      <c r="I1000" s="26" t="s">
        <v>67</v>
      </c>
      <c r="J1000" s="26" t="s">
        <v>1095</v>
      </c>
    </row>
    <row r="1001" spans="1:10" ht="15.75" customHeight="1">
      <c r="A1001" s="26" t="s">
        <v>1092</v>
      </c>
      <c r="B1001" s="29">
        <v>21</v>
      </c>
      <c r="C1001" s="26" t="s">
        <v>53</v>
      </c>
      <c r="D1001" s="26" t="s">
        <v>54</v>
      </c>
      <c r="E1001" s="27" t="s">
        <v>73</v>
      </c>
      <c r="F1001" s="26" t="s">
        <v>90</v>
      </c>
      <c r="G1001" s="59">
        <v>5866285</v>
      </c>
      <c r="H1001" s="29">
        <v>6</v>
      </c>
      <c r="I1001" s="26" t="s">
        <v>63</v>
      </c>
      <c r="J1001" s="26" t="s">
        <v>1096</v>
      </c>
    </row>
  </sheetData>
  <conditionalFormatting sqref="A1:A1048576">
    <cfRule type="duplicateValues" dxfId="0" priority="1"/>
  </conditionalFormatting>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Q2035"/>
  <sheetViews>
    <sheetView topLeftCell="B1" workbookViewId="0">
      <selection activeCell="A2" sqref="A2:A6"/>
    </sheetView>
  </sheetViews>
  <sheetFormatPr baseColWidth="10" defaultColWidth="12.6640625" defaultRowHeight="15.75" customHeight="1"/>
  <cols>
    <col min="1" max="1" width="72.83203125" customWidth="1"/>
    <col min="2" max="2" width="71" bestFit="1" customWidth="1"/>
    <col min="4" max="4" width="22.33203125" bestFit="1" customWidth="1"/>
    <col min="5" max="5" width="23.6640625" style="31" bestFit="1" customWidth="1"/>
    <col min="6" max="6" width="8.1640625" bestFit="1" customWidth="1"/>
    <col min="7" max="7" width="14.33203125" bestFit="1" customWidth="1"/>
    <col min="8" max="8" width="24.83203125" style="31" bestFit="1" customWidth="1"/>
    <col min="9" max="9" width="23.6640625" style="31" bestFit="1" customWidth="1"/>
    <col min="10" max="10" width="11" customWidth="1"/>
    <col min="17" max="17" width="18.6640625" customWidth="1"/>
  </cols>
  <sheetData>
    <row r="1" spans="1:17" ht="15.75" customHeight="1">
      <c r="A1" s="13" t="s">
        <v>29</v>
      </c>
      <c r="B1" s="14" t="s">
        <v>30</v>
      </c>
      <c r="C1" s="15"/>
      <c r="D1" s="15"/>
      <c r="E1" s="30"/>
      <c r="F1" s="15"/>
      <c r="G1" s="15"/>
      <c r="H1" s="30"/>
      <c r="I1" s="30"/>
      <c r="J1" s="15"/>
    </row>
    <row r="2" spans="1:17" ht="15.75" customHeight="1">
      <c r="A2" s="118" t="s">
        <v>31</v>
      </c>
      <c r="B2" s="16" t="s">
        <v>32</v>
      </c>
      <c r="C2" s="15"/>
      <c r="D2" s="15"/>
      <c r="E2" s="30"/>
      <c r="F2" s="15"/>
      <c r="G2" s="15"/>
      <c r="H2" s="30"/>
      <c r="I2" s="30"/>
      <c r="J2" s="15"/>
    </row>
    <row r="3" spans="1:17" ht="15.75" customHeight="1">
      <c r="A3" s="119" t="s">
        <v>33</v>
      </c>
      <c r="B3" s="16" t="s">
        <v>34</v>
      </c>
      <c r="C3" s="15"/>
      <c r="D3" s="15"/>
      <c r="E3" s="30"/>
      <c r="F3" s="15"/>
      <c r="G3" s="15"/>
      <c r="H3" s="30"/>
      <c r="I3" s="30"/>
      <c r="J3" s="15"/>
    </row>
    <row r="4" spans="1:17" ht="15.75" customHeight="1">
      <c r="A4" s="119" t="s">
        <v>35</v>
      </c>
      <c r="B4" s="16" t="s">
        <v>36</v>
      </c>
      <c r="C4" s="15"/>
      <c r="E4" s="30"/>
      <c r="F4" s="15"/>
      <c r="G4" s="15"/>
      <c r="H4" s="30"/>
      <c r="I4" s="30"/>
      <c r="J4" s="15"/>
    </row>
    <row r="5" spans="1:17" ht="15.75" customHeight="1">
      <c r="A5" s="119" t="s">
        <v>37</v>
      </c>
      <c r="B5" s="16" t="s">
        <v>38</v>
      </c>
      <c r="C5" s="15"/>
      <c r="D5" s="35"/>
      <c r="E5" s="30"/>
      <c r="F5" s="15"/>
      <c r="G5" s="15"/>
      <c r="H5" s="30"/>
      <c r="I5" s="30"/>
      <c r="J5" s="15"/>
      <c r="K5" s="35" t="s">
        <v>1107</v>
      </c>
    </row>
    <row r="6" spans="1:17" ht="15.75" customHeight="1">
      <c r="A6" s="119" t="s">
        <v>39</v>
      </c>
      <c r="B6" s="16" t="s">
        <v>40</v>
      </c>
      <c r="C6" s="15"/>
      <c r="D6" s="15"/>
      <c r="E6" s="30"/>
      <c r="F6" s="15"/>
      <c r="G6" s="15"/>
      <c r="H6"/>
      <c r="I6"/>
      <c r="J6" s="15"/>
    </row>
    <row r="7" spans="1:17" ht="15.75" customHeight="1">
      <c r="A7" s="15"/>
      <c r="B7" s="15"/>
      <c r="C7" s="15"/>
      <c r="D7" s="89" t="s">
        <v>1097</v>
      </c>
      <c r="E7" s="89"/>
      <c r="F7" s="15"/>
      <c r="G7" s="15"/>
      <c r="H7" s="89" t="s">
        <v>1098</v>
      </c>
      <c r="I7" s="89"/>
      <c r="J7" s="15"/>
      <c r="K7" s="87" t="s">
        <v>1116</v>
      </c>
      <c r="L7" s="87"/>
      <c r="M7" s="87"/>
      <c r="N7" s="87"/>
      <c r="O7" s="87"/>
      <c r="P7" s="87"/>
      <c r="Q7" s="87"/>
    </row>
    <row r="8" spans="1:17" ht="16">
      <c r="A8" s="15"/>
      <c r="B8" s="15"/>
      <c r="C8" s="15"/>
      <c r="D8" s="37" t="s">
        <v>21</v>
      </c>
      <c r="E8" s="38" t="s">
        <v>1106</v>
      </c>
      <c r="H8" s="42" t="s">
        <v>1099</v>
      </c>
      <c r="I8" s="38" t="s">
        <v>1106</v>
      </c>
      <c r="K8" s="87"/>
      <c r="L8" s="87"/>
      <c r="M8" s="87"/>
      <c r="N8" s="87"/>
      <c r="O8" s="87"/>
      <c r="P8" s="87"/>
      <c r="Q8" s="87"/>
    </row>
    <row r="9" spans="1:17" ht="16">
      <c r="A9" s="15"/>
      <c r="B9" s="15"/>
      <c r="C9" s="15"/>
      <c r="D9" s="39" t="s">
        <v>53</v>
      </c>
      <c r="E9" s="40">
        <v>2277374080</v>
      </c>
      <c r="H9" s="38" t="s">
        <v>60</v>
      </c>
      <c r="I9" s="40">
        <v>2199271595</v>
      </c>
      <c r="K9" s="87"/>
      <c r="L9" s="87"/>
      <c r="M9" s="87"/>
      <c r="N9" s="87"/>
      <c r="O9" s="87"/>
      <c r="P9" s="87"/>
      <c r="Q9" s="87"/>
    </row>
    <row r="10" spans="1:17" ht="16">
      <c r="A10" s="15"/>
      <c r="B10" s="15"/>
      <c r="C10" s="15"/>
      <c r="D10" s="39" t="s">
        <v>59</v>
      </c>
      <c r="E10" s="40">
        <v>1986116060</v>
      </c>
      <c r="H10" s="38" t="s">
        <v>54</v>
      </c>
      <c r="I10" s="40">
        <v>2064218545</v>
      </c>
      <c r="K10" s="87"/>
      <c r="L10" s="87"/>
      <c r="M10" s="87"/>
      <c r="N10" s="87"/>
      <c r="O10" s="87"/>
      <c r="P10" s="87"/>
      <c r="Q10" s="87"/>
    </row>
    <row r="11" spans="1:17" ht="14">
      <c r="A11" s="15"/>
      <c r="B11" s="15"/>
      <c r="C11" s="15"/>
      <c r="E11"/>
      <c r="G11" s="32"/>
      <c r="H11"/>
      <c r="I11"/>
      <c r="K11" s="87"/>
      <c r="L11" s="87"/>
      <c r="M11" s="87"/>
      <c r="N11" s="87"/>
      <c r="O11" s="87"/>
      <c r="P11" s="87"/>
      <c r="Q11" s="87"/>
    </row>
    <row r="12" spans="1:17" ht="15.75" customHeight="1">
      <c r="A12" s="15"/>
      <c r="B12" s="15"/>
      <c r="C12" s="15"/>
      <c r="D12" s="43" t="s">
        <v>1128</v>
      </c>
      <c r="E12" s="64">
        <f>GETPIVOTDATA("Purchase_Amount (Rp)",$D$8,"Gender","Male")+GETPIVOTDATA("Purchase_Amount (Rp)",$D$8,"Gender","Female")</f>
        <v>4263490140</v>
      </c>
      <c r="H12"/>
      <c r="I12"/>
    </row>
    <row r="13" spans="1:17" ht="15.75" customHeight="1">
      <c r="A13" s="15"/>
      <c r="B13" s="15"/>
      <c r="C13" s="15"/>
      <c r="D13" s="36"/>
      <c r="E13" s="36"/>
      <c r="F13" s="36"/>
      <c r="G13" s="36"/>
      <c r="H13" s="36"/>
      <c r="I13" s="36"/>
      <c r="J13" s="36"/>
    </row>
    <row r="14" spans="1:17" ht="15.75" customHeight="1">
      <c r="A14" s="15"/>
      <c r="B14" s="15"/>
      <c r="C14" s="15"/>
      <c r="D14" s="36"/>
      <c r="E14" s="36"/>
      <c r="F14" s="36"/>
      <c r="G14" s="36"/>
      <c r="H14" s="36"/>
      <c r="I14" s="36"/>
      <c r="J14" s="36"/>
      <c r="K14" s="35" t="s">
        <v>33</v>
      </c>
    </row>
    <row r="15" spans="1:17" ht="15.75" customHeight="1">
      <c r="A15" s="15"/>
      <c r="B15" s="15"/>
      <c r="C15" s="15"/>
      <c r="D15" s="86" t="s">
        <v>1108</v>
      </c>
      <c r="E15" s="86"/>
      <c r="F15" s="15"/>
      <c r="G15" s="15"/>
      <c r="H15" s="86" t="s">
        <v>1102</v>
      </c>
      <c r="I15" s="86"/>
      <c r="J15" s="15"/>
    </row>
    <row r="16" spans="1:17" ht="15.75" customHeight="1">
      <c r="A16" s="15"/>
      <c r="B16" s="15"/>
      <c r="C16" s="15"/>
      <c r="D16" s="37" t="s">
        <v>1100</v>
      </c>
      <c r="E16" s="38" t="s">
        <v>1101</v>
      </c>
      <c r="H16" s="42" t="s">
        <v>1100</v>
      </c>
      <c r="I16" s="38" t="s">
        <v>1101</v>
      </c>
      <c r="J16" s="15"/>
      <c r="K16" s="87" t="s">
        <v>1115</v>
      </c>
      <c r="L16" s="87"/>
      <c r="M16" s="87"/>
      <c r="N16" s="87"/>
      <c r="O16" s="87"/>
      <c r="P16" s="87"/>
      <c r="Q16" s="87"/>
    </row>
    <row r="17" spans="1:17" ht="15.75" customHeight="1">
      <c r="A17" s="15"/>
      <c r="B17" s="15"/>
      <c r="C17" s="15"/>
      <c r="D17" s="39" t="s">
        <v>98</v>
      </c>
      <c r="E17" s="41">
        <v>368</v>
      </c>
      <c r="H17" s="38" t="s">
        <v>61</v>
      </c>
      <c r="I17" s="41">
        <v>1260</v>
      </c>
      <c r="J17" s="15"/>
      <c r="K17" s="87"/>
      <c r="L17" s="87"/>
      <c r="M17" s="87"/>
      <c r="N17" s="87"/>
      <c r="O17" s="87"/>
      <c r="P17" s="87"/>
      <c r="Q17" s="87"/>
    </row>
    <row r="18" spans="1:17" ht="15.75" customHeight="1">
      <c r="A18" s="15"/>
      <c r="B18" s="15"/>
      <c r="C18" s="15"/>
      <c r="D18" s="39" t="s">
        <v>69</v>
      </c>
      <c r="E18" s="41">
        <v>339</v>
      </c>
      <c r="H18" s="38" t="s">
        <v>78</v>
      </c>
      <c r="I18" s="41">
        <v>1195</v>
      </c>
      <c r="J18" s="15"/>
      <c r="K18" s="87"/>
      <c r="L18" s="87"/>
      <c r="M18" s="87"/>
      <c r="N18" s="87"/>
      <c r="O18" s="87"/>
      <c r="P18" s="87"/>
      <c r="Q18" s="87"/>
    </row>
    <row r="19" spans="1:17" ht="15.75" customHeight="1">
      <c r="A19" s="15"/>
      <c r="B19" s="15"/>
      <c r="C19" s="15"/>
      <c r="D19" s="39" t="s">
        <v>104</v>
      </c>
      <c r="E19" s="41">
        <v>337</v>
      </c>
      <c r="H19" s="38" t="s">
        <v>85</v>
      </c>
      <c r="I19" s="41">
        <v>1122</v>
      </c>
      <c r="J19" s="15"/>
      <c r="K19" s="87"/>
      <c r="L19" s="87"/>
      <c r="M19" s="87"/>
      <c r="N19" s="87"/>
      <c r="O19" s="87"/>
      <c r="P19" s="87"/>
      <c r="Q19" s="87"/>
    </row>
    <row r="20" spans="1:17" ht="15.75" customHeight="1">
      <c r="A20" s="15"/>
      <c r="B20" s="15"/>
      <c r="C20" s="15"/>
      <c r="D20" s="39" t="s">
        <v>71</v>
      </c>
      <c r="E20" s="41">
        <v>321</v>
      </c>
      <c r="H20" s="30"/>
      <c r="I20" s="30"/>
      <c r="J20" s="15"/>
      <c r="K20" s="87"/>
      <c r="L20" s="87"/>
      <c r="M20" s="87"/>
      <c r="N20" s="87"/>
      <c r="O20" s="87"/>
      <c r="P20" s="87"/>
      <c r="Q20" s="87"/>
    </row>
    <row r="21" spans="1:17" ht="15.75" customHeight="1">
      <c r="A21" s="15"/>
      <c r="B21" s="15"/>
      <c r="C21" s="15"/>
      <c r="D21" s="39" t="s">
        <v>80</v>
      </c>
      <c r="E21" s="41">
        <v>321</v>
      </c>
      <c r="H21" s="30"/>
      <c r="I21" s="30"/>
      <c r="J21" s="15"/>
    </row>
    <row r="22" spans="1:17" ht="15.75" customHeight="1">
      <c r="A22" s="15"/>
      <c r="B22" s="15"/>
      <c r="C22" s="15"/>
      <c r="E22"/>
      <c r="H22" s="30"/>
      <c r="I22" s="30"/>
      <c r="J22" s="15"/>
    </row>
    <row r="23" spans="1:17" ht="15.75" customHeight="1">
      <c r="A23" s="15"/>
      <c r="B23" s="15"/>
      <c r="C23" s="15"/>
      <c r="D23" s="86" t="s">
        <v>1118</v>
      </c>
      <c r="E23" s="86"/>
      <c r="H23" s="30"/>
      <c r="I23" s="30"/>
      <c r="J23" s="15"/>
      <c r="K23" s="35" t="s">
        <v>35</v>
      </c>
    </row>
    <row r="24" spans="1:17" ht="15.75" customHeight="1">
      <c r="A24" s="15"/>
      <c r="B24" s="15"/>
      <c r="C24" s="15"/>
      <c r="D24" s="37" t="s">
        <v>1105</v>
      </c>
      <c r="E24" s="37" t="s">
        <v>1103</v>
      </c>
      <c r="F24" s="43"/>
      <c r="H24" s="30"/>
      <c r="I24" s="30"/>
      <c r="J24" s="15"/>
    </row>
    <row r="25" spans="1:17" ht="15.75" customHeight="1">
      <c r="A25" s="15"/>
      <c r="B25" s="15"/>
      <c r="C25" s="15"/>
      <c r="D25" s="44" t="s">
        <v>1109</v>
      </c>
      <c r="E25" s="45" t="s">
        <v>1110</v>
      </c>
      <c r="F25" s="45" t="s">
        <v>1111</v>
      </c>
      <c r="H25" s="88" t="s">
        <v>1104</v>
      </c>
      <c r="I25" s="88"/>
      <c r="J25" s="15"/>
      <c r="K25" s="87" t="s">
        <v>1117</v>
      </c>
      <c r="L25" s="87"/>
      <c r="M25" s="87"/>
      <c r="N25" s="87"/>
      <c r="O25" s="87"/>
      <c r="P25" s="87"/>
      <c r="Q25" s="87"/>
    </row>
    <row r="26" spans="1:17" ht="15.75" customHeight="1">
      <c r="A26" s="15"/>
      <c r="B26" s="15"/>
      <c r="C26" s="15"/>
      <c r="D26" s="46" t="s">
        <v>1144</v>
      </c>
      <c r="E26" s="47">
        <v>0.41052631578947368</v>
      </c>
      <c r="F26" s="47">
        <v>0.58947368421052626</v>
      </c>
      <c r="H26" s="45" t="s">
        <v>60</v>
      </c>
      <c r="I26" s="45" t="s">
        <v>1112</v>
      </c>
      <c r="K26" s="87"/>
      <c r="L26" s="87"/>
      <c r="M26" s="87"/>
      <c r="N26" s="87"/>
      <c r="O26" s="87"/>
      <c r="P26" s="87"/>
      <c r="Q26" s="87"/>
    </row>
    <row r="27" spans="1:17" ht="15.75" customHeight="1">
      <c r="A27" s="15"/>
      <c r="B27" s="15"/>
      <c r="C27" s="15"/>
      <c r="D27" s="46" t="s">
        <v>1145</v>
      </c>
      <c r="E27" s="47">
        <v>0.46153846153846156</v>
      </c>
      <c r="F27" s="47">
        <v>0.53846153846153844</v>
      </c>
      <c r="H27" s="45" t="s">
        <v>54</v>
      </c>
      <c r="I27" s="45" t="s">
        <v>1114</v>
      </c>
      <c r="K27" s="87"/>
      <c r="L27" s="87"/>
      <c r="M27" s="87"/>
      <c r="N27" s="87"/>
      <c r="O27" s="87"/>
      <c r="P27" s="87"/>
      <c r="Q27" s="87"/>
    </row>
    <row r="28" spans="1:17" ht="15.75" customHeight="1">
      <c r="A28" s="15"/>
      <c r="B28" s="15"/>
      <c r="C28" s="15"/>
      <c r="D28" s="79" t="s">
        <v>1146</v>
      </c>
      <c r="E28" s="78">
        <v>0.4375</v>
      </c>
      <c r="F28" s="78">
        <v>0.5625</v>
      </c>
      <c r="H28" s="45" t="s">
        <v>67</v>
      </c>
      <c r="I28" s="45" t="s">
        <v>1113</v>
      </c>
      <c r="K28" s="87"/>
      <c r="L28" s="87"/>
      <c r="M28" s="87"/>
      <c r="N28" s="87"/>
      <c r="O28" s="87"/>
      <c r="P28" s="87"/>
      <c r="Q28" s="87"/>
    </row>
    <row r="29" spans="1:17" ht="15.75" customHeight="1">
      <c r="A29" s="15"/>
      <c r="B29" s="15"/>
      <c r="C29" s="15"/>
      <c r="E29"/>
      <c r="H29"/>
      <c r="I29"/>
      <c r="K29" s="87"/>
      <c r="L29" s="87"/>
      <c r="M29" s="87"/>
      <c r="N29" s="87"/>
      <c r="O29" s="87"/>
      <c r="P29" s="87"/>
      <c r="Q29" s="87"/>
    </row>
    <row r="30" spans="1:17" ht="15.75" customHeight="1">
      <c r="A30" s="15"/>
      <c r="B30" s="15"/>
      <c r="C30" s="15"/>
      <c r="E30"/>
      <c r="H30"/>
      <c r="I30"/>
    </row>
    <row r="31" spans="1:17" ht="15.75" customHeight="1">
      <c r="A31" s="15"/>
      <c r="B31" s="15"/>
      <c r="C31" s="15"/>
      <c r="E31"/>
      <c r="H31"/>
      <c r="I31"/>
    </row>
    <row r="32" spans="1:17" ht="15.75" customHeight="1">
      <c r="A32" s="15"/>
      <c r="B32" s="15"/>
      <c r="C32" s="15"/>
      <c r="E32"/>
      <c r="H32"/>
      <c r="I32"/>
      <c r="K32" s="35" t="s">
        <v>37</v>
      </c>
    </row>
    <row r="33" spans="1:17" ht="14">
      <c r="A33" s="15"/>
      <c r="B33" s="15"/>
      <c r="C33" s="15"/>
      <c r="E33"/>
      <c r="G33" s="15"/>
      <c r="H33"/>
      <c r="I33"/>
    </row>
    <row r="34" spans="1:17" ht="14">
      <c r="A34" s="15"/>
      <c r="B34" s="15"/>
      <c r="C34" s="15"/>
      <c r="E34"/>
      <c r="H34"/>
      <c r="I34"/>
      <c r="K34" s="87" t="s">
        <v>1119</v>
      </c>
      <c r="L34" s="87"/>
      <c r="M34" s="87"/>
      <c r="N34" s="87"/>
      <c r="O34" s="87"/>
      <c r="P34" s="87"/>
      <c r="Q34" s="87"/>
    </row>
    <row r="35" spans="1:17" ht="14">
      <c r="A35" s="15"/>
      <c r="B35" s="15"/>
      <c r="C35" s="15"/>
      <c r="E35"/>
      <c r="H35"/>
      <c r="I35"/>
      <c r="K35" s="87"/>
      <c r="L35" s="87"/>
      <c r="M35" s="87"/>
      <c r="N35" s="87"/>
      <c r="O35" s="87"/>
      <c r="P35" s="87"/>
      <c r="Q35" s="87"/>
    </row>
    <row r="36" spans="1:17" ht="14">
      <c r="A36" s="15"/>
      <c r="B36" s="15"/>
      <c r="C36" s="15"/>
      <c r="E36"/>
      <c r="H36"/>
      <c r="I36"/>
      <c r="K36" s="87"/>
      <c r="L36" s="87"/>
      <c r="M36" s="87"/>
      <c r="N36" s="87"/>
      <c r="O36" s="87"/>
      <c r="P36" s="87"/>
      <c r="Q36" s="87"/>
    </row>
    <row r="37" spans="1:17" ht="14">
      <c r="A37" s="15"/>
      <c r="B37" s="15"/>
      <c r="C37" s="15"/>
      <c r="E37"/>
      <c r="G37" s="33"/>
      <c r="H37"/>
      <c r="I37"/>
      <c r="K37" s="87"/>
      <c r="L37" s="87"/>
      <c r="M37" s="87"/>
      <c r="N37" s="87"/>
      <c r="O37" s="87"/>
      <c r="P37" s="87"/>
      <c r="Q37" s="87"/>
    </row>
    <row r="38" spans="1:17" ht="15.75" customHeight="1">
      <c r="A38" s="15"/>
      <c r="B38" s="15"/>
      <c r="C38" s="15"/>
      <c r="G38" s="34"/>
      <c r="H38"/>
      <c r="I38"/>
      <c r="K38" s="87"/>
      <c r="L38" s="87"/>
      <c r="M38" s="87"/>
      <c r="N38" s="87"/>
      <c r="O38" s="87"/>
      <c r="P38" s="87"/>
      <c r="Q38" s="87"/>
    </row>
    <row r="39" spans="1:17" ht="15.75" customHeight="1">
      <c r="A39" s="15"/>
      <c r="B39" s="15"/>
      <c r="C39" s="15"/>
      <c r="G39" s="34"/>
      <c r="H39"/>
      <c r="I39"/>
    </row>
    <row r="40" spans="1:17" ht="15.75" customHeight="1">
      <c r="A40" s="15"/>
      <c r="B40" s="15"/>
      <c r="C40" s="15"/>
      <c r="D40" s="86" t="s">
        <v>1120</v>
      </c>
      <c r="E40" s="86"/>
      <c r="G40" s="34"/>
      <c r="H40"/>
      <c r="I40"/>
    </row>
    <row r="41" spans="1:17" ht="15.75" customHeight="1">
      <c r="A41" s="15"/>
      <c r="B41" s="15"/>
      <c r="C41" s="15"/>
      <c r="D41" s="37" t="s">
        <v>1120</v>
      </c>
      <c r="E41" s="38" t="s">
        <v>1109</v>
      </c>
      <c r="G41" s="34"/>
      <c r="H41"/>
      <c r="I41"/>
      <c r="K41" s="35" t="s">
        <v>39</v>
      </c>
    </row>
    <row r="42" spans="1:17" ht="15.75" customHeight="1">
      <c r="A42" s="15"/>
      <c r="B42" s="15"/>
      <c r="C42" s="15"/>
      <c r="D42" s="39" t="s">
        <v>60</v>
      </c>
      <c r="E42" s="38">
        <v>1751</v>
      </c>
      <c r="H42"/>
      <c r="I42"/>
    </row>
    <row r="43" spans="1:17" ht="15.75" customHeight="1">
      <c r="A43" s="15"/>
      <c r="B43" s="15"/>
      <c r="C43" s="15"/>
      <c r="D43" s="39" t="s">
        <v>67</v>
      </c>
      <c r="E43" s="38">
        <v>1728</v>
      </c>
      <c r="H43"/>
      <c r="I43"/>
      <c r="K43" s="87" t="s">
        <v>1121</v>
      </c>
      <c r="L43" s="87"/>
      <c r="M43" s="87"/>
      <c r="N43" s="87"/>
      <c r="O43" s="87"/>
      <c r="P43" s="87"/>
      <c r="Q43" s="87"/>
    </row>
    <row r="44" spans="1:17" ht="15.75" customHeight="1">
      <c r="A44" s="15"/>
      <c r="B44" s="15"/>
      <c r="C44" s="15"/>
      <c r="D44" s="39" t="s">
        <v>63</v>
      </c>
      <c r="E44" s="38">
        <v>1626</v>
      </c>
      <c r="H44"/>
      <c r="I44"/>
      <c r="K44" s="87"/>
      <c r="L44" s="87"/>
      <c r="M44" s="87"/>
      <c r="N44" s="87"/>
      <c r="O44" s="87"/>
      <c r="P44" s="87"/>
      <c r="Q44" s="87"/>
    </row>
    <row r="45" spans="1:17" ht="15.75" customHeight="1">
      <c r="A45" s="15"/>
      <c r="B45" s="15"/>
      <c r="C45" s="15"/>
      <c r="D45" s="39" t="s">
        <v>57</v>
      </c>
      <c r="E45" s="38">
        <v>1666</v>
      </c>
      <c r="H45"/>
      <c r="I45"/>
      <c r="K45" s="87"/>
      <c r="L45" s="87"/>
      <c r="M45" s="87"/>
      <c r="N45" s="87"/>
      <c r="O45" s="87"/>
      <c r="P45" s="87"/>
      <c r="Q45" s="87"/>
    </row>
    <row r="46" spans="1:17" ht="15.75" customHeight="1">
      <c r="A46" s="15"/>
      <c r="B46" s="15"/>
      <c r="C46" s="15"/>
      <c r="H46"/>
      <c r="I46"/>
      <c r="K46" s="87"/>
      <c r="L46" s="87"/>
      <c r="M46" s="87"/>
      <c r="N46" s="87"/>
      <c r="O46" s="87"/>
      <c r="P46" s="87"/>
      <c r="Q46" s="87"/>
    </row>
    <row r="47" spans="1:17" ht="15.75" customHeight="1">
      <c r="A47" s="15"/>
      <c r="B47" s="15"/>
      <c r="C47" s="15"/>
      <c r="D47" s="39" t="s">
        <v>1128</v>
      </c>
      <c r="E47" s="38">
        <f>SUM(E42:E45)</f>
        <v>6771</v>
      </c>
      <c r="H47"/>
      <c r="I47"/>
      <c r="K47" s="87"/>
      <c r="L47" s="87"/>
      <c r="M47" s="87"/>
      <c r="N47" s="87"/>
      <c r="O47" s="87"/>
      <c r="P47" s="87"/>
      <c r="Q47" s="87"/>
    </row>
    <row r="48" spans="1:17" ht="15.75" customHeight="1">
      <c r="A48" s="15"/>
      <c r="B48" s="15"/>
      <c r="C48" s="15"/>
      <c r="E48"/>
      <c r="H48"/>
      <c r="I48"/>
      <c r="K48" s="87"/>
      <c r="L48" s="87"/>
      <c r="M48" s="87"/>
      <c r="N48" s="87"/>
      <c r="O48" s="87"/>
      <c r="P48" s="87"/>
      <c r="Q48" s="87"/>
    </row>
    <row r="49" spans="1:17" ht="14">
      <c r="A49" s="15"/>
      <c r="B49" s="15"/>
      <c r="C49" s="15"/>
      <c r="E49"/>
      <c r="H49"/>
      <c r="I49"/>
      <c r="K49" s="87"/>
      <c r="L49" s="87"/>
      <c r="M49" s="87"/>
      <c r="N49" s="87"/>
      <c r="O49" s="87"/>
      <c r="P49" s="87"/>
      <c r="Q49" s="87"/>
    </row>
    <row r="50" spans="1:17" ht="14">
      <c r="A50" s="15"/>
      <c r="B50" s="15"/>
      <c r="C50" s="15"/>
      <c r="E50"/>
      <c r="H50"/>
      <c r="I50"/>
      <c r="K50" s="87"/>
      <c r="L50" s="87"/>
      <c r="M50" s="87"/>
      <c r="N50" s="87"/>
      <c r="O50" s="87"/>
      <c r="P50" s="87"/>
      <c r="Q50" s="87"/>
    </row>
    <row r="51" spans="1:17" ht="14">
      <c r="A51" s="15"/>
      <c r="B51" s="15"/>
      <c r="C51" s="15"/>
      <c r="E51"/>
      <c r="H51"/>
      <c r="I51"/>
      <c r="K51" s="87"/>
      <c r="L51" s="87"/>
      <c r="M51" s="87"/>
      <c r="N51" s="87"/>
      <c r="O51" s="87"/>
      <c r="P51" s="87"/>
      <c r="Q51" s="87"/>
    </row>
    <row r="52" spans="1:17" ht="14">
      <c r="A52" s="15"/>
      <c r="B52" s="15"/>
      <c r="C52" s="15"/>
      <c r="E52"/>
      <c r="H52"/>
      <c r="I52"/>
    </row>
    <row r="53" spans="1:17" ht="14">
      <c r="A53" s="15"/>
      <c r="B53" s="15"/>
      <c r="C53" s="15"/>
      <c r="E53"/>
      <c r="H53"/>
      <c r="I53"/>
    </row>
    <row r="54" spans="1:17" ht="14">
      <c r="A54" s="15"/>
      <c r="B54" s="15"/>
      <c r="C54" s="15"/>
      <c r="E54"/>
      <c r="H54"/>
      <c r="I54"/>
    </row>
    <row r="55" spans="1:17" ht="14">
      <c r="A55" s="15"/>
      <c r="B55" s="15"/>
      <c r="C55" s="15"/>
      <c r="E55"/>
      <c r="H55"/>
      <c r="I55"/>
    </row>
    <row r="56" spans="1:17" ht="14">
      <c r="A56" s="15"/>
      <c r="B56" s="15"/>
      <c r="C56" s="15"/>
      <c r="E56"/>
      <c r="H56"/>
      <c r="I56"/>
    </row>
    <row r="57" spans="1:17" ht="14">
      <c r="A57" s="15"/>
      <c r="B57" s="15"/>
      <c r="C57" s="15"/>
      <c r="E57"/>
      <c r="H57"/>
      <c r="I57"/>
    </row>
    <row r="58" spans="1:17" ht="14">
      <c r="A58" s="15"/>
      <c r="B58" s="15"/>
      <c r="C58" s="15"/>
      <c r="E58"/>
      <c r="H58"/>
      <c r="I58"/>
    </row>
    <row r="59" spans="1:17" ht="14">
      <c r="A59" s="15"/>
      <c r="B59" s="15"/>
      <c r="C59" s="15"/>
      <c r="E59"/>
      <c r="H59"/>
      <c r="I59"/>
    </row>
    <row r="60" spans="1:17" ht="14">
      <c r="A60" s="15"/>
      <c r="B60" s="15"/>
      <c r="C60" s="15"/>
      <c r="E60"/>
      <c r="H60"/>
      <c r="I60"/>
    </row>
    <row r="61" spans="1:17" ht="14">
      <c r="A61" s="15"/>
      <c r="B61" s="15"/>
      <c r="C61" s="15"/>
      <c r="E61"/>
      <c r="H61"/>
      <c r="I61"/>
    </row>
    <row r="62" spans="1:17" ht="14">
      <c r="A62" s="15"/>
      <c r="B62" s="15"/>
      <c r="C62" s="15"/>
      <c r="E62"/>
      <c r="H62"/>
      <c r="I62"/>
    </row>
    <row r="63" spans="1:17" ht="14">
      <c r="A63" s="15"/>
      <c r="B63" s="15"/>
      <c r="C63" s="15"/>
      <c r="E63"/>
      <c r="H63"/>
      <c r="I63"/>
    </row>
    <row r="64" spans="1:17" ht="14">
      <c r="A64" s="15"/>
      <c r="B64" s="15"/>
      <c r="C64" s="15"/>
      <c r="E64"/>
      <c r="H64"/>
      <c r="I64"/>
    </row>
    <row r="65" spans="1:9" ht="14">
      <c r="A65" s="15"/>
      <c r="B65" s="15"/>
      <c r="C65" s="15"/>
      <c r="E65"/>
      <c r="H65"/>
      <c r="I65"/>
    </row>
    <row r="66" spans="1:9" ht="14">
      <c r="A66" s="15"/>
      <c r="B66" s="15"/>
      <c r="C66" s="15"/>
      <c r="E66"/>
      <c r="H66"/>
      <c r="I66"/>
    </row>
    <row r="67" spans="1:9" ht="14">
      <c r="A67" s="15"/>
      <c r="B67" s="15"/>
      <c r="C67" s="15"/>
      <c r="E67"/>
      <c r="H67"/>
      <c r="I67"/>
    </row>
    <row r="68" spans="1:9" ht="14">
      <c r="A68" s="15"/>
      <c r="B68" s="15"/>
      <c r="C68" s="15"/>
      <c r="E68"/>
      <c r="H68"/>
      <c r="I68"/>
    </row>
    <row r="69" spans="1:9" ht="14">
      <c r="A69" s="15"/>
      <c r="B69" s="15"/>
      <c r="C69" s="15"/>
      <c r="E69"/>
      <c r="H69"/>
      <c r="I69"/>
    </row>
    <row r="70" spans="1:9" ht="14">
      <c r="A70" s="15"/>
      <c r="B70" s="15"/>
      <c r="C70" s="15"/>
      <c r="E70"/>
      <c r="H70"/>
      <c r="I70"/>
    </row>
    <row r="71" spans="1:9" ht="14">
      <c r="A71" s="15"/>
      <c r="B71" s="15"/>
      <c r="C71" s="15"/>
      <c r="E71"/>
      <c r="H71"/>
      <c r="I71"/>
    </row>
    <row r="72" spans="1:9" ht="14">
      <c r="A72" s="15"/>
      <c r="B72" s="15"/>
      <c r="C72" s="15"/>
      <c r="E72"/>
      <c r="H72"/>
      <c r="I72"/>
    </row>
    <row r="73" spans="1:9" ht="14">
      <c r="A73" s="15"/>
      <c r="B73" s="15"/>
      <c r="C73" s="15"/>
      <c r="E73"/>
      <c r="H73"/>
      <c r="I73"/>
    </row>
    <row r="74" spans="1:9" ht="14">
      <c r="A74" s="15"/>
      <c r="B74" s="15"/>
      <c r="C74" s="15"/>
      <c r="E74"/>
      <c r="H74"/>
      <c r="I74"/>
    </row>
    <row r="75" spans="1:9" ht="14">
      <c r="A75" s="15"/>
      <c r="B75" s="15"/>
      <c r="C75" s="15"/>
      <c r="E75"/>
      <c r="H75"/>
      <c r="I75"/>
    </row>
    <row r="76" spans="1:9" ht="14">
      <c r="A76" s="15"/>
      <c r="B76" s="15"/>
      <c r="C76" s="15"/>
      <c r="E76"/>
      <c r="H76"/>
      <c r="I76"/>
    </row>
    <row r="77" spans="1:9" ht="14">
      <c r="A77" s="15"/>
      <c r="B77" s="15"/>
      <c r="C77" s="15"/>
      <c r="E77"/>
      <c r="H77"/>
      <c r="I77"/>
    </row>
    <row r="78" spans="1:9" ht="14">
      <c r="A78" s="15"/>
      <c r="B78" s="15"/>
      <c r="C78" s="15"/>
      <c r="E78"/>
      <c r="H78"/>
      <c r="I78"/>
    </row>
    <row r="79" spans="1:9" ht="14">
      <c r="A79" s="15"/>
      <c r="B79" s="15"/>
      <c r="C79" s="15"/>
      <c r="E79"/>
      <c r="H79"/>
      <c r="I79"/>
    </row>
    <row r="80" spans="1:9" ht="14">
      <c r="A80" s="15"/>
      <c r="B80" s="15"/>
      <c r="C80" s="15"/>
      <c r="E80"/>
      <c r="H80"/>
      <c r="I80"/>
    </row>
    <row r="81" spans="1:9" ht="14">
      <c r="A81" s="15"/>
      <c r="B81" s="15"/>
      <c r="C81" s="15"/>
      <c r="E81"/>
      <c r="H81"/>
      <c r="I81"/>
    </row>
    <row r="82" spans="1:9" ht="14">
      <c r="A82" s="15"/>
      <c r="B82" s="15"/>
      <c r="C82" s="15"/>
      <c r="E82"/>
      <c r="H82"/>
      <c r="I82"/>
    </row>
    <row r="83" spans="1:9" ht="14">
      <c r="A83" s="15"/>
      <c r="B83" s="15"/>
      <c r="C83" s="15"/>
      <c r="E83"/>
      <c r="H83"/>
      <c r="I83"/>
    </row>
    <row r="84" spans="1:9" ht="14">
      <c r="A84" s="15"/>
      <c r="B84" s="15"/>
      <c r="C84" s="15"/>
      <c r="E84"/>
      <c r="H84"/>
      <c r="I84"/>
    </row>
    <row r="85" spans="1:9" ht="14">
      <c r="A85" s="15"/>
      <c r="B85" s="15"/>
      <c r="C85" s="15"/>
      <c r="E85"/>
      <c r="H85"/>
      <c r="I85"/>
    </row>
    <row r="86" spans="1:9" ht="14">
      <c r="A86" s="15"/>
      <c r="B86" s="15"/>
      <c r="C86" s="15"/>
      <c r="E86"/>
      <c r="H86"/>
      <c r="I86"/>
    </row>
    <row r="87" spans="1:9" ht="14">
      <c r="A87" s="15"/>
      <c r="B87" s="15"/>
      <c r="C87" s="15"/>
      <c r="E87"/>
      <c r="H87"/>
      <c r="I87"/>
    </row>
    <row r="88" spans="1:9" ht="14">
      <c r="A88" s="15"/>
      <c r="B88" s="15"/>
      <c r="C88" s="15"/>
      <c r="E88"/>
      <c r="H88"/>
      <c r="I88"/>
    </row>
    <row r="89" spans="1:9" ht="14">
      <c r="A89" s="15"/>
      <c r="B89" s="15"/>
      <c r="C89" s="15"/>
      <c r="E89"/>
      <c r="H89"/>
      <c r="I89"/>
    </row>
    <row r="90" spans="1:9" ht="14">
      <c r="A90" s="15"/>
      <c r="B90" s="15"/>
      <c r="C90" s="15"/>
      <c r="E90"/>
      <c r="H90"/>
      <c r="I90"/>
    </row>
    <row r="91" spans="1:9" ht="14">
      <c r="A91" s="15"/>
      <c r="B91" s="15"/>
      <c r="C91" s="15"/>
      <c r="E91"/>
      <c r="H91"/>
      <c r="I91"/>
    </row>
    <row r="92" spans="1:9" ht="14">
      <c r="A92" s="15"/>
      <c r="B92" s="15"/>
      <c r="C92" s="15"/>
      <c r="E92"/>
      <c r="H92"/>
      <c r="I92"/>
    </row>
    <row r="93" spans="1:9" ht="14">
      <c r="A93" s="15"/>
      <c r="B93" s="15"/>
      <c r="C93" s="15"/>
      <c r="E93"/>
      <c r="H93"/>
      <c r="I93"/>
    </row>
    <row r="94" spans="1:9" ht="14">
      <c r="A94" s="15"/>
      <c r="B94" s="15"/>
      <c r="C94" s="15"/>
      <c r="E94"/>
      <c r="H94"/>
      <c r="I94"/>
    </row>
    <row r="95" spans="1:9" ht="14">
      <c r="A95" s="15"/>
      <c r="B95" s="15"/>
      <c r="C95" s="15"/>
      <c r="E95"/>
      <c r="H95"/>
      <c r="I95"/>
    </row>
    <row r="96" spans="1:9" ht="14">
      <c r="A96" s="15"/>
      <c r="B96" s="15"/>
      <c r="C96" s="15"/>
      <c r="E96"/>
      <c r="H96"/>
      <c r="I96"/>
    </row>
    <row r="97" spans="1:9" ht="14">
      <c r="A97" s="15"/>
      <c r="B97" s="15"/>
      <c r="C97" s="15"/>
      <c r="E97"/>
      <c r="H97"/>
      <c r="I97"/>
    </row>
    <row r="98" spans="1:9" ht="14">
      <c r="A98" s="15"/>
      <c r="B98" s="15"/>
      <c r="C98" s="15"/>
      <c r="E98"/>
      <c r="H98"/>
      <c r="I98"/>
    </row>
    <row r="99" spans="1:9" ht="14">
      <c r="A99" s="15"/>
      <c r="B99" s="15"/>
      <c r="C99" s="15"/>
      <c r="E99"/>
      <c r="H99"/>
      <c r="I99"/>
    </row>
    <row r="100" spans="1:9" ht="14">
      <c r="A100" s="15"/>
      <c r="B100" s="15"/>
      <c r="C100" s="15"/>
      <c r="E100"/>
      <c r="H100"/>
      <c r="I100"/>
    </row>
    <row r="101" spans="1:9" ht="14">
      <c r="A101" s="15"/>
      <c r="B101" s="15"/>
      <c r="C101" s="15"/>
      <c r="E101"/>
      <c r="H101"/>
      <c r="I101"/>
    </row>
    <row r="102" spans="1:9" ht="14">
      <c r="A102" s="15"/>
      <c r="B102" s="15"/>
      <c r="C102" s="15"/>
      <c r="E102"/>
      <c r="H102"/>
      <c r="I102"/>
    </row>
    <row r="103" spans="1:9" ht="14">
      <c r="A103" s="15"/>
      <c r="B103" s="15"/>
      <c r="C103" s="15"/>
      <c r="E103"/>
      <c r="H103"/>
      <c r="I103"/>
    </row>
    <row r="104" spans="1:9" ht="14">
      <c r="A104" s="15"/>
      <c r="B104" s="15"/>
      <c r="C104" s="15"/>
      <c r="E104"/>
      <c r="H104"/>
      <c r="I104"/>
    </row>
    <row r="105" spans="1:9" ht="14">
      <c r="A105" s="15"/>
      <c r="B105" s="15"/>
      <c r="C105" s="15"/>
      <c r="E105"/>
      <c r="H105"/>
      <c r="I105"/>
    </row>
    <row r="106" spans="1:9" ht="14">
      <c r="A106" s="15"/>
      <c r="B106" s="15"/>
      <c r="C106" s="15"/>
      <c r="E106"/>
      <c r="H106"/>
      <c r="I106"/>
    </row>
    <row r="107" spans="1:9" ht="14">
      <c r="A107" s="15"/>
      <c r="B107" s="15"/>
      <c r="C107" s="15"/>
      <c r="E107"/>
      <c r="H107"/>
      <c r="I107"/>
    </row>
    <row r="108" spans="1:9" ht="14">
      <c r="A108" s="15"/>
      <c r="B108" s="15"/>
      <c r="C108" s="15"/>
      <c r="E108"/>
      <c r="H108"/>
      <c r="I108"/>
    </row>
    <row r="109" spans="1:9" ht="14">
      <c r="A109" s="15"/>
      <c r="B109" s="15"/>
      <c r="C109" s="15"/>
      <c r="E109"/>
      <c r="H109"/>
      <c r="I109"/>
    </row>
    <row r="110" spans="1:9" ht="14">
      <c r="A110" s="15"/>
      <c r="B110" s="15"/>
      <c r="C110" s="15"/>
      <c r="E110"/>
      <c r="H110"/>
      <c r="I110"/>
    </row>
    <row r="111" spans="1:9" ht="14">
      <c r="A111" s="15"/>
      <c r="B111" s="15"/>
      <c r="C111" s="15"/>
      <c r="E111"/>
      <c r="H111"/>
      <c r="I111"/>
    </row>
    <row r="112" spans="1:9" ht="14">
      <c r="A112" s="15"/>
      <c r="B112" s="15"/>
      <c r="C112" s="15"/>
      <c r="E112"/>
      <c r="H112"/>
      <c r="I112"/>
    </row>
    <row r="113" spans="1:9" ht="14">
      <c r="A113" s="15"/>
      <c r="B113" s="15"/>
      <c r="C113" s="15"/>
      <c r="E113"/>
      <c r="H113"/>
      <c r="I113"/>
    </row>
    <row r="114" spans="1:9" ht="14">
      <c r="A114" s="15"/>
      <c r="B114" s="15"/>
      <c r="C114" s="15"/>
      <c r="E114"/>
      <c r="H114"/>
      <c r="I114"/>
    </row>
    <row r="115" spans="1:9" ht="14">
      <c r="A115" s="15"/>
      <c r="B115" s="15"/>
      <c r="C115" s="15"/>
      <c r="E115"/>
      <c r="H115"/>
      <c r="I115"/>
    </row>
    <row r="116" spans="1:9" ht="14">
      <c r="A116" s="15"/>
      <c r="B116" s="15"/>
      <c r="C116" s="15"/>
      <c r="E116"/>
      <c r="H116"/>
      <c r="I116"/>
    </row>
    <row r="117" spans="1:9" ht="14">
      <c r="A117" s="15"/>
      <c r="B117" s="15"/>
      <c r="C117" s="15"/>
      <c r="E117"/>
      <c r="H117"/>
      <c r="I117"/>
    </row>
    <row r="118" spans="1:9" ht="14">
      <c r="A118" s="15"/>
      <c r="B118" s="15"/>
      <c r="C118" s="15"/>
      <c r="E118"/>
      <c r="H118"/>
      <c r="I118"/>
    </row>
    <row r="119" spans="1:9" ht="14">
      <c r="A119" s="15"/>
      <c r="B119" s="15"/>
      <c r="C119" s="15"/>
      <c r="E119"/>
      <c r="H119"/>
      <c r="I119"/>
    </row>
    <row r="120" spans="1:9" ht="14">
      <c r="A120" s="15"/>
      <c r="B120" s="15"/>
      <c r="C120" s="15"/>
      <c r="E120"/>
      <c r="H120"/>
      <c r="I120"/>
    </row>
    <row r="121" spans="1:9" ht="14">
      <c r="A121" s="15"/>
      <c r="B121" s="15"/>
      <c r="C121" s="15"/>
      <c r="E121"/>
      <c r="H121"/>
      <c r="I121"/>
    </row>
    <row r="122" spans="1:9" ht="14">
      <c r="A122" s="15"/>
      <c r="B122" s="15"/>
      <c r="C122" s="15"/>
      <c r="E122"/>
      <c r="H122"/>
      <c r="I122"/>
    </row>
    <row r="123" spans="1:9" ht="14">
      <c r="A123" s="15"/>
      <c r="B123" s="15"/>
      <c r="C123" s="15"/>
      <c r="E123"/>
      <c r="H123"/>
      <c r="I123"/>
    </row>
    <row r="124" spans="1:9" ht="14">
      <c r="A124" s="15"/>
      <c r="B124" s="15"/>
      <c r="C124" s="15"/>
      <c r="E124"/>
      <c r="H124"/>
      <c r="I124"/>
    </row>
    <row r="125" spans="1:9" ht="14">
      <c r="A125" s="15"/>
      <c r="B125" s="15"/>
      <c r="C125" s="15"/>
      <c r="E125"/>
      <c r="H125"/>
      <c r="I125"/>
    </row>
    <row r="126" spans="1:9" ht="14">
      <c r="A126" s="15"/>
      <c r="B126" s="15"/>
      <c r="C126" s="15"/>
      <c r="E126"/>
      <c r="H126"/>
      <c r="I126"/>
    </row>
    <row r="127" spans="1:9" ht="14">
      <c r="A127" s="15"/>
      <c r="B127" s="15"/>
      <c r="C127" s="15"/>
      <c r="E127"/>
      <c r="H127"/>
      <c r="I127"/>
    </row>
    <row r="128" spans="1:9" ht="14">
      <c r="A128" s="15"/>
      <c r="B128" s="15"/>
      <c r="C128" s="15"/>
      <c r="E128"/>
      <c r="H128"/>
      <c r="I128"/>
    </row>
    <row r="129" spans="1:9" ht="14">
      <c r="A129" s="15"/>
      <c r="B129" s="15"/>
      <c r="C129" s="15"/>
      <c r="E129"/>
      <c r="H129"/>
      <c r="I129"/>
    </row>
    <row r="130" spans="1:9" ht="14">
      <c r="A130" s="15"/>
      <c r="B130" s="15"/>
      <c r="C130" s="15"/>
      <c r="E130"/>
      <c r="H130"/>
      <c r="I130"/>
    </row>
    <row r="131" spans="1:9" ht="14">
      <c r="A131" s="15"/>
      <c r="B131" s="15"/>
      <c r="C131" s="15"/>
      <c r="E131"/>
      <c r="H131"/>
      <c r="I131"/>
    </row>
    <row r="132" spans="1:9" ht="14">
      <c r="A132" s="15"/>
      <c r="B132" s="15"/>
      <c r="C132" s="15"/>
      <c r="E132"/>
      <c r="H132"/>
      <c r="I132"/>
    </row>
    <row r="133" spans="1:9" ht="14">
      <c r="A133" s="15"/>
      <c r="B133" s="15"/>
      <c r="C133" s="15"/>
      <c r="E133"/>
      <c r="H133"/>
      <c r="I133"/>
    </row>
    <row r="134" spans="1:9" ht="14">
      <c r="A134" s="15"/>
      <c r="B134" s="15"/>
      <c r="C134" s="15"/>
      <c r="E134"/>
      <c r="H134"/>
      <c r="I134"/>
    </row>
    <row r="135" spans="1:9" ht="14">
      <c r="A135" s="15"/>
      <c r="B135" s="15"/>
      <c r="C135" s="15"/>
      <c r="E135"/>
      <c r="H135"/>
      <c r="I135"/>
    </row>
    <row r="136" spans="1:9" ht="14">
      <c r="A136" s="15"/>
      <c r="B136" s="15"/>
      <c r="C136" s="15"/>
      <c r="E136"/>
      <c r="H136"/>
      <c r="I136"/>
    </row>
    <row r="137" spans="1:9" ht="14">
      <c r="A137" s="15"/>
      <c r="B137" s="15"/>
      <c r="C137" s="15"/>
      <c r="E137"/>
      <c r="H137"/>
      <c r="I137"/>
    </row>
    <row r="138" spans="1:9" ht="14">
      <c r="A138" s="15"/>
      <c r="B138" s="15"/>
      <c r="C138" s="15"/>
      <c r="E138"/>
      <c r="H138"/>
      <c r="I138"/>
    </row>
    <row r="139" spans="1:9" ht="14">
      <c r="A139" s="15"/>
      <c r="B139" s="15"/>
      <c r="C139" s="15"/>
      <c r="E139"/>
      <c r="H139"/>
      <c r="I139"/>
    </row>
    <row r="140" spans="1:9" ht="14">
      <c r="A140" s="15"/>
      <c r="B140" s="15"/>
      <c r="C140" s="15"/>
      <c r="E140"/>
      <c r="H140"/>
      <c r="I140"/>
    </row>
    <row r="141" spans="1:9" ht="14">
      <c r="A141" s="15"/>
      <c r="B141" s="15"/>
      <c r="C141" s="15"/>
      <c r="E141"/>
      <c r="H141"/>
      <c r="I141"/>
    </row>
    <row r="142" spans="1:9" ht="14">
      <c r="A142" s="15"/>
      <c r="B142" s="15"/>
      <c r="C142" s="15"/>
      <c r="E142"/>
      <c r="H142"/>
      <c r="I142"/>
    </row>
    <row r="143" spans="1:9" ht="14">
      <c r="A143" s="15"/>
      <c r="B143" s="15"/>
      <c r="C143" s="15"/>
      <c r="E143"/>
      <c r="H143"/>
      <c r="I143"/>
    </row>
    <row r="144" spans="1:9" ht="14">
      <c r="A144" s="15"/>
      <c r="B144" s="15"/>
      <c r="C144" s="15"/>
      <c r="E144"/>
      <c r="H144"/>
      <c r="I144"/>
    </row>
    <row r="145" spans="1:9" ht="14">
      <c r="A145" s="15"/>
      <c r="B145" s="15"/>
      <c r="C145" s="15"/>
      <c r="E145"/>
      <c r="H145"/>
      <c r="I145"/>
    </row>
    <row r="146" spans="1:9" ht="14">
      <c r="A146" s="15"/>
      <c r="B146" s="15"/>
      <c r="C146" s="15"/>
      <c r="E146"/>
      <c r="H146"/>
      <c r="I146"/>
    </row>
    <row r="147" spans="1:9" ht="14">
      <c r="A147" s="15"/>
      <c r="B147" s="15"/>
      <c r="C147" s="15"/>
      <c r="E147"/>
      <c r="H147"/>
      <c r="I147"/>
    </row>
    <row r="148" spans="1:9" ht="14">
      <c r="A148" s="15"/>
      <c r="B148" s="15"/>
      <c r="C148" s="15"/>
      <c r="E148"/>
      <c r="H148"/>
      <c r="I148"/>
    </row>
    <row r="149" spans="1:9" ht="14">
      <c r="A149" s="15"/>
      <c r="B149" s="15"/>
      <c r="C149" s="15"/>
      <c r="E149"/>
      <c r="H149"/>
      <c r="I149"/>
    </row>
    <row r="150" spans="1:9" ht="14">
      <c r="A150" s="15"/>
      <c r="B150" s="15"/>
      <c r="C150" s="15"/>
      <c r="E150"/>
      <c r="H150"/>
      <c r="I150"/>
    </row>
    <row r="151" spans="1:9" ht="14">
      <c r="A151" s="15"/>
      <c r="B151" s="15"/>
      <c r="C151" s="15"/>
      <c r="E151"/>
      <c r="H151"/>
      <c r="I151"/>
    </row>
    <row r="152" spans="1:9" ht="14">
      <c r="A152" s="15"/>
      <c r="B152" s="15"/>
      <c r="C152" s="15"/>
      <c r="E152"/>
      <c r="H152"/>
      <c r="I152"/>
    </row>
    <row r="153" spans="1:9" ht="14">
      <c r="A153" s="15"/>
      <c r="B153" s="15"/>
      <c r="C153" s="15"/>
      <c r="E153"/>
      <c r="H153"/>
      <c r="I153"/>
    </row>
    <row r="154" spans="1:9" ht="14">
      <c r="A154" s="15"/>
      <c r="B154" s="15"/>
      <c r="C154" s="15"/>
      <c r="E154"/>
      <c r="H154"/>
      <c r="I154"/>
    </row>
    <row r="155" spans="1:9" ht="14">
      <c r="A155" s="15"/>
      <c r="B155" s="15"/>
      <c r="C155" s="15"/>
      <c r="E155"/>
      <c r="H155"/>
      <c r="I155"/>
    </row>
    <row r="156" spans="1:9" ht="14">
      <c r="A156" s="15"/>
      <c r="B156" s="15"/>
      <c r="C156" s="15"/>
      <c r="E156"/>
      <c r="H156"/>
      <c r="I156"/>
    </row>
    <row r="157" spans="1:9" ht="14">
      <c r="A157" s="15"/>
      <c r="B157" s="15"/>
      <c r="C157" s="15"/>
      <c r="E157"/>
      <c r="H157"/>
      <c r="I157"/>
    </row>
    <row r="158" spans="1:9" ht="14">
      <c r="A158" s="15"/>
      <c r="B158" s="15"/>
      <c r="C158" s="15"/>
      <c r="E158"/>
      <c r="H158"/>
      <c r="I158"/>
    </row>
    <row r="159" spans="1:9" ht="14">
      <c r="A159" s="15"/>
      <c r="B159" s="15"/>
      <c r="C159" s="15"/>
      <c r="E159"/>
      <c r="H159"/>
      <c r="I159"/>
    </row>
    <row r="160" spans="1:9" ht="14">
      <c r="A160" s="15"/>
      <c r="B160" s="15"/>
      <c r="C160" s="15"/>
      <c r="E160"/>
      <c r="H160"/>
      <c r="I160"/>
    </row>
    <row r="161" spans="1:9" ht="14">
      <c r="A161" s="15"/>
      <c r="B161" s="15"/>
      <c r="C161" s="15"/>
      <c r="E161"/>
      <c r="H161"/>
      <c r="I161"/>
    </row>
    <row r="162" spans="1:9" ht="14">
      <c r="A162" s="15"/>
      <c r="B162" s="15"/>
      <c r="C162" s="15"/>
      <c r="E162"/>
      <c r="H162"/>
      <c r="I162"/>
    </row>
    <row r="163" spans="1:9" ht="14">
      <c r="A163" s="15"/>
      <c r="B163" s="15"/>
      <c r="C163" s="15"/>
      <c r="E163"/>
      <c r="H163"/>
      <c r="I163"/>
    </row>
    <row r="164" spans="1:9" ht="14">
      <c r="A164" s="15"/>
      <c r="B164" s="15"/>
      <c r="C164" s="15"/>
      <c r="E164"/>
      <c r="H164"/>
      <c r="I164"/>
    </row>
    <row r="165" spans="1:9" ht="14">
      <c r="A165" s="15"/>
      <c r="B165" s="15"/>
      <c r="C165" s="15"/>
      <c r="E165"/>
      <c r="H165"/>
      <c r="I165"/>
    </row>
    <row r="166" spans="1:9" ht="14">
      <c r="A166" s="15"/>
      <c r="B166" s="15"/>
      <c r="C166" s="15"/>
      <c r="E166"/>
      <c r="H166"/>
      <c r="I166"/>
    </row>
    <row r="167" spans="1:9" ht="14">
      <c r="A167" s="15"/>
      <c r="B167" s="15"/>
      <c r="C167" s="15"/>
      <c r="E167"/>
      <c r="H167"/>
      <c r="I167"/>
    </row>
    <row r="168" spans="1:9" ht="14">
      <c r="A168" s="15"/>
      <c r="B168" s="15"/>
      <c r="C168" s="15"/>
      <c r="E168"/>
      <c r="H168"/>
      <c r="I168"/>
    </row>
    <row r="169" spans="1:9" ht="14">
      <c r="A169" s="15"/>
      <c r="B169" s="15"/>
      <c r="C169" s="15"/>
      <c r="E169"/>
      <c r="H169"/>
      <c r="I169"/>
    </row>
    <row r="170" spans="1:9" ht="14">
      <c r="A170" s="15"/>
      <c r="B170" s="15"/>
      <c r="C170" s="15"/>
      <c r="E170"/>
      <c r="H170"/>
      <c r="I170"/>
    </row>
    <row r="171" spans="1:9" ht="14">
      <c r="A171" s="15"/>
      <c r="B171" s="15"/>
      <c r="C171" s="15"/>
      <c r="E171"/>
      <c r="H171"/>
      <c r="I171"/>
    </row>
    <row r="172" spans="1:9" ht="14">
      <c r="A172" s="15"/>
      <c r="B172" s="15"/>
      <c r="C172" s="15"/>
      <c r="E172"/>
      <c r="H172"/>
      <c r="I172"/>
    </row>
    <row r="173" spans="1:9" ht="14">
      <c r="A173" s="15"/>
      <c r="B173" s="15"/>
      <c r="C173" s="15"/>
      <c r="E173"/>
      <c r="H173"/>
      <c r="I173"/>
    </row>
    <row r="174" spans="1:9" ht="14">
      <c r="A174" s="15"/>
      <c r="B174" s="15"/>
      <c r="C174" s="15"/>
      <c r="E174"/>
      <c r="H174"/>
      <c r="I174"/>
    </row>
    <row r="175" spans="1:9" ht="14">
      <c r="A175" s="15"/>
      <c r="B175" s="15"/>
      <c r="C175" s="15"/>
      <c r="E175"/>
      <c r="H175"/>
      <c r="I175"/>
    </row>
    <row r="176" spans="1:9" ht="14">
      <c r="A176" s="15"/>
      <c r="B176" s="15"/>
      <c r="C176" s="15"/>
      <c r="E176"/>
      <c r="H176"/>
      <c r="I176"/>
    </row>
    <row r="177" spans="1:9" ht="14">
      <c r="A177" s="15"/>
      <c r="B177" s="15"/>
      <c r="C177" s="15"/>
      <c r="E177"/>
      <c r="H177"/>
      <c r="I177"/>
    </row>
    <row r="178" spans="1:9" ht="14">
      <c r="A178" s="15"/>
      <c r="B178" s="15"/>
      <c r="C178" s="15"/>
      <c r="E178"/>
      <c r="H178"/>
      <c r="I178"/>
    </row>
    <row r="179" spans="1:9" ht="14">
      <c r="A179" s="15"/>
      <c r="B179" s="15"/>
      <c r="C179" s="15"/>
      <c r="E179"/>
      <c r="H179"/>
      <c r="I179"/>
    </row>
    <row r="180" spans="1:9" ht="14">
      <c r="A180" s="15"/>
      <c r="B180" s="15"/>
      <c r="C180" s="15"/>
      <c r="E180"/>
      <c r="H180"/>
      <c r="I180"/>
    </row>
    <row r="181" spans="1:9" ht="14">
      <c r="A181" s="15"/>
      <c r="B181" s="15"/>
      <c r="C181" s="15"/>
      <c r="E181"/>
      <c r="H181"/>
      <c r="I181"/>
    </row>
    <row r="182" spans="1:9" ht="14">
      <c r="A182" s="15"/>
      <c r="B182" s="15"/>
      <c r="C182" s="15"/>
      <c r="E182"/>
      <c r="H182"/>
      <c r="I182"/>
    </row>
    <row r="183" spans="1:9" ht="14">
      <c r="A183" s="15"/>
      <c r="B183" s="15"/>
      <c r="C183" s="15"/>
      <c r="E183"/>
      <c r="H183"/>
      <c r="I183"/>
    </row>
    <row r="184" spans="1:9" ht="14">
      <c r="A184" s="15"/>
      <c r="B184" s="15"/>
      <c r="C184" s="15"/>
      <c r="E184"/>
      <c r="H184"/>
      <c r="I184"/>
    </row>
    <row r="185" spans="1:9" ht="14">
      <c r="A185" s="15"/>
      <c r="B185" s="15"/>
      <c r="C185" s="15"/>
      <c r="E185"/>
      <c r="H185"/>
      <c r="I185"/>
    </row>
    <row r="186" spans="1:9" ht="14">
      <c r="A186" s="15"/>
      <c r="B186" s="15"/>
      <c r="C186" s="15"/>
      <c r="E186"/>
      <c r="H186"/>
      <c r="I186"/>
    </row>
    <row r="187" spans="1:9" ht="14">
      <c r="A187" s="15"/>
      <c r="B187" s="15"/>
      <c r="C187" s="15"/>
      <c r="E187"/>
      <c r="H187"/>
      <c r="I187"/>
    </row>
    <row r="188" spans="1:9" ht="14">
      <c r="A188" s="15"/>
      <c r="B188" s="15"/>
      <c r="C188" s="15"/>
      <c r="E188"/>
      <c r="H188"/>
      <c r="I188"/>
    </row>
    <row r="189" spans="1:9" ht="14">
      <c r="A189" s="15"/>
      <c r="B189" s="15"/>
      <c r="C189" s="15"/>
      <c r="E189"/>
      <c r="H189"/>
      <c r="I189"/>
    </row>
    <row r="190" spans="1:9" ht="14">
      <c r="A190" s="15"/>
      <c r="B190" s="15"/>
      <c r="C190" s="15"/>
      <c r="E190"/>
      <c r="H190"/>
      <c r="I190"/>
    </row>
    <row r="191" spans="1:9" ht="14">
      <c r="A191" s="15"/>
      <c r="B191" s="15"/>
      <c r="C191" s="15"/>
      <c r="E191"/>
      <c r="H191"/>
      <c r="I191"/>
    </row>
    <row r="192" spans="1:9" ht="14">
      <c r="A192" s="15"/>
      <c r="B192" s="15"/>
      <c r="C192" s="15"/>
      <c r="E192"/>
      <c r="H192"/>
      <c r="I192"/>
    </row>
    <row r="193" spans="1:9" ht="14">
      <c r="A193" s="15"/>
      <c r="B193" s="15"/>
      <c r="C193" s="15"/>
      <c r="E193"/>
      <c r="H193"/>
      <c r="I193"/>
    </row>
    <row r="194" spans="1:9" ht="14">
      <c r="A194" s="15"/>
      <c r="B194" s="15"/>
      <c r="C194" s="15"/>
      <c r="E194"/>
      <c r="H194"/>
      <c r="I194"/>
    </row>
    <row r="195" spans="1:9" ht="14">
      <c r="A195" s="15"/>
      <c r="B195" s="15"/>
      <c r="C195" s="15"/>
      <c r="E195"/>
      <c r="H195"/>
      <c r="I195"/>
    </row>
    <row r="196" spans="1:9" ht="14">
      <c r="A196" s="15"/>
      <c r="B196" s="15"/>
      <c r="C196" s="15"/>
      <c r="E196"/>
      <c r="H196"/>
      <c r="I196"/>
    </row>
    <row r="197" spans="1:9" ht="14">
      <c r="A197" s="15"/>
      <c r="B197" s="15"/>
      <c r="C197" s="15"/>
      <c r="E197"/>
      <c r="H197"/>
      <c r="I197"/>
    </row>
    <row r="198" spans="1:9" ht="14">
      <c r="A198" s="15"/>
      <c r="B198" s="15"/>
      <c r="C198" s="15"/>
      <c r="E198"/>
      <c r="H198"/>
      <c r="I198"/>
    </row>
    <row r="199" spans="1:9" ht="14">
      <c r="A199" s="15"/>
      <c r="B199" s="15"/>
      <c r="C199" s="15"/>
      <c r="E199"/>
      <c r="H199"/>
      <c r="I199"/>
    </row>
    <row r="200" spans="1:9" ht="14">
      <c r="A200" s="15"/>
      <c r="B200" s="15"/>
      <c r="C200" s="15"/>
      <c r="E200"/>
      <c r="H200"/>
      <c r="I200"/>
    </row>
    <row r="201" spans="1:9" ht="14">
      <c r="A201" s="15"/>
      <c r="B201" s="15"/>
      <c r="C201" s="15"/>
      <c r="E201"/>
      <c r="H201"/>
      <c r="I201"/>
    </row>
    <row r="202" spans="1:9" ht="14">
      <c r="A202" s="15"/>
      <c r="B202" s="15"/>
      <c r="C202" s="15"/>
      <c r="E202"/>
      <c r="H202"/>
      <c r="I202"/>
    </row>
    <row r="203" spans="1:9" ht="14">
      <c r="A203" s="15"/>
      <c r="B203" s="15"/>
      <c r="C203" s="15"/>
      <c r="E203"/>
      <c r="H203"/>
      <c r="I203"/>
    </row>
    <row r="204" spans="1:9" ht="14">
      <c r="A204" s="15"/>
      <c r="B204" s="15"/>
      <c r="C204" s="15"/>
      <c r="E204"/>
      <c r="H204"/>
      <c r="I204"/>
    </row>
    <row r="205" spans="1:9" ht="14">
      <c r="A205" s="15"/>
      <c r="B205" s="15"/>
      <c r="C205" s="15"/>
      <c r="E205"/>
      <c r="H205"/>
      <c r="I205"/>
    </row>
    <row r="206" spans="1:9" ht="14">
      <c r="A206" s="15"/>
      <c r="B206" s="15"/>
      <c r="C206" s="15"/>
      <c r="E206"/>
      <c r="H206"/>
      <c r="I206"/>
    </row>
    <row r="207" spans="1:9" ht="14">
      <c r="A207" s="15"/>
      <c r="B207" s="15"/>
      <c r="C207" s="15"/>
      <c r="E207"/>
      <c r="H207"/>
      <c r="I207"/>
    </row>
    <row r="208" spans="1:9" ht="14">
      <c r="A208" s="15"/>
      <c r="B208" s="15"/>
      <c r="C208" s="15"/>
      <c r="E208"/>
      <c r="H208"/>
      <c r="I208"/>
    </row>
    <row r="209" spans="1:9" ht="14">
      <c r="A209" s="15"/>
      <c r="B209" s="15"/>
      <c r="C209" s="15"/>
      <c r="E209"/>
      <c r="H209"/>
      <c r="I209"/>
    </row>
    <row r="210" spans="1:9" ht="14">
      <c r="A210" s="15"/>
      <c r="B210" s="15"/>
      <c r="C210" s="15"/>
      <c r="E210"/>
      <c r="H210"/>
      <c r="I210"/>
    </row>
    <row r="211" spans="1:9" ht="14">
      <c r="A211" s="15"/>
      <c r="B211" s="15"/>
      <c r="C211" s="15"/>
      <c r="E211"/>
      <c r="H211"/>
      <c r="I211"/>
    </row>
    <row r="212" spans="1:9" ht="14">
      <c r="A212" s="15"/>
      <c r="B212" s="15"/>
      <c r="C212" s="15"/>
      <c r="E212"/>
      <c r="H212"/>
      <c r="I212"/>
    </row>
    <row r="213" spans="1:9" ht="14">
      <c r="A213" s="15"/>
      <c r="B213" s="15"/>
      <c r="C213" s="15"/>
      <c r="E213"/>
      <c r="H213"/>
      <c r="I213"/>
    </row>
    <row r="214" spans="1:9" ht="14">
      <c r="A214" s="15"/>
      <c r="B214" s="15"/>
      <c r="C214" s="15"/>
      <c r="E214"/>
      <c r="H214"/>
      <c r="I214"/>
    </row>
    <row r="215" spans="1:9" ht="14">
      <c r="A215" s="15"/>
      <c r="B215" s="15"/>
      <c r="C215" s="15"/>
      <c r="E215"/>
      <c r="H215"/>
      <c r="I215"/>
    </row>
    <row r="216" spans="1:9" ht="14">
      <c r="A216" s="15"/>
      <c r="B216" s="15"/>
      <c r="C216" s="15"/>
      <c r="E216"/>
      <c r="H216"/>
      <c r="I216"/>
    </row>
    <row r="217" spans="1:9" ht="14">
      <c r="A217" s="15"/>
      <c r="B217" s="15"/>
      <c r="C217" s="15"/>
      <c r="E217"/>
      <c r="H217"/>
      <c r="I217"/>
    </row>
    <row r="218" spans="1:9" ht="14">
      <c r="A218" s="15"/>
      <c r="B218" s="15"/>
      <c r="C218" s="15"/>
      <c r="E218"/>
      <c r="H218"/>
      <c r="I218"/>
    </row>
    <row r="219" spans="1:9" ht="14">
      <c r="A219" s="15"/>
      <c r="B219" s="15"/>
      <c r="C219" s="15"/>
      <c r="E219"/>
      <c r="H219"/>
      <c r="I219"/>
    </row>
    <row r="220" spans="1:9" ht="14">
      <c r="A220" s="15"/>
      <c r="B220" s="15"/>
      <c r="C220" s="15"/>
      <c r="E220"/>
      <c r="H220"/>
      <c r="I220"/>
    </row>
    <row r="221" spans="1:9" ht="14">
      <c r="A221" s="15"/>
      <c r="B221" s="15"/>
      <c r="C221" s="15"/>
      <c r="E221"/>
      <c r="H221"/>
      <c r="I221"/>
    </row>
    <row r="222" spans="1:9" ht="14">
      <c r="A222" s="15"/>
      <c r="B222" s="15"/>
      <c r="C222" s="15"/>
      <c r="E222"/>
      <c r="H222"/>
      <c r="I222"/>
    </row>
    <row r="223" spans="1:9" ht="14">
      <c r="A223" s="15"/>
      <c r="B223" s="15"/>
      <c r="C223" s="15"/>
      <c r="E223"/>
      <c r="H223"/>
      <c r="I223"/>
    </row>
    <row r="224" spans="1:9" ht="14">
      <c r="A224" s="15"/>
      <c r="B224" s="15"/>
      <c r="C224" s="15"/>
      <c r="E224"/>
      <c r="H224"/>
      <c r="I224"/>
    </row>
    <row r="225" spans="1:9" ht="14">
      <c r="A225" s="15"/>
      <c r="B225" s="15"/>
      <c r="C225" s="15"/>
      <c r="E225"/>
      <c r="H225"/>
      <c r="I225"/>
    </row>
    <row r="226" spans="1:9" ht="14">
      <c r="A226" s="15"/>
      <c r="B226" s="15"/>
      <c r="C226" s="15"/>
      <c r="E226"/>
      <c r="H226"/>
      <c r="I226"/>
    </row>
    <row r="227" spans="1:9" ht="14">
      <c r="A227" s="15"/>
      <c r="B227" s="15"/>
      <c r="C227" s="15"/>
      <c r="E227"/>
      <c r="H227"/>
      <c r="I227"/>
    </row>
    <row r="228" spans="1:9" ht="14">
      <c r="A228" s="15"/>
      <c r="B228" s="15"/>
      <c r="C228" s="15"/>
      <c r="E228"/>
      <c r="H228"/>
      <c r="I228"/>
    </row>
    <row r="229" spans="1:9" ht="14">
      <c r="A229" s="15"/>
      <c r="B229" s="15"/>
      <c r="C229" s="15"/>
      <c r="E229"/>
      <c r="H229"/>
      <c r="I229"/>
    </row>
    <row r="230" spans="1:9" ht="14">
      <c r="A230" s="15"/>
      <c r="B230" s="15"/>
      <c r="C230" s="15"/>
      <c r="E230"/>
      <c r="H230"/>
      <c r="I230"/>
    </row>
    <row r="231" spans="1:9" ht="14">
      <c r="A231" s="15"/>
      <c r="B231" s="15"/>
      <c r="C231" s="15"/>
      <c r="E231"/>
      <c r="H231"/>
      <c r="I231"/>
    </row>
    <row r="232" spans="1:9" ht="14">
      <c r="A232" s="15"/>
      <c r="B232" s="15"/>
      <c r="C232" s="15"/>
      <c r="E232"/>
      <c r="H232"/>
      <c r="I232"/>
    </row>
    <row r="233" spans="1:9" ht="14">
      <c r="A233" s="15"/>
      <c r="B233" s="15"/>
      <c r="C233" s="15"/>
      <c r="E233"/>
      <c r="H233"/>
      <c r="I233"/>
    </row>
    <row r="234" spans="1:9" ht="14">
      <c r="A234" s="15"/>
      <c r="B234" s="15"/>
      <c r="C234" s="15"/>
      <c r="E234"/>
      <c r="H234"/>
      <c r="I234"/>
    </row>
    <row r="235" spans="1:9" ht="14">
      <c r="A235" s="15"/>
      <c r="B235" s="15"/>
      <c r="C235" s="15"/>
      <c r="E235"/>
      <c r="H235"/>
      <c r="I235"/>
    </row>
    <row r="236" spans="1:9" ht="14">
      <c r="A236" s="15"/>
      <c r="B236" s="15"/>
      <c r="C236" s="15"/>
      <c r="E236"/>
      <c r="H236"/>
      <c r="I236"/>
    </row>
    <row r="237" spans="1:9" ht="14">
      <c r="A237" s="15"/>
      <c r="B237" s="15"/>
      <c r="C237" s="15"/>
      <c r="E237"/>
      <c r="H237"/>
      <c r="I237"/>
    </row>
    <row r="238" spans="1:9" ht="14">
      <c r="A238" s="15"/>
      <c r="B238" s="15"/>
      <c r="C238" s="15"/>
      <c r="E238"/>
      <c r="H238"/>
      <c r="I238"/>
    </row>
    <row r="239" spans="1:9" ht="14">
      <c r="A239" s="15"/>
      <c r="B239" s="15"/>
      <c r="C239" s="15"/>
      <c r="E239"/>
      <c r="H239"/>
      <c r="I239"/>
    </row>
    <row r="240" spans="1:9" ht="14">
      <c r="A240" s="15"/>
      <c r="B240" s="15"/>
      <c r="C240" s="15"/>
      <c r="E240"/>
      <c r="H240"/>
      <c r="I240"/>
    </row>
    <row r="241" spans="1:9" ht="14">
      <c r="A241" s="15"/>
      <c r="B241" s="15"/>
      <c r="C241" s="15"/>
      <c r="E241"/>
      <c r="H241"/>
      <c r="I241"/>
    </row>
    <row r="242" spans="1:9" ht="14">
      <c r="A242" s="15"/>
      <c r="B242" s="15"/>
      <c r="C242" s="15"/>
      <c r="E242"/>
      <c r="H242"/>
      <c r="I242"/>
    </row>
    <row r="243" spans="1:9" ht="14">
      <c r="A243" s="15"/>
      <c r="B243" s="15"/>
      <c r="C243" s="15"/>
      <c r="E243"/>
      <c r="H243"/>
      <c r="I243"/>
    </row>
    <row r="244" spans="1:9" ht="14">
      <c r="A244" s="15"/>
      <c r="B244" s="15"/>
      <c r="C244" s="15"/>
      <c r="E244"/>
      <c r="H244"/>
      <c r="I244"/>
    </row>
    <row r="245" spans="1:9" ht="14">
      <c r="A245" s="15"/>
      <c r="B245" s="15"/>
      <c r="C245" s="15"/>
      <c r="E245"/>
      <c r="H245"/>
      <c r="I245"/>
    </row>
    <row r="246" spans="1:9" ht="14">
      <c r="A246" s="15"/>
      <c r="B246" s="15"/>
      <c r="C246" s="15"/>
      <c r="E246"/>
      <c r="H246"/>
      <c r="I246"/>
    </row>
    <row r="247" spans="1:9" ht="14">
      <c r="A247" s="15"/>
      <c r="B247" s="15"/>
      <c r="C247" s="15"/>
      <c r="E247"/>
      <c r="H247"/>
      <c r="I247"/>
    </row>
    <row r="248" spans="1:9" ht="14">
      <c r="A248" s="15"/>
      <c r="B248" s="15"/>
      <c r="C248" s="15"/>
      <c r="E248"/>
      <c r="H248"/>
      <c r="I248"/>
    </row>
    <row r="249" spans="1:9" ht="14">
      <c r="A249" s="15"/>
      <c r="B249" s="15"/>
      <c r="C249" s="15"/>
      <c r="E249"/>
      <c r="H249"/>
      <c r="I249"/>
    </row>
    <row r="250" spans="1:9" ht="14">
      <c r="A250" s="15"/>
      <c r="B250" s="15"/>
      <c r="C250" s="15"/>
      <c r="E250"/>
      <c r="H250"/>
      <c r="I250"/>
    </row>
    <row r="251" spans="1:9" ht="14">
      <c r="A251" s="15"/>
      <c r="B251" s="15"/>
      <c r="C251" s="15"/>
      <c r="E251"/>
      <c r="H251"/>
      <c r="I251"/>
    </row>
    <row r="252" spans="1:9" ht="14">
      <c r="A252" s="15"/>
      <c r="B252" s="15"/>
      <c r="C252" s="15"/>
      <c r="E252"/>
      <c r="H252"/>
      <c r="I252"/>
    </row>
    <row r="253" spans="1:9" ht="14">
      <c r="A253" s="15"/>
      <c r="B253" s="15"/>
      <c r="C253" s="15"/>
      <c r="E253"/>
      <c r="H253"/>
      <c r="I253"/>
    </row>
    <row r="254" spans="1:9" ht="14">
      <c r="A254" s="15"/>
      <c r="B254" s="15"/>
      <c r="C254" s="15"/>
      <c r="E254"/>
      <c r="H254"/>
      <c r="I254"/>
    </row>
    <row r="255" spans="1:9" ht="14">
      <c r="A255" s="15"/>
      <c r="B255" s="15"/>
      <c r="C255" s="15"/>
      <c r="E255"/>
      <c r="H255"/>
      <c r="I255"/>
    </row>
    <row r="256" spans="1:9" ht="14">
      <c r="A256" s="15"/>
      <c r="B256" s="15"/>
      <c r="C256" s="15"/>
      <c r="E256"/>
      <c r="H256"/>
      <c r="I256"/>
    </row>
    <row r="257" spans="1:9" ht="14">
      <c r="A257" s="15"/>
      <c r="B257" s="15"/>
      <c r="C257" s="15"/>
      <c r="E257"/>
      <c r="H257"/>
      <c r="I257"/>
    </row>
    <row r="258" spans="1:9" ht="14">
      <c r="A258" s="15"/>
      <c r="B258" s="15"/>
      <c r="C258" s="15"/>
      <c r="E258"/>
      <c r="H258"/>
      <c r="I258"/>
    </row>
    <row r="259" spans="1:9" ht="14">
      <c r="A259" s="15"/>
      <c r="B259" s="15"/>
      <c r="C259" s="15"/>
      <c r="E259"/>
      <c r="H259"/>
      <c r="I259"/>
    </row>
    <row r="260" spans="1:9" ht="14">
      <c r="A260" s="15"/>
      <c r="B260" s="15"/>
      <c r="C260" s="15"/>
      <c r="E260"/>
      <c r="H260"/>
      <c r="I260"/>
    </row>
    <row r="261" spans="1:9" ht="14">
      <c r="A261" s="15"/>
      <c r="B261" s="15"/>
      <c r="C261" s="15"/>
      <c r="E261"/>
      <c r="H261"/>
      <c r="I261"/>
    </row>
    <row r="262" spans="1:9" ht="14">
      <c r="A262" s="15"/>
      <c r="B262" s="15"/>
      <c r="C262" s="15"/>
      <c r="E262"/>
      <c r="H262"/>
      <c r="I262"/>
    </row>
    <row r="263" spans="1:9" ht="14">
      <c r="A263" s="15"/>
      <c r="B263" s="15"/>
      <c r="C263" s="15"/>
      <c r="E263"/>
      <c r="H263"/>
      <c r="I263"/>
    </row>
    <row r="264" spans="1:9" ht="14">
      <c r="A264" s="15"/>
      <c r="B264" s="15"/>
      <c r="C264" s="15"/>
      <c r="E264"/>
      <c r="H264"/>
      <c r="I264"/>
    </row>
    <row r="265" spans="1:9" ht="14">
      <c r="A265" s="15"/>
      <c r="B265" s="15"/>
      <c r="C265" s="15"/>
      <c r="E265"/>
      <c r="H265"/>
      <c r="I265"/>
    </row>
    <row r="266" spans="1:9" ht="14">
      <c r="A266" s="15"/>
      <c r="B266" s="15"/>
      <c r="C266" s="15"/>
      <c r="E266"/>
      <c r="H266"/>
      <c r="I266"/>
    </row>
    <row r="267" spans="1:9" ht="14">
      <c r="A267" s="15"/>
      <c r="B267" s="15"/>
      <c r="C267" s="15"/>
      <c r="E267"/>
      <c r="H267"/>
      <c r="I267"/>
    </row>
    <row r="268" spans="1:9" ht="14">
      <c r="A268" s="15"/>
      <c r="B268" s="15"/>
      <c r="C268" s="15"/>
      <c r="E268"/>
      <c r="H268"/>
      <c r="I268"/>
    </row>
    <row r="269" spans="1:9" ht="14">
      <c r="A269" s="15"/>
      <c r="B269" s="15"/>
      <c r="C269" s="15"/>
      <c r="E269"/>
      <c r="H269"/>
      <c r="I269"/>
    </row>
    <row r="270" spans="1:9" ht="14">
      <c r="A270" s="15"/>
      <c r="B270" s="15"/>
      <c r="C270" s="15"/>
      <c r="E270"/>
      <c r="H270"/>
      <c r="I270"/>
    </row>
    <row r="271" spans="1:9" ht="14">
      <c r="A271" s="15"/>
      <c r="B271" s="15"/>
      <c r="C271" s="15"/>
      <c r="E271"/>
      <c r="H271"/>
      <c r="I271"/>
    </row>
    <row r="272" spans="1:9" ht="14">
      <c r="A272" s="15"/>
      <c r="B272" s="15"/>
      <c r="C272" s="15"/>
      <c r="E272"/>
      <c r="H272"/>
      <c r="I272"/>
    </row>
    <row r="273" spans="1:9" ht="14">
      <c r="A273" s="15"/>
      <c r="B273" s="15"/>
      <c r="C273" s="15"/>
      <c r="E273"/>
      <c r="H273"/>
      <c r="I273"/>
    </row>
    <row r="274" spans="1:9" ht="14">
      <c r="A274" s="15"/>
      <c r="B274" s="15"/>
      <c r="C274" s="15"/>
      <c r="E274"/>
      <c r="H274"/>
      <c r="I274"/>
    </row>
    <row r="275" spans="1:9" ht="14">
      <c r="A275" s="15"/>
      <c r="B275" s="15"/>
      <c r="C275" s="15"/>
      <c r="E275"/>
      <c r="H275"/>
      <c r="I275"/>
    </row>
    <row r="276" spans="1:9" ht="14">
      <c r="A276" s="15"/>
      <c r="B276" s="15"/>
      <c r="C276" s="15"/>
      <c r="E276"/>
      <c r="H276"/>
      <c r="I276"/>
    </row>
    <row r="277" spans="1:9" ht="14">
      <c r="A277" s="15"/>
      <c r="B277" s="15"/>
      <c r="C277" s="15"/>
      <c r="E277"/>
      <c r="H277"/>
      <c r="I277"/>
    </row>
    <row r="278" spans="1:9" ht="14">
      <c r="A278" s="15"/>
      <c r="B278" s="15"/>
      <c r="C278" s="15"/>
      <c r="E278"/>
      <c r="H278"/>
      <c r="I278"/>
    </row>
    <row r="279" spans="1:9" ht="14">
      <c r="A279" s="15"/>
      <c r="B279" s="15"/>
      <c r="C279" s="15"/>
      <c r="E279"/>
      <c r="H279"/>
      <c r="I279"/>
    </row>
    <row r="280" spans="1:9" ht="14">
      <c r="A280" s="15"/>
      <c r="B280" s="15"/>
      <c r="C280" s="15"/>
      <c r="E280"/>
      <c r="H280"/>
      <c r="I280"/>
    </row>
    <row r="281" spans="1:9" ht="14">
      <c r="A281" s="15"/>
      <c r="B281" s="15"/>
      <c r="C281" s="15"/>
      <c r="E281"/>
      <c r="H281"/>
      <c r="I281"/>
    </row>
    <row r="282" spans="1:9" ht="14">
      <c r="A282" s="15"/>
      <c r="B282" s="15"/>
      <c r="C282" s="15"/>
      <c r="E282"/>
      <c r="H282"/>
      <c r="I282"/>
    </row>
    <row r="283" spans="1:9" ht="14">
      <c r="A283" s="15"/>
      <c r="B283" s="15"/>
      <c r="C283" s="15"/>
      <c r="E283"/>
      <c r="H283"/>
      <c r="I283"/>
    </row>
    <row r="284" spans="1:9" ht="14">
      <c r="A284" s="15"/>
      <c r="B284" s="15"/>
      <c r="C284" s="15"/>
      <c r="E284"/>
      <c r="H284"/>
      <c r="I284"/>
    </row>
    <row r="285" spans="1:9" ht="14">
      <c r="A285" s="15"/>
      <c r="B285" s="15"/>
      <c r="C285" s="15"/>
      <c r="E285"/>
      <c r="H285"/>
      <c r="I285"/>
    </row>
    <row r="286" spans="1:9" ht="14">
      <c r="A286" s="15"/>
      <c r="B286" s="15"/>
      <c r="C286" s="15"/>
      <c r="E286"/>
      <c r="H286"/>
      <c r="I286"/>
    </row>
    <row r="287" spans="1:9" ht="14">
      <c r="A287" s="15"/>
      <c r="B287" s="15"/>
      <c r="C287" s="15"/>
      <c r="E287"/>
      <c r="H287"/>
      <c r="I287"/>
    </row>
    <row r="288" spans="1:9" ht="14">
      <c r="A288" s="15"/>
      <c r="B288" s="15"/>
      <c r="C288" s="15"/>
      <c r="E288"/>
      <c r="H288"/>
      <c r="I288"/>
    </row>
    <row r="289" spans="1:9" ht="14">
      <c r="A289" s="15"/>
      <c r="B289" s="15"/>
      <c r="C289" s="15"/>
      <c r="E289"/>
      <c r="H289"/>
      <c r="I289"/>
    </row>
    <row r="290" spans="1:9" ht="14">
      <c r="A290" s="15"/>
      <c r="B290" s="15"/>
      <c r="C290" s="15"/>
      <c r="E290"/>
      <c r="H290"/>
      <c r="I290"/>
    </row>
    <row r="291" spans="1:9" ht="14">
      <c r="A291" s="15"/>
      <c r="B291" s="15"/>
      <c r="C291" s="15"/>
      <c r="E291"/>
      <c r="H291"/>
      <c r="I291"/>
    </row>
    <row r="292" spans="1:9" ht="14">
      <c r="A292" s="15"/>
      <c r="B292" s="15"/>
      <c r="C292" s="15"/>
      <c r="E292"/>
      <c r="H292"/>
      <c r="I292"/>
    </row>
    <row r="293" spans="1:9" ht="14">
      <c r="A293" s="15"/>
      <c r="B293" s="15"/>
      <c r="C293" s="15"/>
      <c r="E293"/>
      <c r="H293"/>
      <c r="I293"/>
    </row>
    <row r="294" spans="1:9" ht="14">
      <c r="A294" s="15"/>
      <c r="B294" s="15"/>
      <c r="C294" s="15"/>
      <c r="E294"/>
      <c r="H294"/>
      <c r="I294"/>
    </row>
    <row r="295" spans="1:9" ht="14">
      <c r="A295" s="15"/>
      <c r="B295" s="15"/>
      <c r="C295" s="15"/>
      <c r="E295"/>
      <c r="H295"/>
      <c r="I295"/>
    </row>
    <row r="296" spans="1:9" ht="14">
      <c r="A296" s="15"/>
      <c r="B296" s="15"/>
      <c r="C296" s="15"/>
      <c r="E296"/>
      <c r="H296"/>
      <c r="I296"/>
    </row>
    <row r="297" spans="1:9" ht="14">
      <c r="A297" s="15"/>
      <c r="B297" s="15"/>
      <c r="C297" s="15"/>
      <c r="E297"/>
      <c r="H297"/>
      <c r="I297"/>
    </row>
    <row r="298" spans="1:9" ht="14">
      <c r="A298" s="15"/>
      <c r="B298" s="15"/>
      <c r="C298" s="15"/>
      <c r="E298"/>
      <c r="H298"/>
      <c r="I298"/>
    </row>
    <row r="299" spans="1:9" ht="14">
      <c r="A299" s="15"/>
      <c r="B299" s="15"/>
      <c r="C299" s="15"/>
      <c r="E299"/>
      <c r="H299"/>
      <c r="I299"/>
    </row>
    <row r="300" spans="1:9" ht="14">
      <c r="A300" s="15"/>
      <c r="B300" s="15"/>
      <c r="C300" s="15"/>
      <c r="E300"/>
      <c r="H300"/>
      <c r="I300"/>
    </row>
    <row r="301" spans="1:9" ht="14">
      <c r="A301" s="15"/>
      <c r="B301" s="15"/>
      <c r="C301" s="15"/>
      <c r="E301"/>
      <c r="H301"/>
      <c r="I301"/>
    </row>
    <row r="302" spans="1:9" ht="14">
      <c r="A302" s="15"/>
      <c r="B302" s="15"/>
      <c r="C302" s="15"/>
      <c r="E302"/>
      <c r="H302"/>
      <c r="I302"/>
    </row>
    <row r="303" spans="1:9" ht="14">
      <c r="A303" s="15"/>
      <c r="B303" s="15"/>
      <c r="C303" s="15"/>
      <c r="E303"/>
      <c r="H303"/>
      <c r="I303"/>
    </row>
    <row r="304" spans="1:9" ht="14">
      <c r="A304" s="15"/>
      <c r="B304" s="15"/>
      <c r="C304" s="15"/>
      <c r="E304"/>
      <c r="H304"/>
      <c r="I304"/>
    </row>
    <row r="305" spans="1:9" ht="14">
      <c r="A305" s="15"/>
      <c r="B305" s="15"/>
      <c r="C305" s="15"/>
      <c r="E305"/>
      <c r="H305"/>
      <c r="I305"/>
    </row>
    <row r="306" spans="1:9" ht="14">
      <c r="A306" s="15"/>
      <c r="B306" s="15"/>
      <c r="C306" s="15"/>
      <c r="E306"/>
      <c r="H306"/>
      <c r="I306"/>
    </row>
    <row r="307" spans="1:9" ht="14">
      <c r="A307" s="15"/>
      <c r="B307" s="15"/>
      <c r="C307" s="15"/>
      <c r="E307"/>
      <c r="H307"/>
      <c r="I307"/>
    </row>
    <row r="308" spans="1:9" ht="14">
      <c r="A308" s="15"/>
      <c r="B308" s="15"/>
      <c r="C308" s="15"/>
      <c r="E308"/>
      <c r="H308"/>
      <c r="I308"/>
    </row>
    <row r="309" spans="1:9" ht="14">
      <c r="A309" s="15"/>
      <c r="B309" s="15"/>
      <c r="C309" s="15"/>
      <c r="E309"/>
      <c r="H309"/>
      <c r="I309"/>
    </row>
    <row r="310" spans="1:9" ht="14">
      <c r="A310" s="15"/>
      <c r="B310" s="15"/>
      <c r="C310" s="15"/>
      <c r="E310"/>
      <c r="H310"/>
      <c r="I310"/>
    </row>
    <row r="311" spans="1:9" ht="14">
      <c r="A311" s="15"/>
      <c r="B311" s="15"/>
      <c r="C311" s="15"/>
      <c r="E311"/>
      <c r="H311"/>
      <c r="I311"/>
    </row>
    <row r="312" spans="1:9" ht="14">
      <c r="A312" s="15"/>
      <c r="B312" s="15"/>
      <c r="C312" s="15"/>
      <c r="E312"/>
      <c r="H312"/>
      <c r="I312"/>
    </row>
    <row r="313" spans="1:9" ht="14">
      <c r="A313" s="15"/>
      <c r="B313" s="15"/>
      <c r="C313" s="15"/>
      <c r="E313"/>
      <c r="H313"/>
      <c r="I313"/>
    </row>
    <row r="314" spans="1:9" ht="14">
      <c r="A314" s="15"/>
      <c r="B314" s="15"/>
      <c r="C314" s="15"/>
      <c r="E314"/>
      <c r="H314"/>
      <c r="I314"/>
    </row>
    <row r="315" spans="1:9" ht="14">
      <c r="A315" s="15"/>
      <c r="B315" s="15"/>
      <c r="C315" s="15"/>
      <c r="E315"/>
      <c r="H315"/>
      <c r="I315"/>
    </row>
    <row r="316" spans="1:9" ht="14">
      <c r="A316" s="15"/>
      <c r="B316" s="15"/>
      <c r="C316" s="15"/>
      <c r="E316"/>
      <c r="H316"/>
      <c r="I316"/>
    </row>
    <row r="317" spans="1:9" ht="14">
      <c r="A317" s="15"/>
      <c r="B317" s="15"/>
      <c r="C317" s="15"/>
      <c r="E317"/>
      <c r="H317"/>
      <c r="I317"/>
    </row>
    <row r="318" spans="1:9" ht="14">
      <c r="A318" s="15"/>
      <c r="B318" s="15"/>
      <c r="C318" s="15"/>
      <c r="E318"/>
      <c r="H318"/>
      <c r="I318"/>
    </row>
    <row r="319" spans="1:9" ht="14">
      <c r="A319" s="15"/>
      <c r="B319" s="15"/>
      <c r="C319" s="15"/>
      <c r="E319"/>
      <c r="H319"/>
      <c r="I319"/>
    </row>
    <row r="320" spans="1:9" ht="14">
      <c r="A320" s="15"/>
      <c r="B320" s="15"/>
      <c r="C320" s="15"/>
      <c r="E320"/>
      <c r="H320"/>
      <c r="I320"/>
    </row>
    <row r="321" spans="1:9" ht="14">
      <c r="A321" s="15"/>
      <c r="B321" s="15"/>
      <c r="C321" s="15"/>
      <c r="E321"/>
      <c r="H321"/>
      <c r="I321"/>
    </row>
    <row r="322" spans="1:9" ht="14">
      <c r="A322" s="15"/>
      <c r="B322" s="15"/>
      <c r="C322" s="15"/>
      <c r="E322"/>
      <c r="H322"/>
      <c r="I322"/>
    </row>
    <row r="323" spans="1:9" ht="14">
      <c r="A323" s="15"/>
      <c r="B323" s="15"/>
      <c r="C323" s="15"/>
      <c r="E323"/>
      <c r="H323"/>
      <c r="I323"/>
    </row>
    <row r="324" spans="1:9" ht="14">
      <c r="A324" s="15"/>
      <c r="B324" s="15"/>
      <c r="C324" s="15"/>
      <c r="E324"/>
      <c r="H324"/>
      <c r="I324"/>
    </row>
    <row r="325" spans="1:9" ht="14">
      <c r="A325" s="15"/>
      <c r="B325" s="15"/>
      <c r="C325" s="15"/>
      <c r="E325"/>
      <c r="H325"/>
      <c r="I325"/>
    </row>
    <row r="326" spans="1:9" ht="14">
      <c r="A326" s="15"/>
      <c r="B326" s="15"/>
      <c r="C326" s="15"/>
      <c r="E326"/>
      <c r="H326"/>
      <c r="I326"/>
    </row>
    <row r="327" spans="1:9" ht="14">
      <c r="A327" s="15"/>
      <c r="B327" s="15"/>
      <c r="C327" s="15"/>
      <c r="E327"/>
      <c r="H327"/>
      <c r="I327"/>
    </row>
    <row r="328" spans="1:9" ht="14">
      <c r="A328" s="15"/>
      <c r="B328" s="15"/>
      <c r="C328" s="15"/>
      <c r="E328"/>
      <c r="H328"/>
      <c r="I328"/>
    </row>
    <row r="329" spans="1:9" ht="14">
      <c r="A329" s="15"/>
      <c r="B329" s="15"/>
      <c r="C329" s="15"/>
      <c r="E329"/>
      <c r="H329"/>
      <c r="I329"/>
    </row>
    <row r="330" spans="1:9" ht="14">
      <c r="A330" s="15"/>
      <c r="B330" s="15"/>
      <c r="C330" s="15"/>
      <c r="E330"/>
      <c r="H330"/>
      <c r="I330"/>
    </row>
    <row r="331" spans="1:9" ht="14">
      <c r="A331" s="15"/>
      <c r="B331" s="15"/>
      <c r="C331" s="15"/>
      <c r="E331"/>
      <c r="H331"/>
      <c r="I331"/>
    </row>
    <row r="332" spans="1:9" ht="14">
      <c r="A332" s="15"/>
      <c r="B332" s="15"/>
      <c r="C332" s="15"/>
      <c r="E332"/>
      <c r="H332"/>
      <c r="I332"/>
    </row>
    <row r="333" spans="1:9" ht="14">
      <c r="A333" s="15"/>
      <c r="B333" s="15"/>
      <c r="C333" s="15"/>
      <c r="E333"/>
      <c r="H333"/>
      <c r="I333"/>
    </row>
    <row r="334" spans="1:9" ht="14">
      <c r="A334" s="15"/>
      <c r="B334" s="15"/>
      <c r="C334" s="15"/>
      <c r="E334"/>
      <c r="H334"/>
      <c r="I334"/>
    </row>
    <row r="335" spans="1:9" ht="14">
      <c r="A335" s="15"/>
      <c r="B335" s="15"/>
      <c r="C335" s="15"/>
      <c r="E335"/>
      <c r="H335"/>
      <c r="I335"/>
    </row>
    <row r="336" spans="1:9" ht="14">
      <c r="A336" s="15"/>
      <c r="B336" s="15"/>
      <c r="C336" s="15"/>
      <c r="E336"/>
      <c r="H336"/>
      <c r="I336"/>
    </row>
    <row r="337" spans="1:9" ht="14">
      <c r="A337" s="15"/>
      <c r="B337" s="15"/>
      <c r="C337" s="15"/>
      <c r="E337"/>
      <c r="H337"/>
      <c r="I337"/>
    </row>
    <row r="338" spans="1:9" ht="14">
      <c r="A338" s="15"/>
      <c r="B338" s="15"/>
      <c r="C338" s="15"/>
      <c r="E338"/>
      <c r="H338"/>
      <c r="I338"/>
    </row>
    <row r="339" spans="1:9" ht="14">
      <c r="A339" s="15"/>
      <c r="B339" s="15"/>
      <c r="C339" s="15"/>
      <c r="E339"/>
      <c r="H339"/>
      <c r="I339"/>
    </row>
    <row r="340" spans="1:9" ht="14">
      <c r="A340" s="15"/>
      <c r="B340" s="15"/>
      <c r="C340" s="15"/>
      <c r="E340"/>
      <c r="H340"/>
      <c r="I340"/>
    </row>
    <row r="341" spans="1:9" ht="14">
      <c r="A341" s="15"/>
      <c r="B341" s="15"/>
      <c r="C341" s="15"/>
      <c r="E341"/>
      <c r="H341"/>
      <c r="I341"/>
    </row>
    <row r="342" spans="1:9" ht="14">
      <c r="A342" s="15"/>
      <c r="B342" s="15"/>
      <c r="C342" s="15"/>
      <c r="E342"/>
      <c r="H342"/>
      <c r="I342"/>
    </row>
    <row r="343" spans="1:9" ht="14">
      <c r="A343" s="15"/>
      <c r="B343" s="15"/>
      <c r="C343" s="15"/>
      <c r="E343"/>
      <c r="H343"/>
      <c r="I343"/>
    </row>
    <row r="344" spans="1:9" ht="14">
      <c r="A344" s="15"/>
      <c r="B344" s="15"/>
      <c r="C344" s="15"/>
      <c r="E344"/>
      <c r="H344"/>
      <c r="I344"/>
    </row>
    <row r="345" spans="1:9" ht="14">
      <c r="A345" s="15"/>
      <c r="B345" s="15"/>
      <c r="C345" s="15"/>
      <c r="E345"/>
      <c r="H345"/>
      <c r="I345"/>
    </row>
    <row r="346" spans="1:9" ht="14">
      <c r="A346" s="15"/>
      <c r="B346" s="15"/>
      <c r="C346" s="15"/>
      <c r="E346"/>
      <c r="H346"/>
      <c r="I346"/>
    </row>
    <row r="347" spans="1:9" ht="14">
      <c r="A347" s="15"/>
      <c r="B347" s="15"/>
      <c r="C347" s="15"/>
      <c r="E347"/>
      <c r="H347"/>
      <c r="I347"/>
    </row>
    <row r="348" spans="1:9" ht="14">
      <c r="A348" s="15"/>
      <c r="B348" s="15"/>
      <c r="C348" s="15"/>
      <c r="E348"/>
      <c r="H348"/>
      <c r="I348"/>
    </row>
    <row r="349" spans="1:9" ht="14">
      <c r="A349" s="15"/>
      <c r="B349" s="15"/>
      <c r="C349" s="15"/>
      <c r="E349"/>
      <c r="H349"/>
      <c r="I349"/>
    </row>
    <row r="350" spans="1:9" ht="14">
      <c r="A350" s="15"/>
      <c r="B350" s="15"/>
      <c r="C350" s="15"/>
      <c r="E350"/>
      <c r="H350"/>
      <c r="I350"/>
    </row>
    <row r="351" spans="1:9" ht="14">
      <c r="A351" s="15"/>
      <c r="B351" s="15"/>
      <c r="C351" s="15"/>
      <c r="E351"/>
      <c r="H351"/>
      <c r="I351"/>
    </row>
    <row r="352" spans="1:9" ht="14">
      <c r="A352" s="15"/>
      <c r="B352" s="15"/>
      <c r="C352" s="15"/>
      <c r="E352"/>
      <c r="H352"/>
      <c r="I352"/>
    </row>
    <row r="353" spans="1:9" ht="14">
      <c r="A353" s="15"/>
      <c r="B353" s="15"/>
      <c r="C353" s="15"/>
      <c r="E353"/>
      <c r="H353"/>
      <c r="I353"/>
    </row>
    <row r="354" spans="1:9" ht="14">
      <c r="A354" s="15"/>
      <c r="B354" s="15"/>
      <c r="C354" s="15"/>
      <c r="E354"/>
      <c r="H354"/>
      <c r="I354"/>
    </row>
    <row r="355" spans="1:9" ht="14">
      <c r="A355" s="15"/>
      <c r="B355" s="15"/>
      <c r="C355" s="15"/>
      <c r="E355"/>
      <c r="H355"/>
      <c r="I355"/>
    </row>
    <row r="356" spans="1:9" ht="14">
      <c r="A356" s="15"/>
      <c r="B356" s="15"/>
      <c r="C356" s="15"/>
      <c r="E356"/>
      <c r="H356"/>
      <c r="I356"/>
    </row>
    <row r="357" spans="1:9" ht="14">
      <c r="A357" s="15"/>
      <c r="B357" s="15"/>
      <c r="C357" s="15"/>
      <c r="E357"/>
      <c r="H357"/>
      <c r="I357"/>
    </row>
    <row r="358" spans="1:9" ht="14">
      <c r="A358" s="15"/>
      <c r="B358" s="15"/>
      <c r="C358" s="15"/>
      <c r="E358"/>
      <c r="H358"/>
      <c r="I358"/>
    </row>
    <row r="359" spans="1:9" ht="14">
      <c r="A359" s="15"/>
      <c r="B359" s="15"/>
      <c r="C359" s="15"/>
      <c r="E359"/>
      <c r="H359"/>
      <c r="I359"/>
    </row>
    <row r="360" spans="1:9" ht="14">
      <c r="A360" s="15"/>
      <c r="B360" s="15"/>
      <c r="C360" s="15"/>
      <c r="E360"/>
      <c r="H360"/>
      <c r="I360"/>
    </row>
    <row r="361" spans="1:9" ht="14">
      <c r="A361" s="15"/>
      <c r="B361" s="15"/>
      <c r="C361" s="15"/>
      <c r="E361"/>
      <c r="H361"/>
      <c r="I361"/>
    </row>
    <row r="362" spans="1:9" ht="14">
      <c r="A362" s="15"/>
      <c r="B362" s="15"/>
      <c r="C362" s="15"/>
      <c r="E362"/>
      <c r="H362"/>
      <c r="I362"/>
    </row>
    <row r="363" spans="1:9" ht="14">
      <c r="A363" s="15"/>
      <c r="B363" s="15"/>
      <c r="C363" s="15"/>
      <c r="E363"/>
      <c r="H363"/>
      <c r="I363"/>
    </row>
    <row r="364" spans="1:9" ht="14">
      <c r="A364" s="15"/>
      <c r="B364" s="15"/>
      <c r="C364" s="15"/>
      <c r="E364"/>
      <c r="H364"/>
      <c r="I364"/>
    </row>
    <row r="365" spans="1:9" ht="14">
      <c r="A365" s="15"/>
      <c r="B365" s="15"/>
      <c r="C365" s="15"/>
      <c r="E365"/>
      <c r="H365"/>
      <c r="I365"/>
    </row>
    <row r="366" spans="1:9" ht="14">
      <c r="A366" s="15"/>
      <c r="B366" s="15"/>
      <c r="C366" s="15"/>
      <c r="E366"/>
      <c r="H366"/>
      <c r="I366"/>
    </row>
    <row r="367" spans="1:9" ht="14">
      <c r="A367" s="15"/>
      <c r="B367" s="15"/>
      <c r="C367" s="15"/>
      <c r="E367"/>
      <c r="H367"/>
      <c r="I367"/>
    </row>
    <row r="368" spans="1:9" ht="14">
      <c r="A368" s="15"/>
      <c r="B368" s="15"/>
      <c r="C368" s="15"/>
      <c r="E368"/>
      <c r="H368"/>
      <c r="I368"/>
    </row>
    <row r="369" spans="1:9" ht="14">
      <c r="A369" s="15"/>
      <c r="B369" s="15"/>
      <c r="C369" s="15"/>
      <c r="E369"/>
      <c r="H369"/>
      <c r="I369"/>
    </row>
    <row r="370" spans="1:9" ht="14">
      <c r="A370" s="15"/>
      <c r="B370" s="15"/>
      <c r="C370" s="15"/>
      <c r="E370"/>
      <c r="H370"/>
      <c r="I370"/>
    </row>
    <row r="371" spans="1:9" ht="14">
      <c r="A371" s="15"/>
      <c r="B371" s="15"/>
      <c r="C371" s="15"/>
      <c r="E371"/>
      <c r="H371"/>
      <c r="I371"/>
    </row>
    <row r="372" spans="1:9" ht="14">
      <c r="A372" s="15"/>
      <c r="B372" s="15"/>
      <c r="C372" s="15"/>
      <c r="E372"/>
      <c r="H372"/>
      <c r="I372"/>
    </row>
    <row r="373" spans="1:9" ht="14">
      <c r="A373" s="15"/>
      <c r="B373" s="15"/>
      <c r="C373" s="15"/>
      <c r="E373"/>
      <c r="H373"/>
      <c r="I373"/>
    </row>
    <row r="374" spans="1:9" ht="14">
      <c r="A374" s="15"/>
      <c r="B374" s="15"/>
      <c r="C374" s="15"/>
      <c r="E374"/>
      <c r="H374"/>
      <c r="I374"/>
    </row>
    <row r="375" spans="1:9" ht="14">
      <c r="A375" s="15"/>
      <c r="B375" s="15"/>
      <c r="C375" s="15"/>
      <c r="E375"/>
      <c r="H375"/>
      <c r="I375"/>
    </row>
    <row r="376" spans="1:9" ht="14">
      <c r="A376" s="15"/>
      <c r="B376" s="15"/>
      <c r="C376" s="15"/>
      <c r="E376"/>
      <c r="H376"/>
      <c r="I376"/>
    </row>
    <row r="377" spans="1:9" ht="14">
      <c r="A377" s="15"/>
      <c r="B377" s="15"/>
      <c r="C377" s="15"/>
      <c r="E377"/>
      <c r="H377"/>
      <c r="I377"/>
    </row>
    <row r="378" spans="1:9" ht="14">
      <c r="A378" s="15"/>
      <c r="B378" s="15"/>
      <c r="C378" s="15"/>
      <c r="E378"/>
      <c r="H378"/>
      <c r="I378"/>
    </row>
    <row r="379" spans="1:9" ht="14">
      <c r="A379" s="15"/>
      <c r="B379" s="15"/>
      <c r="C379" s="15"/>
      <c r="E379"/>
      <c r="H379"/>
      <c r="I379"/>
    </row>
    <row r="380" spans="1:9" ht="14">
      <c r="A380" s="15"/>
      <c r="B380" s="15"/>
      <c r="C380" s="15"/>
      <c r="E380"/>
      <c r="H380"/>
      <c r="I380"/>
    </row>
    <row r="381" spans="1:9" ht="14">
      <c r="A381" s="15"/>
      <c r="B381" s="15"/>
      <c r="C381" s="15"/>
      <c r="E381"/>
      <c r="H381"/>
      <c r="I381"/>
    </row>
    <row r="382" spans="1:9" ht="14">
      <c r="A382" s="15"/>
      <c r="B382" s="15"/>
      <c r="C382" s="15"/>
      <c r="E382"/>
      <c r="H382"/>
      <c r="I382"/>
    </row>
    <row r="383" spans="1:9" ht="14">
      <c r="A383" s="15"/>
      <c r="B383" s="15"/>
      <c r="C383" s="15"/>
      <c r="E383"/>
      <c r="H383"/>
      <c r="I383"/>
    </row>
    <row r="384" spans="1:9" ht="14">
      <c r="A384" s="15"/>
      <c r="B384" s="15"/>
      <c r="C384" s="15"/>
      <c r="E384"/>
      <c r="H384"/>
      <c r="I384"/>
    </row>
    <row r="385" spans="1:9" ht="14">
      <c r="A385" s="15"/>
      <c r="B385" s="15"/>
      <c r="C385" s="15"/>
      <c r="E385"/>
      <c r="H385"/>
      <c r="I385"/>
    </row>
    <row r="386" spans="1:9" ht="14">
      <c r="A386" s="15"/>
      <c r="B386" s="15"/>
      <c r="C386" s="15"/>
      <c r="E386"/>
      <c r="H386"/>
      <c r="I386"/>
    </row>
    <row r="387" spans="1:9" ht="14">
      <c r="A387" s="15"/>
      <c r="B387" s="15"/>
      <c r="C387" s="15"/>
      <c r="E387"/>
      <c r="H387"/>
      <c r="I387"/>
    </row>
    <row r="388" spans="1:9" ht="14">
      <c r="A388" s="15"/>
      <c r="B388" s="15"/>
      <c r="C388" s="15"/>
      <c r="E388"/>
      <c r="H388"/>
      <c r="I388"/>
    </row>
    <row r="389" spans="1:9" ht="14">
      <c r="A389" s="15"/>
      <c r="B389" s="15"/>
      <c r="C389" s="15"/>
      <c r="E389"/>
      <c r="H389"/>
      <c r="I389"/>
    </row>
    <row r="390" spans="1:9" ht="14">
      <c r="A390" s="15"/>
      <c r="B390" s="15"/>
      <c r="C390" s="15"/>
      <c r="E390"/>
      <c r="H390"/>
      <c r="I390"/>
    </row>
    <row r="391" spans="1:9" ht="14">
      <c r="A391" s="15"/>
      <c r="B391" s="15"/>
      <c r="C391" s="15"/>
      <c r="E391"/>
      <c r="H391"/>
      <c r="I391"/>
    </row>
    <row r="392" spans="1:9" ht="14">
      <c r="A392" s="15"/>
      <c r="B392" s="15"/>
      <c r="C392" s="15"/>
      <c r="E392"/>
      <c r="H392"/>
      <c r="I392"/>
    </row>
    <row r="393" spans="1:9" ht="14">
      <c r="A393" s="15"/>
      <c r="B393" s="15"/>
      <c r="C393" s="15"/>
      <c r="E393"/>
      <c r="H393"/>
      <c r="I393"/>
    </row>
    <row r="394" spans="1:9" ht="14">
      <c r="A394" s="15"/>
      <c r="B394" s="15"/>
      <c r="C394" s="15"/>
      <c r="E394"/>
      <c r="H394"/>
      <c r="I394"/>
    </row>
    <row r="395" spans="1:9" ht="14">
      <c r="A395" s="15"/>
      <c r="B395" s="15"/>
      <c r="C395" s="15"/>
      <c r="E395"/>
      <c r="H395"/>
      <c r="I395"/>
    </row>
    <row r="396" spans="1:9" ht="14">
      <c r="A396" s="15"/>
      <c r="B396" s="15"/>
      <c r="C396" s="15"/>
      <c r="E396"/>
      <c r="H396"/>
      <c r="I396"/>
    </row>
    <row r="397" spans="1:9" ht="14">
      <c r="A397" s="15"/>
      <c r="B397" s="15"/>
      <c r="C397" s="15"/>
      <c r="E397"/>
      <c r="H397"/>
      <c r="I397"/>
    </row>
    <row r="398" spans="1:9" ht="14">
      <c r="A398" s="15"/>
      <c r="B398" s="15"/>
      <c r="C398" s="15"/>
      <c r="E398"/>
      <c r="H398"/>
      <c r="I398"/>
    </row>
    <row r="399" spans="1:9" ht="14">
      <c r="A399" s="15"/>
      <c r="B399" s="15"/>
      <c r="C399" s="15"/>
      <c r="E399"/>
      <c r="H399"/>
      <c r="I399"/>
    </row>
    <row r="400" spans="1:9" ht="14">
      <c r="A400" s="15"/>
      <c r="B400" s="15"/>
      <c r="C400" s="15"/>
      <c r="E400"/>
      <c r="H400"/>
      <c r="I400"/>
    </row>
    <row r="401" spans="1:9" ht="14">
      <c r="A401" s="15"/>
      <c r="B401" s="15"/>
      <c r="C401" s="15"/>
      <c r="E401"/>
      <c r="H401"/>
      <c r="I401"/>
    </row>
    <row r="402" spans="1:9" ht="14">
      <c r="A402" s="15"/>
      <c r="B402" s="15"/>
      <c r="C402" s="15"/>
      <c r="E402"/>
      <c r="H402"/>
      <c r="I402"/>
    </row>
    <row r="403" spans="1:9" ht="14">
      <c r="A403" s="15"/>
      <c r="B403" s="15"/>
      <c r="C403" s="15"/>
      <c r="E403"/>
      <c r="H403"/>
      <c r="I403"/>
    </row>
    <row r="404" spans="1:9" ht="14">
      <c r="A404" s="15"/>
      <c r="B404" s="15"/>
      <c r="C404" s="15"/>
      <c r="E404"/>
      <c r="H404"/>
      <c r="I404"/>
    </row>
    <row r="405" spans="1:9" ht="14">
      <c r="A405" s="15"/>
      <c r="B405" s="15"/>
      <c r="C405" s="15"/>
      <c r="E405"/>
      <c r="H405"/>
      <c r="I405"/>
    </row>
    <row r="406" spans="1:9" ht="14">
      <c r="A406" s="15"/>
      <c r="B406" s="15"/>
      <c r="C406" s="15"/>
      <c r="E406"/>
      <c r="H406"/>
      <c r="I406"/>
    </row>
    <row r="407" spans="1:9" ht="14">
      <c r="A407" s="15"/>
      <c r="B407" s="15"/>
      <c r="C407" s="15"/>
      <c r="E407"/>
      <c r="H407"/>
      <c r="I407"/>
    </row>
    <row r="408" spans="1:9" ht="14">
      <c r="A408" s="15"/>
      <c r="B408" s="15"/>
      <c r="C408" s="15"/>
      <c r="E408"/>
      <c r="H408"/>
      <c r="I408"/>
    </row>
    <row r="409" spans="1:9" ht="14">
      <c r="A409" s="15"/>
      <c r="B409" s="15"/>
      <c r="C409" s="15"/>
      <c r="E409"/>
      <c r="H409"/>
      <c r="I409"/>
    </row>
    <row r="410" spans="1:9" ht="14">
      <c r="A410" s="15"/>
      <c r="B410" s="15"/>
      <c r="C410" s="15"/>
      <c r="E410"/>
      <c r="H410"/>
      <c r="I410"/>
    </row>
    <row r="411" spans="1:9" ht="14">
      <c r="A411" s="15"/>
      <c r="B411" s="15"/>
      <c r="C411" s="15"/>
      <c r="E411"/>
      <c r="H411"/>
      <c r="I411"/>
    </row>
    <row r="412" spans="1:9" ht="14">
      <c r="A412" s="15"/>
      <c r="B412" s="15"/>
      <c r="C412" s="15"/>
      <c r="E412"/>
      <c r="H412"/>
      <c r="I412"/>
    </row>
    <row r="413" spans="1:9" ht="14">
      <c r="A413" s="15"/>
      <c r="B413" s="15"/>
      <c r="C413" s="15"/>
      <c r="E413"/>
      <c r="H413"/>
      <c r="I413"/>
    </row>
    <row r="414" spans="1:9" ht="14">
      <c r="A414" s="15"/>
      <c r="B414" s="15"/>
      <c r="C414" s="15"/>
      <c r="E414"/>
      <c r="H414"/>
      <c r="I414"/>
    </row>
    <row r="415" spans="1:9" ht="14">
      <c r="A415" s="15"/>
      <c r="B415" s="15"/>
      <c r="C415" s="15"/>
      <c r="E415"/>
      <c r="H415"/>
      <c r="I415"/>
    </row>
    <row r="416" spans="1:9" ht="14">
      <c r="A416" s="15"/>
      <c r="B416" s="15"/>
      <c r="C416" s="15"/>
      <c r="E416"/>
      <c r="H416"/>
      <c r="I416"/>
    </row>
    <row r="417" spans="1:9" ht="14">
      <c r="A417" s="15"/>
      <c r="B417" s="15"/>
      <c r="C417" s="15"/>
      <c r="E417"/>
      <c r="H417"/>
      <c r="I417"/>
    </row>
    <row r="418" spans="1:9" ht="14">
      <c r="A418" s="15"/>
      <c r="B418" s="15"/>
      <c r="C418" s="15"/>
      <c r="E418"/>
      <c r="H418"/>
      <c r="I418"/>
    </row>
    <row r="419" spans="1:9" ht="14">
      <c r="A419" s="15"/>
      <c r="B419" s="15"/>
      <c r="C419" s="15"/>
      <c r="E419"/>
      <c r="H419"/>
      <c r="I419"/>
    </row>
    <row r="420" spans="1:9" ht="14">
      <c r="A420" s="15"/>
      <c r="B420" s="15"/>
      <c r="C420" s="15"/>
      <c r="E420"/>
      <c r="H420"/>
      <c r="I420"/>
    </row>
    <row r="421" spans="1:9" ht="14">
      <c r="A421" s="15"/>
      <c r="B421" s="15"/>
      <c r="C421" s="15"/>
      <c r="E421"/>
      <c r="H421"/>
      <c r="I421"/>
    </row>
    <row r="422" spans="1:9" ht="14">
      <c r="A422" s="15"/>
      <c r="B422" s="15"/>
      <c r="C422" s="15"/>
      <c r="E422"/>
      <c r="H422"/>
      <c r="I422"/>
    </row>
    <row r="423" spans="1:9" ht="14">
      <c r="A423" s="15"/>
      <c r="B423" s="15"/>
      <c r="C423" s="15"/>
      <c r="E423"/>
      <c r="H423"/>
      <c r="I423"/>
    </row>
    <row r="424" spans="1:9" ht="14">
      <c r="A424" s="15"/>
      <c r="B424" s="15"/>
      <c r="C424" s="15"/>
      <c r="E424"/>
      <c r="H424"/>
      <c r="I424"/>
    </row>
    <row r="425" spans="1:9" ht="14">
      <c r="A425" s="15"/>
      <c r="B425" s="15"/>
      <c r="C425" s="15"/>
      <c r="E425"/>
      <c r="H425"/>
      <c r="I425"/>
    </row>
    <row r="426" spans="1:9" ht="14">
      <c r="A426" s="15"/>
      <c r="B426" s="15"/>
      <c r="C426" s="15"/>
      <c r="E426"/>
      <c r="H426"/>
      <c r="I426"/>
    </row>
    <row r="427" spans="1:9" ht="14">
      <c r="A427" s="15"/>
      <c r="B427" s="15"/>
      <c r="C427" s="15"/>
      <c r="E427"/>
      <c r="H427"/>
      <c r="I427"/>
    </row>
    <row r="428" spans="1:9" ht="14">
      <c r="A428" s="15"/>
      <c r="B428" s="15"/>
      <c r="C428" s="15"/>
      <c r="E428"/>
      <c r="H428"/>
      <c r="I428"/>
    </row>
    <row r="429" spans="1:9" ht="14">
      <c r="A429" s="15"/>
      <c r="B429" s="15"/>
      <c r="C429" s="15"/>
      <c r="E429"/>
      <c r="H429"/>
      <c r="I429"/>
    </row>
    <row r="430" spans="1:9" ht="14">
      <c r="A430" s="15"/>
      <c r="B430" s="15"/>
      <c r="C430" s="15"/>
      <c r="E430"/>
      <c r="H430"/>
      <c r="I430"/>
    </row>
    <row r="431" spans="1:9" ht="14">
      <c r="A431" s="15"/>
      <c r="B431" s="15"/>
      <c r="C431" s="15"/>
      <c r="E431"/>
      <c r="H431"/>
      <c r="I431"/>
    </row>
    <row r="432" spans="1:9" ht="14">
      <c r="A432" s="15"/>
      <c r="B432" s="15"/>
      <c r="C432" s="15"/>
      <c r="E432"/>
      <c r="H432"/>
      <c r="I432"/>
    </row>
    <row r="433" spans="1:9" ht="14">
      <c r="A433" s="15"/>
      <c r="B433" s="15"/>
      <c r="C433" s="15"/>
      <c r="E433"/>
      <c r="H433"/>
      <c r="I433"/>
    </row>
    <row r="434" spans="1:9" ht="14">
      <c r="A434" s="15"/>
      <c r="B434" s="15"/>
      <c r="C434" s="15"/>
      <c r="E434"/>
      <c r="H434"/>
      <c r="I434"/>
    </row>
    <row r="435" spans="1:9" ht="14">
      <c r="A435" s="15"/>
      <c r="B435" s="15"/>
      <c r="C435" s="15"/>
      <c r="E435"/>
      <c r="H435"/>
      <c r="I435"/>
    </row>
    <row r="436" spans="1:9" ht="14">
      <c r="A436" s="15"/>
      <c r="B436" s="15"/>
      <c r="C436" s="15"/>
      <c r="E436"/>
      <c r="H436"/>
      <c r="I436"/>
    </row>
    <row r="437" spans="1:9" ht="14">
      <c r="A437" s="15"/>
      <c r="B437" s="15"/>
      <c r="C437" s="15"/>
      <c r="E437"/>
      <c r="H437"/>
      <c r="I437"/>
    </row>
    <row r="438" spans="1:9" ht="14">
      <c r="A438" s="15"/>
      <c r="B438" s="15"/>
      <c r="C438" s="15"/>
      <c r="E438"/>
      <c r="H438"/>
      <c r="I438"/>
    </row>
    <row r="439" spans="1:9" ht="14">
      <c r="A439" s="15"/>
      <c r="B439" s="15"/>
      <c r="C439" s="15"/>
      <c r="E439"/>
      <c r="H439"/>
      <c r="I439"/>
    </row>
    <row r="440" spans="1:9" ht="14">
      <c r="A440" s="15"/>
      <c r="B440" s="15"/>
      <c r="C440" s="15"/>
      <c r="E440"/>
      <c r="H440"/>
      <c r="I440"/>
    </row>
    <row r="441" spans="1:9" ht="14">
      <c r="A441" s="15"/>
      <c r="B441" s="15"/>
      <c r="C441" s="15"/>
      <c r="E441"/>
      <c r="H441"/>
      <c r="I441"/>
    </row>
    <row r="442" spans="1:9" ht="14">
      <c r="A442" s="15"/>
      <c r="B442" s="15"/>
      <c r="C442" s="15"/>
      <c r="E442"/>
      <c r="H442"/>
      <c r="I442"/>
    </row>
    <row r="443" spans="1:9" ht="14">
      <c r="A443" s="15"/>
      <c r="B443" s="15"/>
      <c r="C443" s="15"/>
      <c r="E443"/>
      <c r="H443"/>
      <c r="I443"/>
    </row>
    <row r="444" spans="1:9" ht="14">
      <c r="A444" s="15"/>
      <c r="B444" s="15"/>
      <c r="C444" s="15"/>
      <c r="E444"/>
      <c r="H444"/>
      <c r="I444"/>
    </row>
    <row r="445" spans="1:9" ht="14">
      <c r="A445" s="15"/>
      <c r="B445" s="15"/>
      <c r="C445" s="15"/>
      <c r="E445"/>
      <c r="H445"/>
      <c r="I445"/>
    </row>
    <row r="446" spans="1:9" ht="14">
      <c r="A446" s="15"/>
      <c r="B446" s="15"/>
      <c r="C446" s="15"/>
      <c r="E446"/>
      <c r="H446"/>
      <c r="I446"/>
    </row>
    <row r="447" spans="1:9" ht="14">
      <c r="A447" s="15"/>
      <c r="B447" s="15"/>
      <c r="C447" s="15"/>
      <c r="E447"/>
      <c r="H447"/>
      <c r="I447"/>
    </row>
    <row r="448" spans="1:9" ht="14">
      <c r="A448" s="15"/>
      <c r="B448" s="15"/>
      <c r="C448" s="15"/>
      <c r="E448"/>
      <c r="H448"/>
      <c r="I448"/>
    </row>
    <row r="449" spans="1:9" ht="14">
      <c r="A449" s="15"/>
      <c r="B449" s="15"/>
      <c r="C449" s="15"/>
      <c r="E449"/>
      <c r="H449"/>
      <c r="I449"/>
    </row>
    <row r="450" spans="1:9" ht="14">
      <c r="A450" s="15"/>
      <c r="B450" s="15"/>
      <c r="C450" s="15"/>
      <c r="E450"/>
      <c r="H450"/>
      <c r="I450"/>
    </row>
    <row r="451" spans="1:9" ht="14">
      <c r="A451" s="15"/>
      <c r="B451" s="15"/>
      <c r="C451" s="15"/>
      <c r="E451"/>
      <c r="H451"/>
      <c r="I451"/>
    </row>
    <row r="452" spans="1:9" ht="14">
      <c r="A452" s="15"/>
      <c r="B452" s="15"/>
      <c r="C452" s="15"/>
      <c r="E452"/>
      <c r="H452"/>
      <c r="I452"/>
    </row>
    <row r="453" spans="1:9" ht="14">
      <c r="A453" s="15"/>
      <c r="B453" s="15"/>
      <c r="C453" s="15"/>
      <c r="E453"/>
      <c r="H453"/>
      <c r="I453"/>
    </row>
    <row r="454" spans="1:9" ht="14">
      <c r="A454" s="15"/>
      <c r="B454" s="15"/>
      <c r="C454" s="15"/>
      <c r="E454"/>
      <c r="H454"/>
      <c r="I454"/>
    </row>
    <row r="455" spans="1:9" ht="14">
      <c r="A455" s="15"/>
      <c r="B455" s="15"/>
      <c r="C455" s="15"/>
      <c r="E455"/>
      <c r="H455"/>
      <c r="I455"/>
    </row>
    <row r="456" spans="1:9" ht="14">
      <c r="A456" s="15"/>
      <c r="B456" s="15"/>
      <c r="C456" s="15"/>
      <c r="E456"/>
      <c r="H456"/>
      <c r="I456"/>
    </row>
    <row r="457" spans="1:9" ht="14">
      <c r="A457" s="15"/>
      <c r="B457" s="15"/>
      <c r="C457" s="15"/>
      <c r="E457"/>
      <c r="H457"/>
      <c r="I457"/>
    </row>
    <row r="458" spans="1:9" ht="14">
      <c r="A458" s="15"/>
      <c r="B458" s="15"/>
      <c r="C458" s="15"/>
      <c r="E458"/>
      <c r="H458"/>
      <c r="I458"/>
    </row>
    <row r="459" spans="1:9" ht="14">
      <c r="A459" s="15"/>
      <c r="B459" s="15"/>
      <c r="C459" s="15"/>
      <c r="E459"/>
      <c r="H459"/>
      <c r="I459"/>
    </row>
    <row r="460" spans="1:9" ht="14">
      <c r="A460" s="15"/>
      <c r="B460" s="15"/>
      <c r="C460" s="15"/>
      <c r="E460"/>
      <c r="H460"/>
      <c r="I460"/>
    </row>
    <row r="461" spans="1:9" ht="14">
      <c r="A461" s="15"/>
      <c r="B461" s="15"/>
      <c r="C461" s="15"/>
      <c r="E461"/>
      <c r="H461"/>
      <c r="I461"/>
    </row>
    <row r="462" spans="1:9" ht="14">
      <c r="A462" s="15"/>
      <c r="B462" s="15"/>
      <c r="C462" s="15"/>
      <c r="E462"/>
      <c r="H462"/>
      <c r="I462"/>
    </row>
    <row r="463" spans="1:9" ht="14">
      <c r="A463" s="15"/>
      <c r="B463" s="15"/>
      <c r="C463" s="15"/>
      <c r="E463"/>
      <c r="H463"/>
      <c r="I463"/>
    </row>
    <row r="464" spans="1:9" ht="14">
      <c r="A464" s="15"/>
      <c r="B464" s="15"/>
      <c r="C464" s="15"/>
      <c r="E464"/>
      <c r="H464"/>
      <c r="I464"/>
    </row>
    <row r="465" spans="1:9" ht="14">
      <c r="A465" s="15"/>
      <c r="B465" s="15"/>
      <c r="C465" s="15"/>
      <c r="E465"/>
      <c r="H465"/>
      <c r="I465"/>
    </row>
    <row r="466" spans="1:9" ht="14">
      <c r="A466" s="15"/>
      <c r="B466" s="15"/>
      <c r="C466" s="15"/>
      <c r="E466"/>
      <c r="H466"/>
      <c r="I466"/>
    </row>
    <row r="467" spans="1:9" ht="14">
      <c r="A467" s="15"/>
      <c r="B467" s="15"/>
      <c r="C467" s="15"/>
      <c r="E467"/>
      <c r="H467"/>
      <c r="I467"/>
    </row>
    <row r="468" spans="1:9" ht="14">
      <c r="A468" s="15"/>
      <c r="B468" s="15"/>
      <c r="C468" s="15"/>
      <c r="E468"/>
      <c r="H468"/>
      <c r="I468"/>
    </row>
    <row r="469" spans="1:9" ht="14">
      <c r="A469" s="15"/>
      <c r="B469" s="15"/>
      <c r="C469" s="15"/>
      <c r="E469"/>
      <c r="H469"/>
      <c r="I469"/>
    </row>
    <row r="470" spans="1:9" ht="14">
      <c r="A470" s="15"/>
      <c r="B470" s="15"/>
      <c r="C470" s="15"/>
      <c r="E470"/>
      <c r="H470"/>
      <c r="I470"/>
    </row>
    <row r="471" spans="1:9" ht="14">
      <c r="A471" s="15"/>
      <c r="B471" s="15"/>
      <c r="C471" s="15"/>
      <c r="E471"/>
      <c r="H471"/>
      <c r="I471"/>
    </row>
    <row r="472" spans="1:9" ht="14">
      <c r="A472" s="15"/>
      <c r="B472" s="15"/>
      <c r="C472" s="15"/>
      <c r="E472"/>
      <c r="H472"/>
      <c r="I472"/>
    </row>
    <row r="473" spans="1:9" ht="14">
      <c r="A473" s="15"/>
      <c r="B473" s="15"/>
      <c r="C473" s="15"/>
      <c r="E473"/>
      <c r="H473"/>
      <c r="I473"/>
    </row>
    <row r="474" spans="1:9" ht="14">
      <c r="A474" s="15"/>
      <c r="B474" s="15"/>
      <c r="C474" s="15"/>
      <c r="E474"/>
      <c r="H474"/>
      <c r="I474"/>
    </row>
    <row r="475" spans="1:9" ht="14">
      <c r="A475" s="15"/>
      <c r="B475" s="15"/>
      <c r="C475" s="15"/>
      <c r="E475"/>
      <c r="H475"/>
      <c r="I475"/>
    </row>
    <row r="476" spans="1:9" ht="14">
      <c r="A476" s="15"/>
      <c r="B476" s="15"/>
      <c r="C476" s="15"/>
      <c r="E476"/>
      <c r="H476"/>
      <c r="I476"/>
    </row>
    <row r="477" spans="1:9" ht="14">
      <c r="A477" s="15"/>
      <c r="B477" s="15"/>
      <c r="C477" s="15"/>
      <c r="E477"/>
      <c r="H477"/>
      <c r="I477"/>
    </row>
    <row r="478" spans="1:9" ht="14">
      <c r="A478" s="15"/>
      <c r="B478" s="15"/>
      <c r="C478" s="15"/>
      <c r="E478"/>
      <c r="H478"/>
      <c r="I478"/>
    </row>
    <row r="479" spans="1:9" ht="14">
      <c r="A479" s="15"/>
      <c r="B479" s="15"/>
      <c r="C479" s="15"/>
      <c r="E479"/>
      <c r="H479"/>
      <c r="I479"/>
    </row>
    <row r="480" spans="1:9" ht="14">
      <c r="A480" s="15"/>
      <c r="B480" s="15"/>
      <c r="C480" s="15"/>
      <c r="E480"/>
      <c r="H480"/>
      <c r="I480"/>
    </row>
    <row r="481" spans="1:9" ht="14">
      <c r="A481" s="15"/>
      <c r="B481" s="15"/>
      <c r="C481" s="15"/>
      <c r="E481"/>
      <c r="H481"/>
      <c r="I481"/>
    </row>
    <row r="482" spans="1:9" ht="14">
      <c r="A482" s="15"/>
      <c r="B482" s="15"/>
      <c r="C482" s="15"/>
      <c r="E482"/>
      <c r="H482"/>
      <c r="I482"/>
    </row>
    <row r="483" spans="1:9" ht="14">
      <c r="A483" s="15"/>
      <c r="B483" s="15"/>
      <c r="C483" s="15"/>
      <c r="E483"/>
      <c r="H483"/>
      <c r="I483"/>
    </row>
    <row r="484" spans="1:9" ht="14">
      <c r="A484" s="15"/>
      <c r="B484" s="15"/>
      <c r="C484" s="15"/>
      <c r="E484"/>
      <c r="H484"/>
      <c r="I484"/>
    </row>
    <row r="485" spans="1:9" ht="14">
      <c r="A485" s="15"/>
      <c r="B485" s="15"/>
      <c r="C485" s="15"/>
      <c r="E485"/>
      <c r="H485"/>
      <c r="I485"/>
    </row>
    <row r="486" spans="1:9" ht="14">
      <c r="A486" s="15"/>
      <c r="B486" s="15"/>
      <c r="C486" s="15"/>
      <c r="E486"/>
      <c r="H486"/>
      <c r="I486"/>
    </row>
    <row r="487" spans="1:9" ht="14">
      <c r="A487" s="15"/>
      <c r="B487" s="15"/>
      <c r="C487" s="15"/>
      <c r="E487"/>
      <c r="H487"/>
      <c r="I487"/>
    </row>
    <row r="488" spans="1:9" ht="14">
      <c r="A488" s="15"/>
      <c r="B488" s="15"/>
      <c r="C488" s="15"/>
      <c r="E488"/>
      <c r="H488"/>
      <c r="I488"/>
    </row>
    <row r="489" spans="1:9" ht="14">
      <c r="A489" s="15"/>
      <c r="B489" s="15"/>
      <c r="C489" s="15"/>
      <c r="E489"/>
      <c r="H489"/>
      <c r="I489"/>
    </row>
    <row r="490" spans="1:9" ht="14">
      <c r="A490" s="15"/>
      <c r="B490" s="15"/>
      <c r="C490" s="15"/>
      <c r="E490"/>
      <c r="H490"/>
      <c r="I490"/>
    </row>
    <row r="491" spans="1:9" ht="14">
      <c r="A491" s="15"/>
      <c r="B491" s="15"/>
      <c r="C491" s="15"/>
      <c r="E491"/>
      <c r="H491"/>
      <c r="I491"/>
    </row>
    <row r="492" spans="1:9" ht="14">
      <c r="A492" s="15"/>
      <c r="B492" s="15"/>
      <c r="C492" s="15"/>
      <c r="E492"/>
      <c r="H492"/>
      <c r="I492"/>
    </row>
    <row r="493" spans="1:9" ht="14">
      <c r="A493" s="15"/>
      <c r="B493" s="15"/>
      <c r="C493" s="15"/>
      <c r="E493"/>
      <c r="H493"/>
      <c r="I493"/>
    </row>
    <row r="494" spans="1:9" ht="14">
      <c r="A494" s="15"/>
      <c r="B494" s="15"/>
      <c r="C494" s="15"/>
      <c r="E494"/>
      <c r="H494"/>
      <c r="I494"/>
    </row>
    <row r="495" spans="1:9" ht="14">
      <c r="A495" s="15"/>
      <c r="B495" s="15"/>
      <c r="C495" s="15"/>
      <c r="E495"/>
      <c r="H495"/>
      <c r="I495"/>
    </row>
    <row r="496" spans="1:9" ht="14">
      <c r="A496" s="15"/>
      <c r="B496" s="15"/>
      <c r="C496" s="15"/>
      <c r="E496"/>
      <c r="H496"/>
      <c r="I496"/>
    </row>
    <row r="497" spans="1:9" ht="14">
      <c r="A497" s="15"/>
      <c r="B497" s="15"/>
      <c r="C497" s="15"/>
      <c r="E497"/>
      <c r="H497"/>
      <c r="I497"/>
    </row>
    <row r="498" spans="1:9" ht="14">
      <c r="A498" s="15"/>
      <c r="B498" s="15"/>
      <c r="C498" s="15"/>
      <c r="E498"/>
      <c r="H498"/>
      <c r="I498"/>
    </row>
    <row r="499" spans="1:9" ht="14">
      <c r="A499" s="15"/>
      <c r="B499" s="15"/>
      <c r="C499" s="15"/>
      <c r="E499"/>
      <c r="H499"/>
      <c r="I499"/>
    </row>
    <row r="500" spans="1:9" ht="14">
      <c r="A500" s="15"/>
      <c r="B500" s="15"/>
      <c r="C500" s="15"/>
      <c r="E500"/>
      <c r="H500"/>
      <c r="I500"/>
    </row>
    <row r="501" spans="1:9" ht="14">
      <c r="A501" s="15"/>
      <c r="B501" s="15"/>
      <c r="C501" s="15"/>
      <c r="E501"/>
      <c r="H501"/>
      <c r="I501"/>
    </row>
    <row r="502" spans="1:9" ht="14">
      <c r="A502" s="15"/>
      <c r="B502" s="15"/>
      <c r="C502" s="15"/>
      <c r="E502"/>
      <c r="H502"/>
      <c r="I502"/>
    </row>
    <row r="503" spans="1:9" ht="14">
      <c r="A503" s="15"/>
      <c r="B503" s="15"/>
      <c r="C503" s="15"/>
      <c r="E503"/>
      <c r="H503"/>
      <c r="I503"/>
    </row>
    <row r="504" spans="1:9" ht="14">
      <c r="A504" s="15"/>
      <c r="B504" s="15"/>
      <c r="C504" s="15"/>
      <c r="E504"/>
      <c r="H504"/>
      <c r="I504"/>
    </row>
    <row r="505" spans="1:9" ht="14">
      <c r="A505" s="15"/>
      <c r="B505" s="15"/>
      <c r="C505" s="15"/>
      <c r="E505"/>
      <c r="H505"/>
      <c r="I505"/>
    </row>
    <row r="506" spans="1:9" ht="14">
      <c r="A506" s="15"/>
      <c r="B506" s="15"/>
      <c r="C506" s="15"/>
      <c r="E506"/>
      <c r="H506"/>
      <c r="I506"/>
    </row>
    <row r="507" spans="1:9" ht="14">
      <c r="A507" s="15"/>
      <c r="B507" s="15"/>
      <c r="C507" s="15"/>
      <c r="E507"/>
      <c r="H507"/>
      <c r="I507"/>
    </row>
    <row r="508" spans="1:9" ht="14">
      <c r="A508" s="15"/>
      <c r="B508" s="15"/>
      <c r="C508" s="15"/>
      <c r="E508"/>
      <c r="H508"/>
      <c r="I508"/>
    </row>
    <row r="509" spans="1:9" ht="14">
      <c r="A509" s="15"/>
      <c r="B509" s="15"/>
      <c r="C509" s="15"/>
      <c r="E509"/>
      <c r="H509"/>
      <c r="I509"/>
    </row>
    <row r="510" spans="1:9" ht="14">
      <c r="A510" s="15"/>
      <c r="B510" s="15"/>
      <c r="C510" s="15"/>
      <c r="E510"/>
      <c r="H510"/>
      <c r="I510"/>
    </row>
    <row r="511" spans="1:9" ht="14">
      <c r="A511" s="15"/>
      <c r="B511" s="15"/>
      <c r="C511" s="15"/>
      <c r="E511"/>
      <c r="H511"/>
      <c r="I511"/>
    </row>
    <row r="512" spans="1:9" ht="14">
      <c r="A512" s="15"/>
      <c r="B512" s="15"/>
      <c r="C512" s="15"/>
      <c r="E512"/>
      <c r="H512"/>
      <c r="I512"/>
    </row>
    <row r="513" spans="1:9" ht="14">
      <c r="A513" s="15"/>
      <c r="B513" s="15"/>
      <c r="C513" s="15"/>
      <c r="E513"/>
      <c r="H513"/>
      <c r="I513"/>
    </row>
    <row r="514" spans="1:9" ht="14">
      <c r="A514" s="15"/>
      <c r="B514" s="15"/>
      <c r="C514" s="15"/>
      <c r="E514"/>
      <c r="H514"/>
      <c r="I514"/>
    </row>
    <row r="515" spans="1:9" ht="14">
      <c r="A515" s="15"/>
      <c r="B515" s="15"/>
      <c r="C515" s="15"/>
      <c r="E515"/>
      <c r="H515"/>
      <c r="I515"/>
    </row>
    <row r="516" spans="1:9" ht="14">
      <c r="A516" s="15"/>
      <c r="B516" s="15"/>
      <c r="C516" s="15"/>
      <c r="E516"/>
      <c r="H516"/>
      <c r="I516"/>
    </row>
    <row r="517" spans="1:9" ht="14">
      <c r="A517" s="15"/>
      <c r="B517" s="15"/>
      <c r="C517" s="15"/>
      <c r="E517"/>
      <c r="H517"/>
      <c r="I517"/>
    </row>
    <row r="518" spans="1:9" ht="14">
      <c r="A518" s="15"/>
      <c r="B518" s="15"/>
      <c r="C518" s="15"/>
      <c r="E518"/>
      <c r="H518"/>
      <c r="I518"/>
    </row>
    <row r="519" spans="1:9" ht="14">
      <c r="A519" s="15"/>
      <c r="B519" s="15"/>
      <c r="C519" s="15"/>
      <c r="E519"/>
      <c r="H519"/>
      <c r="I519"/>
    </row>
    <row r="520" spans="1:9" ht="14">
      <c r="A520" s="15"/>
      <c r="B520" s="15"/>
      <c r="C520" s="15"/>
      <c r="E520"/>
      <c r="H520"/>
      <c r="I520"/>
    </row>
    <row r="521" spans="1:9" ht="14">
      <c r="A521" s="15"/>
      <c r="B521" s="15"/>
      <c r="C521" s="15"/>
      <c r="E521"/>
      <c r="H521"/>
      <c r="I521"/>
    </row>
    <row r="522" spans="1:9" ht="14">
      <c r="A522" s="15"/>
      <c r="B522" s="15"/>
      <c r="C522" s="15"/>
      <c r="E522"/>
      <c r="H522"/>
      <c r="I522"/>
    </row>
    <row r="523" spans="1:9" ht="14">
      <c r="A523" s="15"/>
      <c r="B523" s="15"/>
      <c r="C523" s="15"/>
      <c r="E523"/>
      <c r="H523"/>
      <c r="I523"/>
    </row>
    <row r="524" spans="1:9" ht="14">
      <c r="A524" s="15"/>
      <c r="B524" s="15"/>
      <c r="C524" s="15"/>
      <c r="E524"/>
      <c r="H524"/>
      <c r="I524"/>
    </row>
    <row r="525" spans="1:9" ht="14">
      <c r="A525" s="15"/>
      <c r="B525" s="15"/>
      <c r="C525" s="15"/>
      <c r="E525"/>
      <c r="H525"/>
      <c r="I525"/>
    </row>
    <row r="526" spans="1:9" ht="14">
      <c r="A526" s="15"/>
      <c r="B526" s="15"/>
      <c r="C526" s="15"/>
      <c r="E526"/>
      <c r="H526"/>
      <c r="I526"/>
    </row>
    <row r="527" spans="1:9" ht="14">
      <c r="A527" s="15"/>
      <c r="B527" s="15"/>
      <c r="C527" s="15"/>
      <c r="E527"/>
      <c r="H527"/>
      <c r="I527"/>
    </row>
    <row r="528" spans="1:9" ht="14">
      <c r="A528" s="15"/>
      <c r="B528" s="15"/>
      <c r="C528" s="15"/>
      <c r="E528"/>
      <c r="H528"/>
      <c r="I528"/>
    </row>
    <row r="529" spans="1:9" ht="14">
      <c r="A529" s="15"/>
      <c r="B529" s="15"/>
      <c r="C529" s="15"/>
      <c r="E529"/>
      <c r="H529"/>
      <c r="I529"/>
    </row>
    <row r="530" spans="1:9" ht="14">
      <c r="A530" s="15"/>
      <c r="B530" s="15"/>
      <c r="C530" s="15"/>
      <c r="E530"/>
      <c r="H530"/>
      <c r="I530"/>
    </row>
    <row r="531" spans="1:9" ht="14">
      <c r="A531" s="15"/>
      <c r="B531" s="15"/>
      <c r="C531" s="15"/>
      <c r="E531"/>
      <c r="H531"/>
      <c r="I531"/>
    </row>
    <row r="532" spans="1:9" ht="14">
      <c r="A532" s="15"/>
      <c r="B532" s="15"/>
      <c r="C532" s="15"/>
      <c r="E532"/>
      <c r="H532"/>
      <c r="I532"/>
    </row>
    <row r="533" spans="1:9" ht="14">
      <c r="A533" s="15"/>
      <c r="B533" s="15"/>
      <c r="C533" s="15"/>
      <c r="E533"/>
      <c r="H533"/>
      <c r="I533"/>
    </row>
    <row r="534" spans="1:9" ht="14">
      <c r="A534" s="15"/>
      <c r="B534" s="15"/>
      <c r="C534" s="15"/>
      <c r="E534"/>
      <c r="H534"/>
      <c r="I534"/>
    </row>
    <row r="535" spans="1:9" ht="14">
      <c r="A535" s="15"/>
      <c r="B535" s="15"/>
      <c r="C535" s="15"/>
      <c r="E535"/>
      <c r="H535"/>
      <c r="I535"/>
    </row>
    <row r="536" spans="1:9" ht="14">
      <c r="A536" s="15"/>
      <c r="B536" s="15"/>
      <c r="C536" s="15"/>
      <c r="E536"/>
      <c r="H536"/>
      <c r="I536"/>
    </row>
    <row r="537" spans="1:9" ht="14">
      <c r="A537" s="15"/>
      <c r="B537" s="15"/>
      <c r="C537" s="15"/>
      <c r="E537"/>
      <c r="H537"/>
      <c r="I537"/>
    </row>
    <row r="538" spans="1:9" ht="14">
      <c r="A538" s="15"/>
      <c r="B538" s="15"/>
      <c r="C538" s="15"/>
      <c r="E538"/>
      <c r="H538"/>
      <c r="I538"/>
    </row>
    <row r="539" spans="1:9" ht="14">
      <c r="A539" s="15"/>
      <c r="B539" s="15"/>
      <c r="C539" s="15"/>
      <c r="E539"/>
      <c r="H539"/>
      <c r="I539"/>
    </row>
    <row r="540" spans="1:9" ht="14">
      <c r="A540" s="15"/>
      <c r="B540" s="15"/>
      <c r="C540" s="15"/>
      <c r="E540"/>
      <c r="H540"/>
      <c r="I540"/>
    </row>
    <row r="541" spans="1:9" ht="14">
      <c r="A541" s="15"/>
      <c r="B541" s="15"/>
      <c r="C541" s="15"/>
      <c r="E541"/>
      <c r="H541"/>
      <c r="I541"/>
    </row>
    <row r="542" spans="1:9" ht="14">
      <c r="A542" s="15"/>
      <c r="B542" s="15"/>
      <c r="C542" s="15"/>
      <c r="E542"/>
      <c r="H542"/>
      <c r="I542"/>
    </row>
    <row r="543" spans="1:9" ht="14">
      <c r="A543" s="15"/>
      <c r="B543" s="15"/>
      <c r="C543" s="15"/>
      <c r="E543"/>
      <c r="H543"/>
      <c r="I543"/>
    </row>
    <row r="544" spans="1:9" ht="14">
      <c r="A544" s="15"/>
      <c r="B544" s="15"/>
      <c r="C544" s="15"/>
      <c r="E544"/>
      <c r="H544"/>
      <c r="I544"/>
    </row>
    <row r="545" spans="1:9" ht="14">
      <c r="A545" s="15"/>
      <c r="B545" s="15"/>
      <c r="C545" s="15"/>
      <c r="E545"/>
      <c r="H545"/>
      <c r="I545"/>
    </row>
    <row r="546" spans="1:9" ht="14">
      <c r="A546" s="15"/>
      <c r="B546" s="15"/>
      <c r="C546" s="15"/>
      <c r="E546"/>
      <c r="H546"/>
      <c r="I546"/>
    </row>
    <row r="547" spans="1:9" ht="14">
      <c r="A547" s="15"/>
      <c r="B547" s="15"/>
      <c r="C547" s="15"/>
      <c r="E547"/>
      <c r="H547"/>
      <c r="I547"/>
    </row>
    <row r="548" spans="1:9" ht="14">
      <c r="A548" s="15"/>
      <c r="B548" s="15"/>
      <c r="C548" s="15"/>
      <c r="E548"/>
      <c r="H548"/>
      <c r="I548"/>
    </row>
    <row r="549" spans="1:9" ht="14">
      <c r="A549" s="15"/>
      <c r="B549" s="15"/>
      <c r="C549" s="15"/>
      <c r="E549"/>
      <c r="H549"/>
      <c r="I549"/>
    </row>
    <row r="550" spans="1:9" ht="14">
      <c r="A550" s="15"/>
      <c r="B550" s="15"/>
      <c r="C550" s="15"/>
      <c r="E550"/>
      <c r="H550"/>
      <c r="I550"/>
    </row>
    <row r="551" spans="1:9" ht="14">
      <c r="A551" s="15"/>
      <c r="B551" s="15"/>
      <c r="C551" s="15"/>
      <c r="E551"/>
      <c r="H551"/>
      <c r="I551"/>
    </row>
    <row r="552" spans="1:9" ht="14">
      <c r="A552" s="15"/>
      <c r="B552" s="15"/>
      <c r="C552" s="15"/>
      <c r="E552"/>
      <c r="H552"/>
      <c r="I552"/>
    </row>
    <row r="553" spans="1:9" ht="14">
      <c r="A553" s="15"/>
      <c r="B553" s="15"/>
      <c r="C553" s="15"/>
      <c r="E553"/>
      <c r="H553"/>
      <c r="I553"/>
    </row>
    <row r="554" spans="1:9" ht="14">
      <c r="A554" s="15"/>
      <c r="B554" s="15"/>
      <c r="C554" s="15"/>
      <c r="E554"/>
      <c r="H554"/>
      <c r="I554"/>
    </row>
    <row r="555" spans="1:9" ht="14">
      <c r="A555" s="15"/>
      <c r="B555" s="15"/>
      <c r="C555" s="15"/>
      <c r="E555"/>
      <c r="H555"/>
      <c r="I555"/>
    </row>
    <row r="556" spans="1:9" ht="14">
      <c r="A556" s="15"/>
      <c r="B556" s="15"/>
      <c r="C556" s="15"/>
      <c r="E556"/>
      <c r="H556"/>
      <c r="I556"/>
    </row>
    <row r="557" spans="1:9" ht="14">
      <c r="A557" s="15"/>
      <c r="B557" s="15"/>
      <c r="C557" s="15"/>
      <c r="E557"/>
      <c r="H557"/>
      <c r="I557"/>
    </row>
    <row r="558" spans="1:9" ht="14">
      <c r="A558" s="15"/>
      <c r="B558" s="15"/>
      <c r="C558" s="15"/>
      <c r="E558"/>
      <c r="H558"/>
      <c r="I558"/>
    </row>
    <row r="559" spans="1:9" ht="14">
      <c r="A559" s="15"/>
      <c r="B559" s="15"/>
      <c r="C559" s="15"/>
      <c r="E559"/>
      <c r="H559"/>
      <c r="I559"/>
    </row>
    <row r="560" spans="1:9" ht="14">
      <c r="A560" s="15"/>
      <c r="B560" s="15"/>
      <c r="C560" s="15"/>
      <c r="E560"/>
      <c r="H560"/>
      <c r="I560"/>
    </row>
    <row r="561" spans="1:9" ht="14">
      <c r="A561" s="15"/>
      <c r="B561" s="15"/>
      <c r="C561" s="15"/>
      <c r="E561"/>
      <c r="H561"/>
      <c r="I561"/>
    </row>
    <row r="562" spans="1:9" ht="14">
      <c r="A562" s="15"/>
      <c r="B562" s="15"/>
      <c r="C562" s="15"/>
      <c r="E562"/>
      <c r="H562"/>
      <c r="I562"/>
    </row>
    <row r="563" spans="1:9" ht="14">
      <c r="A563" s="15"/>
      <c r="B563" s="15"/>
      <c r="C563" s="15"/>
      <c r="E563"/>
      <c r="H563"/>
      <c r="I563"/>
    </row>
    <row r="564" spans="1:9" ht="14">
      <c r="A564" s="15"/>
      <c r="B564" s="15"/>
      <c r="C564" s="15"/>
      <c r="E564"/>
      <c r="H564"/>
      <c r="I564"/>
    </row>
    <row r="565" spans="1:9" ht="14">
      <c r="A565" s="15"/>
      <c r="B565" s="15"/>
      <c r="C565" s="15"/>
      <c r="E565"/>
      <c r="H565"/>
      <c r="I565"/>
    </row>
    <row r="566" spans="1:9" ht="14">
      <c r="A566" s="15"/>
      <c r="B566" s="15"/>
      <c r="C566" s="15"/>
      <c r="E566"/>
      <c r="H566"/>
      <c r="I566"/>
    </row>
    <row r="567" spans="1:9" ht="14">
      <c r="A567" s="15"/>
      <c r="B567" s="15"/>
      <c r="C567" s="15"/>
      <c r="E567"/>
      <c r="H567"/>
      <c r="I567"/>
    </row>
    <row r="568" spans="1:9" ht="14">
      <c r="A568" s="15"/>
      <c r="B568" s="15"/>
      <c r="C568" s="15"/>
      <c r="E568"/>
      <c r="H568"/>
      <c r="I568"/>
    </row>
    <row r="569" spans="1:9" ht="14">
      <c r="A569" s="15"/>
      <c r="B569" s="15"/>
      <c r="C569" s="15"/>
      <c r="E569"/>
      <c r="H569"/>
      <c r="I569"/>
    </row>
    <row r="570" spans="1:9" ht="14">
      <c r="A570" s="15"/>
      <c r="B570" s="15"/>
      <c r="C570" s="15"/>
      <c r="E570"/>
      <c r="H570"/>
      <c r="I570"/>
    </row>
    <row r="571" spans="1:9" ht="14">
      <c r="A571" s="15"/>
      <c r="B571" s="15"/>
      <c r="C571" s="15"/>
      <c r="E571"/>
      <c r="H571"/>
      <c r="I571"/>
    </row>
    <row r="572" spans="1:9" ht="14">
      <c r="A572" s="15"/>
      <c r="B572" s="15"/>
      <c r="C572" s="15"/>
      <c r="E572"/>
      <c r="H572"/>
      <c r="I572"/>
    </row>
    <row r="573" spans="1:9" ht="14">
      <c r="A573" s="15"/>
      <c r="B573" s="15"/>
      <c r="C573" s="15"/>
      <c r="E573"/>
      <c r="H573"/>
      <c r="I573"/>
    </row>
    <row r="574" spans="1:9" ht="14">
      <c r="A574" s="15"/>
      <c r="B574" s="15"/>
      <c r="C574" s="15"/>
      <c r="E574"/>
      <c r="H574"/>
      <c r="I574"/>
    </row>
    <row r="575" spans="1:9" ht="14">
      <c r="A575" s="15"/>
      <c r="B575" s="15"/>
      <c r="C575" s="15"/>
      <c r="E575"/>
      <c r="H575"/>
      <c r="I575"/>
    </row>
    <row r="576" spans="1:9" ht="14">
      <c r="A576" s="15"/>
      <c r="B576" s="15"/>
      <c r="C576" s="15"/>
      <c r="E576"/>
      <c r="H576"/>
      <c r="I576"/>
    </row>
    <row r="577" spans="1:9" ht="14">
      <c r="A577" s="15"/>
      <c r="B577" s="15"/>
      <c r="C577" s="15"/>
      <c r="E577"/>
      <c r="H577"/>
      <c r="I577"/>
    </row>
    <row r="578" spans="1:9" ht="14">
      <c r="A578" s="15"/>
      <c r="B578" s="15"/>
      <c r="C578" s="15"/>
      <c r="E578"/>
      <c r="H578"/>
      <c r="I578"/>
    </row>
    <row r="579" spans="1:9" ht="14">
      <c r="A579" s="15"/>
      <c r="B579" s="15"/>
      <c r="C579" s="15"/>
      <c r="E579"/>
      <c r="H579"/>
      <c r="I579"/>
    </row>
    <row r="580" spans="1:9" ht="14">
      <c r="A580" s="15"/>
      <c r="B580" s="15"/>
      <c r="C580" s="15"/>
      <c r="E580"/>
      <c r="H580"/>
      <c r="I580"/>
    </row>
    <row r="581" spans="1:9" ht="14">
      <c r="A581" s="15"/>
      <c r="B581" s="15"/>
      <c r="C581" s="15"/>
      <c r="E581"/>
      <c r="H581"/>
      <c r="I581"/>
    </row>
    <row r="582" spans="1:9" ht="14">
      <c r="A582" s="15"/>
      <c r="B582" s="15"/>
      <c r="C582" s="15"/>
      <c r="E582"/>
      <c r="H582"/>
      <c r="I582"/>
    </row>
    <row r="583" spans="1:9" ht="14">
      <c r="A583" s="15"/>
      <c r="B583" s="15"/>
      <c r="C583" s="15"/>
      <c r="E583"/>
      <c r="H583"/>
      <c r="I583"/>
    </row>
    <row r="584" spans="1:9" ht="14">
      <c r="A584" s="15"/>
      <c r="B584" s="15"/>
      <c r="C584" s="15"/>
      <c r="E584"/>
      <c r="H584"/>
      <c r="I584"/>
    </row>
    <row r="585" spans="1:9" ht="14">
      <c r="A585" s="15"/>
      <c r="B585" s="15"/>
      <c r="C585" s="15"/>
      <c r="E585"/>
      <c r="H585"/>
      <c r="I585"/>
    </row>
    <row r="586" spans="1:9" ht="14">
      <c r="A586" s="15"/>
      <c r="B586" s="15"/>
      <c r="C586" s="15"/>
      <c r="E586"/>
      <c r="H586"/>
      <c r="I586"/>
    </row>
    <row r="587" spans="1:9" ht="14">
      <c r="A587" s="15"/>
      <c r="B587" s="15"/>
      <c r="C587" s="15"/>
      <c r="E587"/>
      <c r="H587"/>
      <c r="I587"/>
    </row>
    <row r="588" spans="1:9" ht="14">
      <c r="A588" s="15"/>
      <c r="B588" s="15"/>
      <c r="C588" s="15"/>
      <c r="E588"/>
      <c r="H588"/>
      <c r="I588"/>
    </row>
    <row r="589" spans="1:9" ht="14">
      <c r="A589" s="15"/>
      <c r="B589" s="15"/>
      <c r="C589" s="15"/>
      <c r="E589"/>
      <c r="H589"/>
      <c r="I589"/>
    </row>
    <row r="590" spans="1:9" ht="14">
      <c r="A590" s="15"/>
      <c r="B590" s="15"/>
      <c r="C590" s="15"/>
      <c r="E590"/>
      <c r="H590"/>
      <c r="I590"/>
    </row>
    <row r="591" spans="1:9" ht="14">
      <c r="A591" s="15"/>
      <c r="B591" s="15"/>
      <c r="C591" s="15"/>
      <c r="E591"/>
      <c r="H591"/>
      <c r="I591"/>
    </row>
    <row r="592" spans="1:9" ht="14">
      <c r="A592" s="15"/>
      <c r="B592" s="15"/>
      <c r="C592" s="15"/>
      <c r="E592"/>
      <c r="H592"/>
      <c r="I592"/>
    </row>
    <row r="593" spans="1:9" ht="14">
      <c r="A593" s="15"/>
      <c r="B593" s="15"/>
      <c r="C593" s="15"/>
      <c r="E593"/>
      <c r="H593"/>
      <c r="I593"/>
    </row>
    <row r="594" spans="1:9" ht="14">
      <c r="A594" s="15"/>
      <c r="B594" s="15"/>
      <c r="C594" s="15"/>
      <c r="E594"/>
      <c r="H594"/>
      <c r="I594"/>
    </row>
    <row r="595" spans="1:9" ht="14">
      <c r="A595" s="15"/>
      <c r="B595" s="15"/>
      <c r="C595" s="15"/>
      <c r="E595"/>
      <c r="H595"/>
      <c r="I595"/>
    </row>
    <row r="596" spans="1:9" ht="14">
      <c r="A596" s="15"/>
      <c r="B596" s="15"/>
      <c r="C596" s="15"/>
      <c r="E596"/>
      <c r="H596"/>
      <c r="I596"/>
    </row>
    <row r="597" spans="1:9" ht="14">
      <c r="A597" s="15"/>
      <c r="B597" s="15"/>
      <c r="C597" s="15"/>
      <c r="E597"/>
      <c r="H597"/>
      <c r="I597"/>
    </row>
    <row r="598" spans="1:9" ht="14">
      <c r="A598" s="15"/>
      <c r="B598" s="15"/>
      <c r="C598" s="15"/>
      <c r="E598"/>
      <c r="H598"/>
      <c r="I598"/>
    </row>
    <row r="599" spans="1:9" ht="14">
      <c r="A599" s="15"/>
      <c r="B599" s="15"/>
      <c r="C599" s="15"/>
      <c r="E599"/>
      <c r="H599"/>
      <c r="I599"/>
    </row>
    <row r="600" spans="1:9" ht="14">
      <c r="A600" s="15"/>
      <c r="B600" s="15"/>
      <c r="C600" s="15"/>
      <c r="E600"/>
      <c r="H600"/>
      <c r="I600"/>
    </row>
    <row r="601" spans="1:9" ht="14">
      <c r="A601" s="15"/>
      <c r="B601" s="15"/>
      <c r="C601" s="15"/>
      <c r="E601"/>
      <c r="H601"/>
      <c r="I601"/>
    </row>
    <row r="602" spans="1:9" ht="14">
      <c r="A602" s="15"/>
      <c r="B602" s="15"/>
      <c r="C602" s="15"/>
      <c r="E602"/>
      <c r="H602"/>
      <c r="I602"/>
    </row>
    <row r="603" spans="1:9" ht="14">
      <c r="A603" s="15"/>
      <c r="B603" s="15"/>
      <c r="C603" s="15"/>
      <c r="E603"/>
      <c r="H603"/>
      <c r="I603"/>
    </row>
    <row r="604" spans="1:9" ht="14">
      <c r="A604" s="15"/>
      <c r="B604" s="15"/>
      <c r="C604" s="15"/>
      <c r="E604"/>
      <c r="H604"/>
      <c r="I604"/>
    </row>
    <row r="605" spans="1:9" ht="14">
      <c r="A605" s="15"/>
      <c r="B605" s="15"/>
      <c r="C605" s="15"/>
      <c r="E605"/>
      <c r="H605"/>
      <c r="I605"/>
    </row>
    <row r="606" spans="1:9" ht="14">
      <c r="A606" s="15"/>
      <c r="B606" s="15"/>
      <c r="C606" s="15"/>
      <c r="E606"/>
      <c r="H606"/>
      <c r="I606"/>
    </row>
    <row r="607" spans="1:9" ht="14">
      <c r="A607" s="15"/>
      <c r="B607" s="15"/>
      <c r="C607" s="15"/>
      <c r="E607"/>
      <c r="H607"/>
      <c r="I607"/>
    </row>
    <row r="608" spans="1:9" ht="14">
      <c r="A608" s="15"/>
      <c r="B608" s="15"/>
      <c r="C608" s="15"/>
      <c r="E608"/>
      <c r="H608"/>
      <c r="I608"/>
    </row>
    <row r="609" spans="1:9" ht="14">
      <c r="A609" s="15"/>
      <c r="B609" s="15"/>
      <c r="C609" s="15"/>
      <c r="E609"/>
      <c r="H609"/>
      <c r="I609"/>
    </row>
    <row r="610" spans="1:9" ht="14">
      <c r="A610" s="15"/>
      <c r="B610" s="15"/>
      <c r="C610" s="15"/>
      <c r="E610"/>
      <c r="H610"/>
      <c r="I610"/>
    </row>
    <row r="611" spans="1:9" ht="14">
      <c r="A611" s="15"/>
      <c r="B611" s="15"/>
      <c r="C611" s="15"/>
      <c r="E611"/>
      <c r="H611"/>
      <c r="I611"/>
    </row>
    <row r="612" spans="1:9" ht="14">
      <c r="A612" s="15"/>
      <c r="B612" s="15"/>
      <c r="C612" s="15"/>
      <c r="E612"/>
      <c r="H612"/>
      <c r="I612"/>
    </row>
    <row r="613" spans="1:9" ht="14">
      <c r="A613" s="15"/>
      <c r="B613" s="15"/>
      <c r="C613" s="15"/>
      <c r="E613"/>
      <c r="H613"/>
      <c r="I613"/>
    </row>
    <row r="614" spans="1:9" ht="14">
      <c r="A614" s="15"/>
      <c r="B614" s="15"/>
      <c r="C614" s="15"/>
      <c r="E614"/>
      <c r="H614"/>
      <c r="I614"/>
    </row>
    <row r="615" spans="1:9" ht="14">
      <c r="A615" s="15"/>
      <c r="B615" s="15"/>
      <c r="C615" s="15"/>
      <c r="E615"/>
      <c r="H615"/>
      <c r="I615"/>
    </row>
    <row r="616" spans="1:9" ht="14">
      <c r="A616" s="15"/>
      <c r="B616" s="15"/>
      <c r="C616" s="15"/>
      <c r="E616"/>
      <c r="H616"/>
      <c r="I616"/>
    </row>
    <row r="617" spans="1:9" ht="14">
      <c r="A617" s="15"/>
      <c r="B617" s="15"/>
      <c r="C617" s="15"/>
      <c r="E617"/>
      <c r="H617"/>
      <c r="I617"/>
    </row>
    <row r="618" spans="1:9" ht="14">
      <c r="A618" s="15"/>
      <c r="B618" s="15"/>
      <c r="C618" s="15"/>
      <c r="E618"/>
      <c r="H618"/>
      <c r="I618"/>
    </row>
    <row r="619" spans="1:9" ht="14">
      <c r="A619" s="15"/>
      <c r="B619" s="15"/>
      <c r="C619" s="15"/>
      <c r="E619"/>
      <c r="H619"/>
      <c r="I619"/>
    </row>
    <row r="620" spans="1:9" ht="14">
      <c r="A620" s="15"/>
      <c r="B620" s="15"/>
      <c r="C620" s="15"/>
      <c r="E620"/>
      <c r="H620"/>
      <c r="I620"/>
    </row>
    <row r="621" spans="1:9" ht="14">
      <c r="A621" s="15"/>
      <c r="B621" s="15"/>
      <c r="C621" s="15"/>
      <c r="E621"/>
      <c r="H621"/>
      <c r="I621"/>
    </row>
    <row r="622" spans="1:9" ht="14">
      <c r="A622" s="15"/>
      <c r="B622" s="15"/>
      <c r="C622" s="15"/>
      <c r="E622"/>
      <c r="H622"/>
      <c r="I622"/>
    </row>
    <row r="623" spans="1:9" ht="14">
      <c r="A623" s="15"/>
      <c r="B623" s="15"/>
      <c r="C623" s="15"/>
      <c r="E623"/>
      <c r="H623"/>
      <c r="I623"/>
    </row>
    <row r="624" spans="1:9" ht="14">
      <c r="A624" s="15"/>
      <c r="B624" s="15"/>
      <c r="C624" s="15"/>
      <c r="E624"/>
      <c r="H624"/>
      <c r="I624"/>
    </row>
    <row r="625" spans="1:9" ht="14">
      <c r="A625" s="15"/>
      <c r="B625" s="15"/>
      <c r="C625" s="15"/>
      <c r="E625"/>
      <c r="H625"/>
      <c r="I625"/>
    </row>
    <row r="626" spans="1:9" ht="14">
      <c r="A626" s="15"/>
      <c r="B626" s="15"/>
      <c r="C626" s="15"/>
      <c r="E626"/>
      <c r="H626"/>
      <c r="I626"/>
    </row>
    <row r="627" spans="1:9" ht="14">
      <c r="A627" s="15"/>
      <c r="B627" s="15"/>
      <c r="C627" s="15"/>
      <c r="E627"/>
      <c r="H627"/>
      <c r="I627"/>
    </row>
    <row r="628" spans="1:9" ht="14">
      <c r="A628" s="15"/>
      <c r="B628" s="15"/>
      <c r="C628" s="15"/>
      <c r="E628"/>
      <c r="H628"/>
      <c r="I628"/>
    </row>
    <row r="629" spans="1:9" ht="14">
      <c r="A629" s="15"/>
      <c r="B629" s="15"/>
      <c r="C629" s="15"/>
      <c r="E629"/>
      <c r="H629"/>
      <c r="I629"/>
    </row>
    <row r="630" spans="1:9" ht="14">
      <c r="A630" s="15"/>
      <c r="B630" s="15"/>
      <c r="C630" s="15"/>
      <c r="E630"/>
      <c r="H630"/>
      <c r="I630"/>
    </row>
    <row r="631" spans="1:9" ht="14">
      <c r="A631" s="15"/>
      <c r="B631" s="15"/>
      <c r="C631" s="15"/>
      <c r="E631"/>
      <c r="H631"/>
      <c r="I631"/>
    </row>
    <row r="632" spans="1:9" ht="14">
      <c r="A632" s="15"/>
      <c r="B632" s="15"/>
      <c r="C632" s="15"/>
      <c r="E632"/>
      <c r="H632"/>
      <c r="I632"/>
    </row>
    <row r="633" spans="1:9" ht="14">
      <c r="A633" s="15"/>
      <c r="B633" s="15"/>
      <c r="C633" s="15"/>
      <c r="E633"/>
      <c r="H633"/>
      <c r="I633"/>
    </row>
    <row r="634" spans="1:9" ht="14">
      <c r="A634" s="15"/>
      <c r="B634" s="15"/>
      <c r="C634" s="15"/>
      <c r="E634"/>
      <c r="H634"/>
      <c r="I634"/>
    </row>
    <row r="635" spans="1:9" ht="14">
      <c r="A635" s="15"/>
      <c r="B635" s="15"/>
      <c r="C635" s="15"/>
      <c r="E635"/>
      <c r="H635"/>
      <c r="I635"/>
    </row>
    <row r="636" spans="1:9" ht="14">
      <c r="A636" s="15"/>
      <c r="B636" s="15"/>
      <c r="C636" s="15"/>
      <c r="E636"/>
      <c r="H636"/>
      <c r="I636"/>
    </row>
    <row r="637" spans="1:9" ht="14">
      <c r="A637" s="15"/>
      <c r="B637" s="15"/>
      <c r="C637" s="15"/>
      <c r="E637"/>
      <c r="H637"/>
      <c r="I637"/>
    </row>
    <row r="638" spans="1:9" ht="14">
      <c r="A638" s="15"/>
      <c r="B638" s="15"/>
      <c r="C638" s="15"/>
      <c r="E638"/>
      <c r="H638"/>
      <c r="I638"/>
    </row>
    <row r="639" spans="1:9" ht="14">
      <c r="A639" s="15"/>
      <c r="B639" s="15"/>
      <c r="C639" s="15"/>
      <c r="E639"/>
      <c r="H639"/>
      <c r="I639"/>
    </row>
    <row r="640" spans="1:9" ht="14">
      <c r="A640" s="15"/>
      <c r="B640" s="15"/>
      <c r="C640" s="15"/>
      <c r="E640"/>
      <c r="H640"/>
      <c r="I640"/>
    </row>
    <row r="641" spans="1:9" ht="14">
      <c r="A641" s="15"/>
      <c r="B641" s="15"/>
      <c r="C641" s="15"/>
      <c r="E641"/>
      <c r="H641"/>
      <c r="I641"/>
    </row>
    <row r="642" spans="1:9" ht="14">
      <c r="A642" s="15"/>
      <c r="B642" s="15"/>
      <c r="C642" s="15"/>
      <c r="E642"/>
      <c r="H642"/>
      <c r="I642"/>
    </row>
    <row r="643" spans="1:9" ht="14">
      <c r="A643" s="15"/>
      <c r="B643" s="15"/>
      <c r="C643" s="15"/>
      <c r="E643"/>
      <c r="H643"/>
      <c r="I643"/>
    </row>
    <row r="644" spans="1:9" ht="14">
      <c r="A644" s="15"/>
      <c r="B644" s="15"/>
      <c r="C644" s="15"/>
      <c r="E644"/>
      <c r="H644"/>
      <c r="I644"/>
    </row>
    <row r="645" spans="1:9" ht="14">
      <c r="A645" s="15"/>
      <c r="B645" s="15"/>
      <c r="C645" s="15"/>
      <c r="E645"/>
      <c r="H645"/>
      <c r="I645"/>
    </row>
    <row r="646" spans="1:9" ht="14">
      <c r="A646" s="15"/>
      <c r="B646" s="15"/>
      <c r="C646" s="15"/>
      <c r="E646"/>
      <c r="H646"/>
      <c r="I646"/>
    </row>
    <row r="647" spans="1:9" ht="14">
      <c r="A647" s="15"/>
      <c r="B647" s="15"/>
      <c r="C647" s="15"/>
      <c r="E647"/>
      <c r="H647"/>
      <c r="I647"/>
    </row>
    <row r="648" spans="1:9" ht="14">
      <c r="A648" s="15"/>
      <c r="B648" s="15"/>
      <c r="C648" s="15"/>
      <c r="E648"/>
      <c r="H648"/>
      <c r="I648"/>
    </row>
    <row r="649" spans="1:9" ht="14">
      <c r="A649" s="15"/>
      <c r="B649" s="15"/>
      <c r="C649" s="15"/>
      <c r="E649"/>
      <c r="H649"/>
      <c r="I649"/>
    </row>
    <row r="650" spans="1:9" ht="14">
      <c r="A650" s="15"/>
      <c r="B650" s="15"/>
      <c r="C650" s="15"/>
      <c r="E650"/>
      <c r="H650"/>
      <c r="I650"/>
    </row>
    <row r="651" spans="1:9" ht="14">
      <c r="A651" s="15"/>
      <c r="B651" s="15"/>
      <c r="C651" s="15"/>
      <c r="E651"/>
      <c r="H651"/>
      <c r="I651"/>
    </row>
    <row r="652" spans="1:9" ht="14">
      <c r="A652" s="15"/>
      <c r="B652" s="15"/>
      <c r="C652" s="15"/>
      <c r="E652"/>
      <c r="H652"/>
      <c r="I652"/>
    </row>
    <row r="653" spans="1:9" ht="14">
      <c r="A653" s="15"/>
      <c r="B653" s="15"/>
      <c r="C653" s="15"/>
      <c r="E653"/>
      <c r="H653"/>
      <c r="I653"/>
    </row>
    <row r="654" spans="1:9" ht="14">
      <c r="A654" s="15"/>
      <c r="B654" s="15"/>
      <c r="C654" s="15"/>
      <c r="E654"/>
      <c r="H654"/>
      <c r="I654"/>
    </row>
    <row r="655" spans="1:9" ht="14">
      <c r="A655" s="15"/>
      <c r="B655" s="15"/>
      <c r="C655" s="15"/>
      <c r="E655"/>
      <c r="H655"/>
      <c r="I655"/>
    </row>
    <row r="656" spans="1:9" ht="14">
      <c r="A656" s="15"/>
      <c r="B656" s="15"/>
      <c r="C656" s="15"/>
      <c r="E656"/>
      <c r="H656"/>
      <c r="I656"/>
    </row>
    <row r="657" spans="1:9" ht="14">
      <c r="A657" s="15"/>
      <c r="B657" s="15"/>
      <c r="C657" s="15"/>
      <c r="E657"/>
      <c r="H657"/>
      <c r="I657"/>
    </row>
    <row r="658" spans="1:9" ht="14">
      <c r="A658" s="15"/>
      <c r="B658" s="15"/>
      <c r="C658" s="15"/>
      <c r="E658"/>
      <c r="H658"/>
      <c r="I658"/>
    </row>
    <row r="659" spans="1:9" ht="14">
      <c r="A659" s="15"/>
      <c r="B659" s="15"/>
      <c r="C659" s="15"/>
      <c r="E659"/>
      <c r="H659"/>
      <c r="I659"/>
    </row>
    <row r="660" spans="1:9" ht="14">
      <c r="A660" s="15"/>
      <c r="B660" s="15"/>
      <c r="C660" s="15"/>
      <c r="E660"/>
      <c r="H660"/>
      <c r="I660"/>
    </row>
    <row r="661" spans="1:9" ht="14">
      <c r="A661" s="15"/>
      <c r="B661" s="15"/>
      <c r="C661" s="15"/>
      <c r="E661"/>
      <c r="H661"/>
      <c r="I661"/>
    </row>
    <row r="662" spans="1:9" ht="14">
      <c r="A662" s="15"/>
      <c r="B662" s="15"/>
      <c r="C662" s="15"/>
      <c r="E662"/>
      <c r="H662"/>
      <c r="I662"/>
    </row>
    <row r="663" spans="1:9" ht="14">
      <c r="A663" s="15"/>
      <c r="B663" s="15"/>
      <c r="C663" s="15"/>
      <c r="E663"/>
      <c r="H663"/>
      <c r="I663"/>
    </row>
    <row r="664" spans="1:9" ht="14">
      <c r="A664" s="15"/>
      <c r="B664" s="15"/>
      <c r="C664" s="15"/>
      <c r="E664"/>
      <c r="H664"/>
      <c r="I664"/>
    </row>
    <row r="665" spans="1:9" ht="14">
      <c r="A665" s="15"/>
      <c r="B665" s="15"/>
      <c r="C665" s="15"/>
      <c r="E665"/>
      <c r="H665"/>
      <c r="I665"/>
    </row>
    <row r="666" spans="1:9" ht="14">
      <c r="A666" s="15"/>
      <c r="B666" s="15"/>
      <c r="C666" s="15"/>
      <c r="E666"/>
      <c r="H666"/>
      <c r="I666"/>
    </row>
    <row r="667" spans="1:9" ht="14">
      <c r="A667" s="15"/>
      <c r="B667" s="15"/>
      <c r="C667" s="15"/>
      <c r="E667"/>
      <c r="H667"/>
      <c r="I667"/>
    </row>
    <row r="668" spans="1:9" ht="14">
      <c r="A668" s="15"/>
      <c r="B668" s="15"/>
      <c r="C668" s="15"/>
      <c r="E668"/>
      <c r="H668"/>
      <c r="I668"/>
    </row>
    <row r="669" spans="1:9" ht="14">
      <c r="A669" s="15"/>
      <c r="B669" s="15"/>
      <c r="C669" s="15"/>
      <c r="E669"/>
      <c r="H669"/>
      <c r="I669"/>
    </row>
    <row r="670" spans="1:9" ht="14">
      <c r="A670" s="15"/>
      <c r="B670" s="15"/>
      <c r="C670" s="15"/>
      <c r="E670"/>
      <c r="H670"/>
      <c r="I670"/>
    </row>
    <row r="671" spans="1:9" ht="14">
      <c r="A671" s="15"/>
      <c r="B671" s="15"/>
      <c r="C671" s="15"/>
      <c r="E671"/>
      <c r="H671"/>
      <c r="I671"/>
    </row>
    <row r="672" spans="1:9" ht="14">
      <c r="A672" s="15"/>
      <c r="B672" s="15"/>
      <c r="C672" s="15"/>
      <c r="E672"/>
      <c r="H672"/>
      <c r="I672"/>
    </row>
    <row r="673" spans="1:9" ht="14">
      <c r="A673" s="15"/>
      <c r="B673" s="15"/>
      <c r="C673" s="15"/>
      <c r="E673"/>
      <c r="H673"/>
      <c r="I673"/>
    </row>
    <row r="674" spans="1:9" ht="14">
      <c r="A674" s="15"/>
      <c r="B674" s="15"/>
      <c r="C674" s="15"/>
      <c r="E674"/>
      <c r="H674"/>
      <c r="I674"/>
    </row>
    <row r="675" spans="1:9" ht="14">
      <c r="A675" s="15"/>
      <c r="B675" s="15"/>
      <c r="C675" s="15"/>
      <c r="E675"/>
      <c r="H675"/>
      <c r="I675"/>
    </row>
    <row r="676" spans="1:9" ht="14">
      <c r="A676" s="15"/>
      <c r="B676" s="15"/>
      <c r="C676" s="15"/>
      <c r="E676"/>
      <c r="H676"/>
      <c r="I676"/>
    </row>
    <row r="677" spans="1:9" ht="14">
      <c r="A677" s="15"/>
      <c r="B677" s="15"/>
      <c r="C677" s="15"/>
      <c r="E677"/>
      <c r="H677"/>
      <c r="I677"/>
    </row>
    <row r="678" spans="1:9" ht="14">
      <c r="A678" s="15"/>
      <c r="B678" s="15"/>
      <c r="C678" s="15"/>
      <c r="E678"/>
      <c r="H678"/>
      <c r="I678"/>
    </row>
    <row r="679" spans="1:9" ht="14">
      <c r="A679" s="15"/>
      <c r="B679" s="15"/>
      <c r="C679" s="15"/>
      <c r="E679"/>
      <c r="H679"/>
      <c r="I679"/>
    </row>
    <row r="680" spans="1:9" ht="14">
      <c r="A680" s="15"/>
      <c r="B680" s="15"/>
      <c r="C680" s="15"/>
      <c r="E680"/>
      <c r="H680"/>
      <c r="I680"/>
    </row>
    <row r="681" spans="1:9" ht="14">
      <c r="A681" s="15"/>
      <c r="B681" s="15"/>
      <c r="C681" s="15"/>
      <c r="E681"/>
      <c r="H681"/>
      <c r="I681"/>
    </row>
    <row r="682" spans="1:9" ht="14">
      <c r="A682" s="15"/>
      <c r="B682" s="15"/>
      <c r="C682" s="15"/>
      <c r="E682"/>
      <c r="H682"/>
      <c r="I682"/>
    </row>
    <row r="683" spans="1:9" ht="14">
      <c r="A683" s="15"/>
      <c r="B683" s="15"/>
      <c r="C683" s="15"/>
      <c r="E683"/>
      <c r="H683"/>
      <c r="I683"/>
    </row>
    <row r="684" spans="1:9" ht="14">
      <c r="A684" s="15"/>
      <c r="B684" s="15"/>
      <c r="C684" s="15"/>
      <c r="E684"/>
      <c r="H684"/>
      <c r="I684"/>
    </row>
    <row r="685" spans="1:9" ht="14">
      <c r="A685" s="15"/>
      <c r="B685" s="15"/>
      <c r="C685" s="15"/>
      <c r="E685"/>
      <c r="H685"/>
      <c r="I685"/>
    </row>
    <row r="686" spans="1:9" ht="14">
      <c r="A686" s="15"/>
      <c r="B686" s="15"/>
      <c r="C686" s="15"/>
      <c r="E686"/>
      <c r="H686"/>
      <c r="I686"/>
    </row>
    <row r="687" spans="1:9" ht="14">
      <c r="A687" s="15"/>
      <c r="B687" s="15"/>
      <c r="C687" s="15"/>
      <c r="E687"/>
      <c r="H687"/>
      <c r="I687"/>
    </row>
    <row r="688" spans="1:9" ht="14">
      <c r="A688" s="15"/>
      <c r="B688" s="15"/>
      <c r="C688" s="15"/>
      <c r="E688"/>
      <c r="H688"/>
      <c r="I688"/>
    </row>
    <row r="689" spans="1:9" ht="14">
      <c r="A689" s="15"/>
      <c r="B689" s="15"/>
      <c r="C689" s="15"/>
      <c r="E689"/>
      <c r="H689"/>
      <c r="I689"/>
    </row>
    <row r="690" spans="1:9" ht="14">
      <c r="A690" s="15"/>
      <c r="B690" s="15"/>
      <c r="C690" s="15"/>
      <c r="E690"/>
      <c r="H690"/>
      <c r="I690"/>
    </row>
    <row r="691" spans="1:9" ht="14">
      <c r="A691" s="15"/>
      <c r="B691" s="15"/>
      <c r="C691" s="15"/>
      <c r="E691"/>
      <c r="H691"/>
      <c r="I691"/>
    </row>
    <row r="692" spans="1:9" ht="14">
      <c r="A692" s="15"/>
      <c r="B692" s="15"/>
      <c r="C692" s="15"/>
      <c r="E692"/>
      <c r="H692"/>
      <c r="I692"/>
    </row>
    <row r="693" spans="1:9" ht="14">
      <c r="A693" s="15"/>
      <c r="B693" s="15"/>
      <c r="C693" s="15"/>
      <c r="E693"/>
      <c r="H693"/>
      <c r="I693"/>
    </row>
    <row r="694" spans="1:9" ht="14">
      <c r="A694" s="15"/>
      <c r="B694" s="15"/>
      <c r="C694" s="15"/>
      <c r="E694"/>
      <c r="H694"/>
      <c r="I694"/>
    </row>
    <row r="695" spans="1:9" ht="14">
      <c r="A695" s="15"/>
      <c r="B695" s="15"/>
      <c r="C695" s="15"/>
      <c r="E695"/>
      <c r="H695"/>
      <c r="I695"/>
    </row>
    <row r="696" spans="1:9" ht="14">
      <c r="A696" s="15"/>
      <c r="B696" s="15"/>
      <c r="C696" s="15"/>
      <c r="E696"/>
      <c r="H696"/>
      <c r="I696"/>
    </row>
    <row r="697" spans="1:9" ht="14">
      <c r="A697" s="15"/>
      <c r="B697" s="15"/>
      <c r="C697" s="15"/>
      <c r="E697"/>
      <c r="H697"/>
      <c r="I697"/>
    </row>
    <row r="698" spans="1:9" ht="14">
      <c r="A698" s="15"/>
      <c r="B698" s="15"/>
      <c r="C698" s="15"/>
      <c r="E698"/>
      <c r="H698"/>
      <c r="I698"/>
    </row>
    <row r="699" spans="1:9" ht="14">
      <c r="A699" s="15"/>
      <c r="B699" s="15"/>
      <c r="C699" s="15"/>
      <c r="E699"/>
      <c r="H699"/>
      <c r="I699"/>
    </row>
    <row r="700" spans="1:9" ht="14">
      <c r="A700" s="15"/>
      <c r="B700" s="15"/>
      <c r="C700" s="15"/>
      <c r="E700"/>
      <c r="H700"/>
      <c r="I700"/>
    </row>
    <row r="701" spans="1:9" ht="14">
      <c r="A701" s="15"/>
      <c r="B701" s="15"/>
      <c r="C701" s="15"/>
      <c r="E701"/>
      <c r="H701"/>
      <c r="I701"/>
    </row>
    <row r="702" spans="1:9" ht="14">
      <c r="A702" s="15"/>
      <c r="B702" s="15"/>
      <c r="C702" s="15"/>
      <c r="E702"/>
      <c r="H702"/>
      <c r="I702"/>
    </row>
    <row r="703" spans="1:9" ht="14">
      <c r="A703" s="15"/>
      <c r="B703" s="15"/>
      <c r="C703" s="15"/>
      <c r="E703"/>
      <c r="H703"/>
      <c r="I703"/>
    </row>
    <row r="704" spans="1:9" ht="14">
      <c r="A704" s="15"/>
      <c r="B704" s="15"/>
      <c r="C704" s="15"/>
      <c r="E704"/>
      <c r="H704"/>
      <c r="I704"/>
    </row>
    <row r="705" spans="1:9" ht="14">
      <c r="A705" s="15"/>
      <c r="B705" s="15"/>
      <c r="C705" s="15"/>
      <c r="E705"/>
      <c r="H705"/>
      <c r="I705"/>
    </row>
    <row r="706" spans="1:9" ht="14">
      <c r="A706" s="15"/>
      <c r="B706" s="15"/>
      <c r="C706" s="15"/>
      <c r="E706"/>
      <c r="H706"/>
      <c r="I706"/>
    </row>
    <row r="707" spans="1:9" ht="14">
      <c r="A707" s="15"/>
      <c r="B707" s="15"/>
      <c r="C707" s="15"/>
      <c r="E707"/>
      <c r="H707"/>
      <c r="I707"/>
    </row>
    <row r="708" spans="1:9" ht="14">
      <c r="A708" s="15"/>
      <c r="B708" s="15"/>
      <c r="C708" s="15"/>
      <c r="E708"/>
      <c r="H708"/>
      <c r="I708"/>
    </row>
    <row r="709" spans="1:9" ht="14">
      <c r="A709" s="15"/>
      <c r="B709" s="15"/>
      <c r="C709" s="15"/>
      <c r="E709"/>
      <c r="H709"/>
      <c r="I709"/>
    </row>
    <row r="710" spans="1:9" ht="14">
      <c r="A710" s="15"/>
      <c r="B710" s="15"/>
      <c r="C710" s="15"/>
      <c r="E710"/>
      <c r="H710"/>
      <c r="I710"/>
    </row>
    <row r="711" spans="1:9" ht="14">
      <c r="A711" s="15"/>
      <c r="B711" s="15"/>
      <c r="C711" s="15"/>
      <c r="E711"/>
      <c r="H711"/>
      <c r="I711"/>
    </row>
    <row r="712" spans="1:9" ht="14">
      <c r="A712" s="15"/>
      <c r="B712" s="15"/>
      <c r="C712" s="15"/>
      <c r="E712"/>
      <c r="H712"/>
      <c r="I712"/>
    </row>
    <row r="713" spans="1:9" ht="14">
      <c r="A713" s="15"/>
      <c r="B713" s="15"/>
      <c r="C713" s="15"/>
      <c r="E713"/>
      <c r="H713"/>
      <c r="I713"/>
    </row>
    <row r="714" spans="1:9" ht="14">
      <c r="A714" s="15"/>
      <c r="B714" s="15"/>
      <c r="C714" s="15"/>
      <c r="E714"/>
      <c r="H714"/>
      <c r="I714"/>
    </row>
    <row r="715" spans="1:9" ht="14">
      <c r="A715" s="15"/>
      <c r="B715" s="15"/>
      <c r="C715" s="15"/>
      <c r="E715"/>
      <c r="H715"/>
      <c r="I715"/>
    </row>
    <row r="716" spans="1:9" ht="14">
      <c r="A716" s="15"/>
      <c r="B716" s="15"/>
      <c r="C716" s="15"/>
      <c r="E716"/>
      <c r="H716"/>
      <c r="I716"/>
    </row>
    <row r="717" spans="1:9" ht="14">
      <c r="A717" s="15"/>
      <c r="B717" s="15"/>
      <c r="C717" s="15"/>
      <c r="E717"/>
      <c r="H717"/>
      <c r="I717"/>
    </row>
    <row r="718" spans="1:9" ht="14">
      <c r="A718" s="15"/>
      <c r="B718" s="15"/>
      <c r="C718" s="15"/>
      <c r="E718"/>
      <c r="H718"/>
      <c r="I718"/>
    </row>
    <row r="719" spans="1:9" ht="14">
      <c r="A719" s="15"/>
      <c r="B719" s="15"/>
      <c r="C719" s="15"/>
      <c r="E719"/>
      <c r="H719"/>
      <c r="I719"/>
    </row>
    <row r="720" spans="1:9" ht="14">
      <c r="A720" s="15"/>
      <c r="B720" s="15"/>
      <c r="C720" s="15"/>
      <c r="E720"/>
      <c r="H720"/>
      <c r="I720"/>
    </row>
    <row r="721" spans="1:9" ht="14">
      <c r="A721" s="15"/>
      <c r="B721" s="15"/>
      <c r="C721" s="15"/>
      <c r="E721"/>
      <c r="H721"/>
      <c r="I721"/>
    </row>
    <row r="722" spans="1:9" ht="14">
      <c r="A722" s="15"/>
      <c r="B722" s="15"/>
      <c r="C722" s="15"/>
      <c r="E722"/>
      <c r="H722"/>
      <c r="I722"/>
    </row>
    <row r="723" spans="1:9" ht="14">
      <c r="A723" s="15"/>
      <c r="B723" s="15"/>
      <c r="C723" s="15"/>
      <c r="E723"/>
      <c r="H723"/>
      <c r="I723"/>
    </row>
    <row r="724" spans="1:9" ht="14">
      <c r="A724" s="15"/>
      <c r="B724" s="15"/>
      <c r="C724" s="15"/>
      <c r="E724"/>
      <c r="H724"/>
      <c r="I724"/>
    </row>
    <row r="725" spans="1:9" ht="14">
      <c r="A725" s="15"/>
      <c r="B725" s="15"/>
      <c r="C725" s="15"/>
      <c r="E725"/>
      <c r="H725"/>
      <c r="I725"/>
    </row>
    <row r="726" spans="1:9" ht="14">
      <c r="A726" s="15"/>
      <c r="B726" s="15"/>
      <c r="C726" s="15"/>
      <c r="E726"/>
      <c r="H726"/>
      <c r="I726"/>
    </row>
    <row r="727" spans="1:9" ht="14">
      <c r="A727" s="15"/>
      <c r="B727" s="15"/>
      <c r="C727" s="15"/>
      <c r="E727"/>
      <c r="H727"/>
      <c r="I727"/>
    </row>
    <row r="728" spans="1:9" ht="14">
      <c r="A728" s="15"/>
      <c r="B728" s="15"/>
      <c r="C728" s="15"/>
      <c r="E728"/>
      <c r="H728"/>
      <c r="I728"/>
    </row>
    <row r="729" spans="1:9" ht="14">
      <c r="A729" s="15"/>
      <c r="B729" s="15"/>
      <c r="C729" s="15"/>
      <c r="E729"/>
      <c r="H729"/>
      <c r="I729"/>
    </row>
    <row r="730" spans="1:9" ht="14">
      <c r="A730" s="15"/>
      <c r="B730" s="15"/>
      <c r="C730" s="15"/>
      <c r="E730"/>
      <c r="H730"/>
      <c r="I730"/>
    </row>
    <row r="731" spans="1:9" ht="14">
      <c r="A731" s="15"/>
      <c r="B731" s="15"/>
      <c r="C731" s="15"/>
      <c r="E731"/>
      <c r="H731"/>
      <c r="I731"/>
    </row>
    <row r="732" spans="1:9" ht="14">
      <c r="A732" s="15"/>
      <c r="B732" s="15"/>
      <c r="C732" s="15"/>
      <c r="E732"/>
      <c r="H732"/>
      <c r="I732"/>
    </row>
    <row r="733" spans="1:9" ht="14">
      <c r="A733" s="15"/>
      <c r="B733" s="15"/>
      <c r="C733" s="15"/>
      <c r="E733"/>
      <c r="H733"/>
      <c r="I733"/>
    </row>
    <row r="734" spans="1:9" ht="14">
      <c r="A734" s="15"/>
      <c r="B734" s="15"/>
      <c r="C734" s="15"/>
      <c r="E734"/>
      <c r="H734"/>
      <c r="I734"/>
    </row>
    <row r="735" spans="1:9" ht="14">
      <c r="A735" s="15"/>
      <c r="B735" s="15"/>
      <c r="C735" s="15"/>
      <c r="E735"/>
      <c r="H735"/>
      <c r="I735"/>
    </row>
    <row r="736" spans="1:9" ht="14">
      <c r="A736" s="15"/>
      <c r="B736" s="15"/>
      <c r="C736" s="15"/>
      <c r="E736"/>
      <c r="H736"/>
      <c r="I736"/>
    </row>
    <row r="737" spans="1:9" ht="14">
      <c r="A737" s="15"/>
      <c r="B737" s="15"/>
      <c r="C737" s="15"/>
      <c r="E737"/>
      <c r="H737"/>
      <c r="I737"/>
    </row>
    <row r="738" spans="1:9" ht="14">
      <c r="A738" s="15"/>
      <c r="B738" s="15"/>
      <c r="C738" s="15"/>
      <c r="E738"/>
      <c r="H738"/>
      <c r="I738"/>
    </row>
    <row r="739" spans="1:9" ht="14">
      <c r="A739" s="15"/>
      <c r="B739" s="15"/>
      <c r="C739" s="15"/>
      <c r="E739"/>
      <c r="H739"/>
      <c r="I739"/>
    </row>
    <row r="740" spans="1:9" ht="14">
      <c r="A740" s="15"/>
      <c r="B740" s="15"/>
      <c r="C740" s="15"/>
      <c r="E740"/>
      <c r="H740"/>
      <c r="I740"/>
    </row>
    <row r="741" spans="1:9" ht="14">
      <c r="A741" s="15"/>
      <c r="B741" s="15"/>
      <c r="C741" s="15"/>
      <c r="E741"/>
      <c r="H741"/>
      <c r="I741"/>
    </row>
    <row r="742" spans="1:9" ht="14">
      <c r="A742" s="15"/>
      <c r="B742" s="15"/>
      <c r="C742" s="15"/>
      <c r="E742"/>
      <c r="H742"/>
      <c r="I742"/>
    </row>
    <row r="743" spans="1:9" ht="14">
      <c r="A743" s="15"/>
      <c r="B743" s="15"/>
      <c r="C743" s="15"/>
      <c r="E743"/>
      <c r="H743"/>
      <c r="I743"/>
    </row>
    <row r="744" spans="1:9" ht="14">
      <c r="A744" s="15"/>
      <c r="B744" s="15"/>
      <c r="C744" s="15"/>
      <c r="E744"/>
      <c r="H744"/>
      <c r="I744"/>
    </row>
    <row r="745" spans="1:9" ht="14">
      <c r="A745" s="15"/>
      <c r="B745" s="15"/>
      <c r="C745" s="15"/>
      <c r="E745"/>
      <c r="H745"/>
      <c r="I745"/>
    </row>
    <row r="746" spans="1:9" ht="14">
      <c r="A746" s="15"/>
      <c r="B746" s="15"/>
      <c r="C746" s="15"/>
      <c r="E746"/>
      <c r="H746"/>
      <c r="I746"/>
    </row>
    <row r="747" spans="1:9" ht="14">
      <c r="A747" s="15"/>
      <c r="B747" s="15"/>
      <c r="C747" s="15"/>
      <c r="E747"/>
      <c r="H747"/>
      <c r="I747"/>
    </row>
    <row r="748" spans="1:9" ht="14">
      <c r="A748" s="15"/>
      <c r="B748" s="15"/>
      <c r="C748" s="15"/>
      <c r="E748"/>
      <c r="H748"/>
      <c r="I748"/>
    </row>
    <row r="749" spans="1:9" ht="14">
      <c r="A749" s="15"/>
      <c r="B749" s="15"/>
      <c r="C749" s="15"/>
      <c r="E749"/>
      <c r="H749"/>
      <c r="I749"/>
    </row>
    <row r="750" spans="1:9" ht="14">
      <c r="A750" s="15"/>
      <c r="B750" s="15"/>
      <c r="C750" s="15"/>
      <c r="E750"/>
      <c r="H750"/>
      <c r="I750"/>
    </row>
    <row r="751" spans="1:9" ht="14">
      <c r="A751" s="15"/>
      <c r="B751" s="15"/>
      <c r="C751" s="15"/>
      <c r="E751"/>
      <c r="H751"/>
      <c r="I751"/>
    </row>
    <row r="752" spans="1:9" ht="14">
      <c r="A752" s="15"/>
      <c r="B752" s="15"/>
      <c r="C752" s="15"/>
      <c r="E752"/>
      <c r="H752"/>
      <c r="I752"/>
    </row>
    <row r="753" spans="1:9" ht="14">
      <c r="A753" s="15"/>
      <c r="B753" s="15"/>
      <c r="C753" s="15"/>
      <c r="E753"/>
      <c r="H753"/>
      <c r="I753"/>
    </row>
    <row r="754" spans="1:9" ht="14">
      <c r="A754" s="15"/>
      <c r="B754" s="15"/>
      <c r="C754" s="15"/>
      <c r="E754"/>
      <c r="H754"/>
      <c r="I754"/>
    </row>
    <row r="755" spans="1:9" ht="14">
      <c r="A755" s="15"/>
      <c r="B755" s="15"/>
      <c r="C755" s="15"/>
      <c r="E755"/>
      <c r="H755"/>
      <c r="I755"/>
    </row>
    <row r="756" spans="1:9" ht="14">
      <c r="A756" s="15"/>
      <c r="B756" s="15"/>
      <c r="C756" s="15"/>
      <c r="E756"/>
      <c r="H756"/>
      <c r="I756"/>
    </row>
    <row r="757" spans="1:9" ht="14">
      <c r="A757" s="15"/>
      <c r="B757" s="15"/>
      <c r="C757" s="15"/>
      <c r="E757"/>
      <c r="H757"/>
      <c r="I757"/>
    </row>
    <row r="758" spans="1:9" ht="14">
      <c r="A758" s="15"/>
      <c r="B758" s="15"/>
      <c r="C758" s="15"/>
      <c r="E758"/>
      <c r="H758"/>
      <c r="I758"/>
    </row>
    <row r="759" spans="1:9" ht="14">
      <c r="A759" s="15"/>
      <c r="B759" s="15"/>
      <c r="C759" s="15"/>
      <c r="E759"/>
      <c r="H759"/>
      <c r="I759"/>
    </row>
    <row r="760" spans="1:9" ht="14">
      <c r="A760" s="15"/>
      <c r="B760" s="15"/>
      <c r="C760" s="15"/>
      <c r="E760"/>
      <c r="H760"/>
      <c r="I760"/>
    </row>
    <row r="761" spans="1:9" ht="14">
      <c r="A761" s="15"/>
      <c r="B761" s="15"/>
      <c r="C761" s="15"/>
      <c r="E761"/>
      <c r="H761"/>
      <c r="I761"/>
    </row>
    <row r="762" spans="1:9" ht="14">
      <c r="A762" s="15"/>
      <c r="B762" s="15"/>
      <c r="C762" s="15"/>
      <c r="E762"/>
      <c r="H762"/>
      <c r="I762"/>
    </row>
    <row r="763" spans="1:9" ht="14">
      <c r="A763" s="15"/>
      <c r="B763" s="15"/>
      <c r="C763" s="15"/>
      <c r="E763"/>
      <c r="H763"/>
      <c r="I763"/>
    </row>
    <row r="764" spans="1:9" ht="14">
      <c r="A764" s="15"/>
      <c r="B764" s="15"/>
      <c r="C764" s="15"/>
      <c r="E764"/>
      <c r="H764"/>
      <c r="I764"/>
    </row>
    <row r="765" spans="1:9" ht="14">
      <c r="A765" s="15"/>
      <c r="B765" s="15"/>
      <c r="C765" s="15"/>
      <c r="E765"/>
      <c r="H765"/>
      <c r="I765"/>
    </row>
    <row r="766" spans="1:9" ht="14">
      <c r="A766" s="15"/>
      <c r="B766" s="15"/>
      <c r="C766" s="15"/>
      <c r="E766"/>
      <c r="H766"/>
      <c r="I766"/>
    </row>
    <row r="767" spans="1:9" ht="14">
      <c r="A767" s="15"/>
      <c r="B767" s="15"/>
      <c r="C767" s="15"/>
      <c r="E767"/>
      <c r="H767"/>
      <c r="I767"/>
    </row>
    <row r="768" spans="1:9" ht="14">
      <c r="A768" s="15"/>
      <c r="B768" s="15"/>
      <c r="C768" s="15"/>
      <c r="E768"/>
      <c r="H768"/>
      <c r="I768"/>
    </row>
    <row r="769" spans="1:9" ht="14">
      <c r="A769" s="15"/>
      <c r="B769" s="15"/>
      <c r="C769" s="15"/>
      <c r="E769"/>
      <c r="H769"/>
      <c r="I769"/>
    </row>
    <row r="770" spans="1:9" ht="14">
      <c r="A770" s="15"/>
      <c r="B770" s="15"/>
      <c r="C770" s="15"/>
      <c r="E770"/>
      <c r="H770"/>
      <c r="I770"/>
    </row>
    <row r="771" spans="1:9" ht="14">
      <c r="A771" s="15"/>
      <c r="B771" s="15"/>
      <c r="C771" s="15"/>
      <c r="E771"/>
      <c r="H771"/>
      <c r="I771"/>
    </row>
    <row r="772" spans="1:9" ht="14">
      <c r="A772" s="15"/>
      <c r="B772" s="15"/>
      <c r="C772" s="15"/>
      <c r="E772"/>
      <c r="H772"/>
      <c r="I772"/>
    </row>
    <row r="773" spans="1:9" ht="14">
      <c r="A773" s="15"/>
      <c r="B773" s="15"/>
      <c r="C773" s="15"/>
      <c r="E773"/>
      <c r="H773"/>
      <c r="I773"/>
    </row>
    <row r="774" spans="1:9" ht="14">
      <c r="A774" s="15"/>
      <c r="B774" s="15"/>
      <c r="C774" s="15"/>
      <c r="E774"/>
      <c r="H774"/>
      <c r="I774"/>
    </row>
    <row r="775" spans="1:9" ht="14">
      <c r="A775" s="15"/>
      <c r="B775" s="15"/>
      <c r="C775" s="15"/>
      <c r="E775"/>
      <c r="H775"/>
      <c r="I775"/>
    </row>
    <row r="776" spans="1:9" ht="14">
      <c r="A776" s="15"/>
      <c r="B776" s="15"/>
      <c r="C776" s="15"/>
      <c r="E776"/>
      <c r="H776"/>
      <c r="I776"/>
    </row>
    <row r="777" spans="1:9" ht="14">
      <c r="A777" s="15"/>
      <c r="B777" s="15"/>
      <c r="C777" s="15"/>
      <c r="E777"/>
      <c r="H777"/>
      <c r="I777"/>
    </row>
    <row r="778" spans="1:9" ht="14">
      <c r="A778" s="15"/>
      <c r="B778" s="15"/>
      <c r="C778" s="15"/>
      <c r="E778"/>
      <c r="H778"/>
      <c r="I778"/>
    </row>
    <row r="779" spans="1:9" ht="14">
      <c r="A779" s="15"/>
      <c r="B779" s="15"/>
      <c r="C779" s="15"/>
      <c r="E779"/>
      <c r="H779"/>
      <c r="I779"/>
    </row>
    <row r="780" spans="1:9" ht="14">
      <c r="A780" s="15"/>
      <c r="B780" s="15"/>
      <c r="C780" s="15"/>
      <c r="E780"/>
      <c r="H780"/>
      <c r="I780"/>
    </row>
    <row r="781" spans="1:9" ht="14">
      <c r="A781" s="15"/>
      <c r="B781" s="15"/>
      <c r="C781" s="15"/>
      <c r="E781"/>
      <c r="H781"/>
      <c r="I781"/>
    </row>
    <row r="782" spans="1:9" ht="14">
      <c r="A782" s="15"/>
      <c r="B782" s="15"/>
      <c r="C782" s="15"/>
      <c r="E782"/>
      <c r="H782"/>
      <c r="I782"/>
    </row>
    <row r="783" spans="1:9" ht="14">
      <c r="A783" s="15"/>
      <c r="B783" s="15"/>
      <c r="C783" s="15"/>
      <c r="E783"/>
      <c r="H783"/>
      <c r="I783"/>
    </row>
    <row r="784" spans="1:9" ht="14">
      <c r="A784" s="15"/>
      <c r="B784" s="15"/>
      <c r="C784" s="15"/>
      <c r="E784"/>
      <c r="H784"/>
      <c r="I784"/>
    </row>
    <row r="785" spans="1:9" ht="14">
      <c r="A785" s="15"/>
      <c r="B785" s="15"/>
      <c r="C785" s="15"/>
      <c r="E785"/>
      <c r="H785"/>
      <c r="I785"/>
    </row>
    <row r="786" spans="1:9" ht="14">
      <c r="A786" s="15"/>
      <c r="B786" s="15"/>
      <c r="C786" s="15"/>
      <c r="E786"/>
      <c r="H786"/>
      <c r="I786"/>
    </row>
    <row r="787" spans="1:9" ht="14">
      <c r="A787" s="15"/>
      <c r="B787" s="15"/>
      <c r="C787" s="15"/>
      <c r="E787"/>
      <c r="H787"/>
      <c r="I787"/>
    </row>
    <row r="788" spans="1:9" ht="14">
      <c r="A788" s="15"/>
      <c r="B788" s="15"/>
      <c r="C788" s="15"/>
      <c r="E788"/>
      <c r="H788"/>
      <c r="I788"/>
    </row>
    <row r="789" spans="1:9" ht="14">
      <c r="A789" s="15"/>
      <c r="B789" s="15"/>
      <c r="C789" s="15"/>
      <c r="E789"/>
      <c r="H789"/>
      <c r="I789"/>
    </row>
    <row r="790" spans="1:9" ht="14">
      <c r="A790" s="15"/>
      <c r="B790" s="15"/>
      <c r="C790" s="15"/>
      <c r="E790"/>
      <c r="H790"/>
      <c r="I790"/>
    </row>
    <row r="791" spans="1:9" ht="14">
      <c r="A791" s="15"/>
      <c r="B791" s="15"/>
      <c r="C791" s="15"/>
      <c r="E791"/>
      <c r="H791"/>
      <c r="I791"/>
    </row>
    <row r="792" spans="1:9" ht="14">
      <c r="A792" s="15"/>
      <c r="B792" s="15"/>
      <c r="C792" s="15"/>
      <c r="E792"/>
      <c r="H792"/>
      <c r="I792"/>
    </row>
    <row r="793" spans="1:9" ht="14">
      <c r="A793" s="15"/>
      <c r="B793" s="15"/>
      <c r="C793" s="15"/>
      <c r="E793"/>
      <c r="H793"/>
      <c r="I793"/>
    </row>
    <row r="794" spans="1:9" ht="14">
      <c r="A794" s="15"/>
      <c r="B794" s="15"/>
      <c r="C794" s="15"/>
      <c r="E794"/>
      <c r="H794"/>
      <c r="I794"/>
    </row>
    <row r="795" spans="1:9" ht="14">
      <c r="A795" s="15"/>
      <c r="B795" s="15"/>
      <c r="C795" s="15"/>
      <c r="E795"/>
      <c r="H795"/>
      <c r="I795"/>
    </row>
    <row r="796" spans="1:9" ht="14">
      <c r="A796" s="15"/>
      <c r="B796" s="15"/>
      <c r="C796" s="15"/>
      <c r="E796"/>
      <c r="H796"/>
      <c r="I796"/>
    </row>
    <row r="797" spans="1:9" ht="14">
      <c r="A797" s="15"/>
      <c r="B797" s="15"/>
      <c r="C797" s="15"/>
      <c r="E797"/>
      <c r="H797"/>
      <c r="I797"/>
    </row>
    <row r="798" spans="1:9" ht="14">
      <c r="A798" s="15"/>
      <c r="B798" s="15"/>
      <c r="C798" s="15"/>
      <c r="E798"/>
      <c r="H798"/>
      <c r="I798"/>
    </row>
    <row r="799" spans="1:9" ht="14">
      <c r="A799" s="15"/>
      <c r="B799" s="15"/>
      <c r="C799" s="15"/>
      <c r="E799"/>
      <c r="H799"/>
      <c r="I799"/>
    </row>
    <row r="800" spans="1:9" ht="14">
      <c r="A800" s="15"/>
      <c r="B800" s="15"/>
      <c r="C800" s="15"/>
      <c r="E800"/>
      <c r="H800"/>
      <c r="I800"/>
    </row>
    <row r="801" spans="1:9" ht="14">
      <c r="A801" s="15"/>
      <c r="B801" s="15"/>
      <c r="C801" s="15"/>
      <c r="E801"/>
      <c r="H801"/>
      <c r="I801"/>
    </row>
    <row r="802" spans="1:9" ht="14">
      <c r="A802" s="15"/>
      <c r="B802" s="15"/>
      <c r="C802" s="15"/>
      <c r="E802"/>
      <c r="H802"/>
      <c r="I802"/>
    </row>
    <row r="803" spans="1:9" ht="14">
      <c r="A803" s="15"/>
      <c r="B803" s="15"/>
      <c r="C803" s="15"/>
      <c r="E803"/>
      <c r="H803"/>
      <c r="I803"/>
    </row>
    <row r="804" spans="1:9" ht="14">
      <c r="A804" s="15"/>
      <c r="B804" s="15"/>
      <c r="C804" s="15"/>
      <c r="E804"/>
      <c r="H804"/>
      <c r="I804"/>
    </row>
    <row r="805" spans="1:9" ht="14">
      <c r="A805" s="15"/>
      <c r="B805" s="15"/>
      <c r="C805" s="15"/>
      <c r="E805"/>
      <c r="H805"/>
      <c r="I805"/>
    </row>
    <row r="806" spans="1:9" ht="14">
      <c r="A806" s="15"/>
      <c r="B806" s="15"/>
      <c r="C806" s="15"/>
      <c r="E806"/>
      <c r="H806"/>
      <c r="I806"/>
    </row>
    <row r="807" spans="1:9" ht="14">
      <c r="A807" s="15"/>
      <c r="B807" s="15"/>
      <c r="C807" s="15"/>
      <c r="E807"/>
      <c r="H807"/>
      <c r="I807"/>
    </row>
    <row r="808" spans="1:9" ht="14">
      <c r="A808" s="15"/>
      <c r="B808" s="15"/>
      <c r="C808" s="15"/>
      <c r="E808"/>
      <c r="H808"/>
      <c r="I808"/>
    </row>
    <row r="809" spans="1:9" ht="14">
      <c r="A809" s="15"/>
      <c r="B809" s="15"/>
      <c r="C809" s="15"/>
      <c r="E809"/>
      <c r="H809"/>
      <c r="I809"/>
    </row>
    <row r="810" spans="1:9" ht="14">
      <c r="A810" s="15"/>
      <c r="B810" s="15"/>
      <c r="C810" s="15"/>
      <c r="E810"/>
      <c r="H810"/>
      <c r="I810"/>
    </row>
    <row r="811" spans="1:9" ht="14">
      <c r="A811" s="15"/>
      <c r="B811" s="15"/>
      <c r="C811" s="15"/>
      <c r="E811"/>
      <c r="H811"/>
      <c r="I811"/>
    </row>
    <row r="812" spans="1:9" ht="14">
      <c r="A812" s="15"/>
      <c r="B812" s="15"/>
      <c r="C812" s="15"/>
      <c r="E812"/>
      <c r="H812"/>
      <c r="I812"/>
    </row>
    <row r="813" spans="1:9" ht="14">
      <c r="A813" s="15"/>
      <c r="B813" s="15"/>
      <c r="C813" s="15"/>
      <c r="E813"/>
      <c r="H813"/>
      <c r="I813"/>
    </row>
    <row r="814" spans="1:9" ht="14">
      <c r="A814" s="15"/>
      <c r="B814" s="15"/>
      <c r="C814" s="15"/>
      <c r="E814"/>
      <c r="H814"/>
      <c r="I814"/>
    </row>
    <row r="815" spans="1:9" ht="14">
      <c r="A815" s="15"/>
      <c r="B815" s="15"/>
      <c r="C815" s="15"/>
      <c r="E815"/>
      <c r="H815"/>
      <c r="I815"/>
    </row>
    <row r="816" spans="1:9" ht="14">
      <c r="A816" s="15"/>
      <c r="B816" s="15"/>
      <c r="C816" s="15"/>
      <c r="E816"/>
      <c r="H816"/>
      <c r="I816"/>
    </row>
    <row r="817" spans="1:9" ht="14">
      <c r="A817" s="15"/>
      <c r="B817" s="15"/>
      <c r="C817" s="15"/>
      <c r="E817"/>
      <c r="H817"/>
      <c r="I817"/>
    </row>
    <row r="818" spans="1:9" ht="14">
      <c r="A818" s="15"/>
      <c r="B818" s="15"/>
      <c r="C818" s="15"/>
      <c r="E818"/>
      <c r="H818"/>
      <c r="I818"/>
    </row>
    <row r="819" spans="1:9" ht="14">
      <c r="A819" s="15"/>
      <c r="B819" s="15"/>
      <c r="C819" s="15"/>
      <c r="E819"/>
      <c r="H819"/>
      <c r="I819"/>
    </row>
    <row r="820" spans="1:9" ht="14">
      <c r="A820" s="15"/>
      <c r="B820" s="15"/>
      <c r="C820" s="15"/>
      <c r="E820"/>
      <c r="H820"/>
      <c r="I820"/>
    </row>
    <row r="821" spans="1:9" ht="14">
      <c r="A821" s="15"/>
      <c r="B821" s="15"/>
      <c r="C821" s="15"/>
      <c r="E821"/>
      <c r="H821"/>
      <c r="I821"/>
    </row>
    <row r="822" spans="1:9" ht="14">
      <c r="A822" s="15"/>
      <c r="B822" s="15"/>
      <c r="C822" s="15"/>
      <c r="E822"/>
      <c r="H822"/>
      <c r="I822"/>
    </row>
    <row r="823" spans="1:9" ht="14">
      <c r="A823" s="15"/>
      <c r="B823" s="15"/>
      <c r="C823" s="15"/>
      <c r="E823"/>
      <c r="H823"/>
      <c r="I823"/>
    </row>
    <row r="824" spans="1:9" ht="14">
      <c r="A824" s="15"/>
      <c r="B824" s="15"/>
      <c r="C824" s="15"/>
      <c r="E824"/>
      <c r="H824"/>
      <c r="I824"/>
    </row>
    <row r="825" spans="1:9" ht="14">
      <c r="A825" s="15"/>
      <c r="B825" s="15"/>
      <c r="C825" s="15"/>
      <c r="E825"/>
      <c r="H825"/>
      <c r="I825"/>
    </row>
    <row r="826" spans="1:9" ht="14">
      <c r="A826" s="15"/>
      <c r="B826" s="15"/>
      <c r="C826" s="15"/>
      <c r="E826"/>
      <c r="H826"/>
      <c r="I826"/>
    </row>
    <row r="827" spans="1:9" ht="14">
      <c r="A827" s="15"/>
      <c r="B827" s="15"/>
      <c r="C827" s="15"/>
      <c r="E827"/>
      <c r="H827"/>
      <c r="I827"/>
    </row>
    <row r="828" spans="1:9" ht="14">
      <c r="A828" s="15"/>
      <c r="B828" s="15"/>
      <c r="C828" s="15"/>
      <c r="E828"/>
      <c r="H828"/>
      <c r="I828"/>
    </row>
    <row r="829" spans="1:9" ht="14">
      <c r="A829" s="15"/>
      <c r="B829" s="15"/>
      <c r="C829" s="15"/>
      <c r="E829"/>
      <c r="H829"/>
      <c r="I829"/>
    </row>
    <row r="830" spans="1:9" ht="14">
      <c r="A830" s="15"/>
      <c r="B830" s="15"/>
      <c r="C830" s="15"/>
      <c r="E830"/>
      <c r="H830"/>
      <c r="I830"/>
    </row>
    <row r="831" spans="1:9" ht="14">
      <c r="A831" s="15"/>
      <c r="B831" s="15"/>
      <c r="C831" s="15"/>
      <c r="E831"/>
      <c r="H831"/>
      <c r="I831"/>
    </row>
    <row r="832" spans="1:9" ht="14">
      <c r="A832" s="15"/>
      <c r="B832" s="15"/>
      <c r="C832" s="15"/>
      <c r="E832"/>
      <c r="H832"/>
      <c r="I832"/>
    </row>
    <row r="833" spans="1:9" ht="14">
      <c r="A833" s="15"/>
      <c r="B833" s="15"/>
      <c r="C833" s="15"/>
      <c r="E833"/>
      <c r="H833"/>
      <c r="I833"/>
    </row>
    <row r="834" spans="1:9" ht="14">
      <c r="A834" s="15"/>
      <c r="B834" s="15"/>
      <c r="C834" s="15"/>
      <c r="E834"/>
      <c r="H834"/>
      <c r="I834"/>
    </row>
    <row r="835" spans="1:9" ht="14">
      <c r="A835" s="15"/>
      <c r="B835" s="15"/>
      <c r="C835" s="15"/>
      <c r="E835"/>
      <c r="H835"/>
      <c r="I835"/>
    </row>
    <row r="836" spans="1:9" ht="14">
      <c r="A836" s="15"/>
      <c r="B836" s="15"/>
      <c r="C836" s="15"/>
      <c r="E836"/>
      <c r="H836"/>
      <c r="I836"/>
    </row>
    <row r="837" spans="1:9" ht="14">
      <c r="A837" s="15"/>
      <c r="B837" s="15"/>
      <c r="C837" s="15"/>
      <c r="E837"/>
      <c r="H837"/>
      <c r="I837"/>
    </row>
    <row r="838" spans="1:9" ht="14">
      <c r="A838" s="15"/>
      <c r="B838" s="15"/>
      <c r="C838" s="15"/>
      <c r="E838"/>
      <c r="H838"/>
      <c r="I838"/>
    </row>
    <row r="839" spans="1:9" ht="14">
      <c r="A839" s="15"/>
      <c r="B839" s="15"/>
      <c r="C839" s="15"/>
      <c r="E839"/>
      <c r="H839"/>
      <c r="I839"/>
    </row>
    <row r="840" spans="1:9" ht="14">
      <c r="A840" s="15"/>
      <c r="B840" s="15"/>
      <c r="C840" s="15"/>
      <c r="E840"/>
      <c r="H840"/>
      <c r="I840"/>
    </row>
    <row r="841" spans="1:9" ht="14">
      <c r="A841" s="15"/>
      <c r="B841" s="15"/>
      <c r="C841" s="15"/>
      <c r="E841"/>
      <c r="H841"/>
      <c r="I841"/>
    </row>
    <row r="842" spans="1:9" ht="14">
      <c r="A842" s="15"/>
      <c r="B842" s="15"/>
      <c r="C842" s="15"/>
      <c r="E842"/>
      <c r="H842"/>
      <c r="I842"/>
    </row>
    <row r="843" spans="1:9" ht="14">
      <c r="A843" s="15"/>
      <c r="B843" s="15"/>
      <c r="C843" s="15"/>
      <c r="E843"/>
      <c r="H843"/>
      <c r="I843"/>
    </row>
    <row r="844" spans="1:9" ht="14">
      <c r="A844" s="15"/>
      <c r="B844" s="15"/>
      <c r="C844" s="15"/>
      <c r="E844"/>
      <c r="H844"/>
      <c r="I844"/>
    </row>
    <row r="845" spans="1:9" ht="14">
      <c r="A845" s="15"/>
      <c r="B845" s="15"/>
      <c r="C845" s="15"/>
      <c r="E845"/>
      <c r="H845"/>
      <c r="I845"/>
    </row>
    <row r="846" spans="1:9" ht="14">
      <c r="A846" s="15"/>
      <c r="B846" s="15"/>
      <c r="C846" s="15"/>
      <c r="E846"/>
      <c r="H846"/>
      <c r="I846"/>
    </row>
    <row r="847" spans="1:9" ht="14">
      <c r="A847" s="15"/>
      <c r="B847" s="15"/>
      <c r="C847" s="15"/>
      <c r="E847"/>
      <c r="H847"/>
      <c r="I847"/>
    </row>
    <row r="848" spans="1:9" ht="14">
      <c r="A848" s="15"/>
      <c r="B848" s="15"/>
      <c r="C848" s="15"/>
      <c r="E848"/>
      <c r="H848"/>
      <c r="I848"/>
    </row>
    <row r="849" spans="1:9" ht="14">
      <c r="A849" s="15"/>
      <c r="B849" s="15"/>
      <c r="C849" s="15"/>
      <c r="E849"/>
      <c r="H849"/>
      <c r="I849"/>
    </row>
    <row r="850" spans="1:9" ht="14">
      <c r="A850" s="15"/>
      <c r="B850" s="15"/>
      <c r="C850" s="15"/>
      <c r="E850"/>
      <c r="H850"/>
      <c r="I850"/>
    </row>
    <row r="851" spans="1:9" ht="14">
      <c r="A851" s="15"/>
      <c r="B851" s="15"/>
      <c r="C851" s="15"/>
      <c r="E851"/>
      <c r="H851"/>
      <c r="I851"/>
    </row>
    <row r="852" spans="1:9" ht="14">
      <c r="A852" s="15"/>
      <c r="B852" s="15"/>
      <c r="C852" s="15"/>
      <c r="E852"/>
      <c r="H852"/>
      <c r="I852"/>
    </row>
    <row r="853" spans="1:9" ht="14">
      <c r="A853" s="15"/>
      <c r="B853" s="15"/>
      <c r="C853" s="15"/>
      <c r="E853"/>
      <c r="H853"/>
      <c r="I853"/>
    </row>
    <row r="854" spans="1:9" ht="14">
      <c r="A854" s="15"/>
      <c r="B854" s="15"/>
      <c r="C854" s="15"/>
      <c r="E854"/>
      <c r="H854"/>
      <c r="I854"/>
    </row>
    <row r="855" spans="1:9" ht="14">
      <c r="A855" s="15"/>
      <c r="B855" s="15"/>
      <c r="C855" s="15"/>
      <c r="E855"/>
      <c r="H855"/>
      <c r="I855"/>
    </row>
    <row r="856" spans="1:9" ht="14">
      <c r="A856" s="15"/>
      <c r="B856" s="15"/>
      <c r="C856" s="15"/>
      <c r="E856"/>
      <c r="H856"/>
      <c r="I856"/>
    </row>
    <row r="857" spans="1:9" ht="14">
      <c r="A857" s="15"/>
      <c r="B857" s="15"/>
      <c r="C857" s="15"/>
      <c r="E857"/>
      <c r="H857"/>
      <c r="I857"/>
    </row>
    <row r="858" spans="1:9" ht="14">
      <c r="A858" s="15"/>
      <c r="B858" s="15"/>
      <c r="C858" s="15"/>
      <c r="E858"/>
      <c r="H858"/>
      <c r="I858"/>
    </row>
    <row r="859" spans="1:9" ht="14">
      <c r="A859" s="15"/>
      <c r="B859" s="15"/>
      <c r="C859" s="15"/>
      <c r="E859"/>
      <c r="H859"/>
      <c r="I859"/>
    </row>
    <row r="860" spans="1:9" ht="14">
      <c r="A860" s="15"/>
      <c r="B860" s="15"/>
      <c r="C860" s="15"/>
      <c r="E860"/>
      <c r="H860"/>
      <c r="I860"/>
    </row>
    <row r="861" spans="1:9" ht="14">
      <c r="A861" s="15"/>
      <c r="B861" s="15"/>
      <c r="C861" s="15"/>
      <c r="E861"/>
      <c r="H861"/>
      <c r="I861"/>
    </row>
    <row r="862" spans="1:9" ht="14">
      <c r="A862" s="15"/>
      <c r="B862" s="15"/>
      <c r="C862" s="15"/>
      <c r="E862"/>
      <c r="H862"/>
      <c r="I862"/>
    </row>
    <row r="863" spans="1:9" ht="14">
      <c r="A863" s="15"/>
      <c r="B863" s="15"/>
      <c r="C863" s="15"/>
      <c r="E863"/>
      <c r="H863"/>
      <c r="I863"/>
    </row>
    <row r="864" spans="1:9" ht="14">
      <c r="A864" s="15"/>
      <c r="B864" s="15"/>
      <c r="C864" s="15"/>
      <c r="E864"/>
      <c r="H864"/>
      <c r="I864"/>
    </row>
    <row r="865" spans="1:9" ht="14">
      <c r="A865" s="15"/>
      <c r="B865" s="15"/>
      <c r="C865" s="15"/>
      <c r="E865"/>
      <c r="H865"/>
      <c r="I865"/>
    </row>
    <row r="866" spans="1:9" ht="14">
      <c r="A866" s="15"/>
      <c r="B866" s="15"/>
      <c r="C866" s="15"/>
      <c r="E866"/>
      <c r="H866"/>
      <c r="I866"/>
    </row>
    <row r="867" spans="1:9" ht="14">
      <c r="A867" s="15"/>
      <c r="B867" s="15"/>
      <c r="C867" s="15"/>
      <c r="E867"/>
      <c r="H867"/>
      <c r="I867"/>
    </row>
    <row r="868" spans="1:9" ht="14">
      <c r="A868" s="15"/>
      <c r="B868" s="15"/>
      <c r="C868" s="15"/>
      <c r="E868"/>
      <c r="H868"/>
      <c r="I868"/>
    </row>
    <row r="869" spans="1:9" ht="14">
      <c r="A869" s="15"/>
      <c r="B869" s="15"/>
      <c r="C869" s="15"/>
      <c r="E869"/>
      <c r="H869"/>
      <c r="I869"/>
    </row>
    <row r="870" spans="1:9" ht="14">
      <c r="A870" s="15"/>
      <c r="B870" s="15"/>
      <c r="C870" s="15"/>
      <c r="E870"/>
      <c r="H870"/>
      <c r="I870"/>
    </row>
    <row r="871" spans="1:9" ht="14">
      <c r="A871" s="15"/>
      <c r="B871" s="15"/>
      <c r="C871" s="15"/>
      <c r="E871"/>
      <c r="H871"/>
      <c r="I871"/>
    </row>
    <row r="872" spans="1:9" ht="14">
      <c r="A872" s="15"/>
      <c r="B872" s="15"/>
      <c r="C872" s="15"/>
      <c r="E872"/>
      <c r="H872"/>
      <c r="I872"/>
    </row>
    <row r="873" spans="1:9" ht="14">
      <c r="A873" s="15"/>
      <c r="B873" s="15"/>
      <c r="C873" s="15"/>
      <c r="E873"/>
      <c r="H873"/>
      <c r="I873"/>
    </row>
    <row r="874" spans="1:9" ht="14">
      <c r="A874" s="15"/>
      <c r="B874" s="15"/>
      <c r="C874" s="15"/>
      <c r="E874"/>
      <c r="H874"/>
      <c r="I874"/>
    </row>
    <row r="875" spans="1:9" ht="14">
      <c r="A875" s="15"/>
      <c r="B875" s="15"/>
      <c r="C875" s="15"/>
      <c r="E875"/>
      <c r="H875"/>
      <c r="I875"/>
    </row>
    <row r="876" spans="1:9" ht="14">
      <c r="A876" s="15"/>
      <c r="B876" s="15"/>
      <c r="C876" s="15"/>
      <c r="E876"/>
      <c r="H876"/>
      <c r="I876"/>
    </row>
    <row r="877" spans="1:9" ht="14">
      <c r="A877" s="15"/>
      <c r="B877" s="15"/>
      <c r="C877" s="15"/>
      <c r="E877"/>
      <c r="H877"/>
      <c r="I877"/>
    </row>
    <row r="878" spans="1:9" ht="14">
      <c r="A878" s="15"/>
      <c r="B878" s="15"/>
      <c r="C878" s="15"/>
      <c r="E878"/>
      <c r="H878"/>
      <c r="I878"/>
    </row>
    <row r="879" spans="1:9" ht="14">
      <c r="A879" s="15"/>
      <c r="B879" s="15"/>
      <c r="C879" s="15"/>
      <c r="E879"/>
      <c r="H879"/>
      <c r="I879"/>
    </row>
    <row r="880" spans="1:9" ht="14">
      <c r="A880" s="15"/>
      <c r="B880" s="15"/>
      <c r="C880" s="15"/>
      <c r="E880"/>
      <c r="H880"/>
      <c r="I880"/>
    </row>
    <row r="881" spans="1:9" ht="14">
      <c r="A881" s="15"/>
      <c r="B881" s="15"/>
      <c r="C881" s="15"/>
      <c r="E881"/>
      <c r="H881"/>
      <c r="I881"/>
    </row>
    <row r="882" spans="1:9" ht="14">
      <c r="A882" s="15"/>
      <c r="B882" s="15"/>
      <c r="C882" s="15"/>
      <c r="E882"/>
      <c r="H882"/>
      <c r="I882"/>
    </row>
    <row r="883" spans="1:9" ht="14">
      <c r="A883" s="15"/>
      <c r="B883" s="15"/>
      <c r="C883" s="15"/>
      <c r="E883"/>
      <c r="H883"/>
      <c r="I883"/>
    </row>
    <row r="884" spans="1:9" ht="14">
      <c r="A884" s="15"/>
      <c r="B884" s="15"/>
      <c r="C884" s="15"/>
      <c r="E884"/>
      <c r="H884"/>
      <c r="I884"/>
    </row>
    <row r="885" spans="1:9" ht="14">
      <c r="A885" s="15"/>
      <c r="B885" s="15"/>
      <c r="C885" s="15"/>
      <c r="E885"/>
      <c r="H885"/>
      <c r="I885"/>
    </row>
    <row r="886" spans="1:9" ht="14">
      <c r="A886" s="15"/>
      <c r="B886" s="15"/>
      <c r="C886" s="15"/>
      <c r="E886"/>
      <c r="H886"/>
      <c r="I886"/>
    </row>
    <row r="887" spans="1:9" ht="14">
      <c r="A887" s="15"/>
      <c r="B887" s="15"/>
      <c r="C887" s="15"/>
      <c r="E887"/>
      <c r="H887"/>
      <c r="I887"/>
    </row>
    <row r="888" spans="1:9" ht="14">
      <c r="A888" s="15"/>
      <c r="B888" s="15"/>
      <c r="C888" s="15"/>
      <c r="E888"/>
      <c r="H888"/>
      <c r="I888"/>
    </row>
    <row r="889" spans="1:9" ht="14">
      <c r="A889" s="15"/>
      <c r="B889" s="15"/>
      <c r="C889" s="15"/>
      <c r="E889"/>
      <c r="H889"/>
      <c r="I889"/>
    </row>
    <row r="890" spans="1:9" ht="14">
      <c r="A890" s="15"/>
      <c r="B890" s="15"/>
      <c r="C890" s="15"/>
      <c r="E890"/>
      <c r="H890"/>
      <c r="I890"/>
    </row>
    <row r="891" spans="1:9" ht="14">
      <c r="A891" s="15"/>
      <c r="B891" s="15"/>
      <c r="C891" s="15"/>
      <c r="E891"/>
      <c r="H891"/>
      <c r="I891"/>
    </row>
    <row r="892" spans="1:9" ht="14">
      <c r="A892" s="15"/>
      <c r="B892" s="15"/>
      <c r="C892" s="15"/>
      <c r="E892"/>
      <c r="H892"/>
      <c r="I892"/>
    </row>
    <row r="893" spans="1:9" ht="14">
      <c r="A893" s="15"/>
      <c r="B893" s="15"/>
      <c r="C893" s="15"/>
      <c r="E893"/>
      <c r="H893"/>
      <c r="I893"/>
    </row>
    <row r="894" spans="1:9" ht="14">
      <c r="A894" s="15"/>
      <c r="B894" s="15"/>
      <c r="C894" s="15"/>
      <c r="E894"/>
      <c r="H894"/>
      <c r="I894"/>
    </row>
    <row r="895" spans="1:9" ht="14">
      <c r="A895" s="15"/>
      <c r="B895" s="15"/>
      <c r="C895" s="15"/>
      <c r="E895"/>
      <c r="H895"/>
      <c r="I895"/>
    </row>
    <row r="896" spans="1:9" ht="14">
      <c r="A896" s="15"/>
      <c r="B896" s="15"/>
      <c r="C896" s="15"/>
      <c r="E896"/>
      <c r="H896"/>
      <c r="I896"/>
    </row>
    <row r="897" spans="1:9" ht="14">
      <c r="A897" s="15"/>
      <c r="B897" s="15"/>
      <c r="C897" s="15"/>
      <c r="E897"/>
      <c r="H897"/>
      <c r="I897"/>
    </row>
    <row r="898" spans="1:9" ht="14">
      <c r="A898" s="15"/>
      <c r="B898" s="15"/>
      <c r="C898" s="15"/>
      <c r="E898"/>
      <c r="H898"/>
      <c r="I898"/>
    </row>
    <row r="899" spans="1:9" ht="14">
      <c r="A899" s="15"/>
      <c r="B899" s="15"/>
      <c r="C899" s="15"/>
      <c r="E899"/>
      <c r="H899"/>
      <c r="I899"/>
    </row>
    <row r="900" spans="1:9" ht="14">
      <c r="A900" s="15"/>
      <c r="B900" s="15"/>
      <c r="C900" s="15"/>
      <c r="E900"/>
      <c r="H900"/>
      <c r="I900"/>
    </row>
    <row r="901" spans="1:9" ht="14">
      <c r="A901" s="15"/>
      <c r="B901" s="15"/>
      <c r="C901" s="15"/>
      <c r="E901"/>
      <c r="H901"/>
      <c r="I901"/>
    </row>
    <row r="902" spans="1:9" ht="14">
      <c r="A902" s="15"/>
      <c r="B902" s="15"/>
      <c r="C902" s="15"/>
      <c r="E902"/>
      <c r="H902"/>
      <c r="I902"/>
    </row>
    <row r="903" spans="1:9" ht="14">
      <c r="A903" s="15"/>
      <c r="B903" s="15"/>
      <c r="C903" s="15"/>
      <c r="E903"/>
      <c r="H903"/>
      <c r="I903"/>
    </row>
    <row r="904" spans="1:9" ht="14">
      <c r="A904" s="15"/>
      <c r="B904" s="15"/>
      <c r="C904" s="15"/>
      <c r="E904"/>
      <c r="H904"/>
      <c r="I904"/>
    </row>
    <row r="905" spans="1:9" ht="14">
      <c r="A905" s="15"/>
      <c r="B905" s="15"/>
      <c r="C905" s="15"/>
      <c r="E905"/>
      <c r="H905"/>
      <c r="I905"/>
    </row>
    <row r="906" spans="1:9" ht="14">
      <c r="A906" s="15"/>
      <c r="B906" s="15"/>
      <c r="C906" s="15"/>
      <c r="E906"/>
      <c r="H906"/>
      <c r="I906"/>
    </row>
    <row r="907" spans="1:9" ht="14">
      <c r="A907" s="15"/>
      <c r="B907" s="15"/>
      <c r="C907" s="15"/>
      <c r="E907"/>
      <c r="H907"/>
      <c r="I907"/>
    </row>
    <row r="908" spans="1:9" ht="14">
      <c r="A908" s="15"/>
      <c r="B908" s="15"/>
      <c r="C908" s="15"/>
      <c r="E908"/>
      <c r="H908"/>
      <c r="I908"/>
    </row>
    <row r="909" spans="1:9" ht="14">
      <c r="A909" s="15"/>
      <c r="B909" s="15"/>
      <c r="C909" s="15"/>
      <c r="E909"/>
      <c r="H909"/>
      <c r="I909"/>
    </row>
    <row r="910" spans="1:9" ht="14">
      <c r="A910" s="15"/>
      <c r="B910" s="15"/>
      <c r="C910" s="15"/>
      <c r="E910"/>
      <c r="H910"/>
      <c r="I910"/>
    </row>
    <row r="911" spans="1:9" ht="14">
      <c r="A911" s="15"/>
      <c r="B911" s="15"/>
      <c r="C911" s="15"/>
      <c r="E911"/>
      <c r="H911"/>
      <c r="I911"/>
    </row>
    <row r="912" spans="1:9" ht="14">
      <c r="A912" s="15"/>
      <c r="B912" s="15"/>
      <c r="C912" s="15"/>
      <c r="E912"/>
      <c r="H912"/>
      <c r="I912"/>
    </row>
    <row r="913" spans="1:9" ht="14">
      <c r="A913" s="15"/>
      <c r="B913" s="15"/>
      <c r="C913" s="15"/>
      <c r="E913"/>
      <c r="H913"/>
      <c r="I913"/>
    </row>
    <row r="914" spans="1:9" ht="14">
      <c r="A914" s="15"/>
      <c r="B914" s="15"/>
      <c r="C914" s="15"/>
      <c r="E914"/>
      <c r="H914"/>
      <c r="I914"/>
    </row>
    <row r="915" spans="1:9" ht="14">
      <c r="A915" s="15"/>
      <c r="B915" s="15"/>
      <c r="C915" s="15"/>
      <c r="E915"/>
      <c r="H915"/>
      <c r="I915"/>
    </row>
    <row r="916" spans="1:9" ht="14">
      <c r="A916" s="15"/>
      <c r="B916" s="15"/>
      <c r="C916" s="15"/>
      <c r="E916"/>
      <c r="H916"/>
      <c r="I916"/>
    </row>
    <row r="917" spans="1:9" ht="14">
      <c r="A917" s="15"/>
      <c r="B917" s="15"/>
      <c r="C917" s="15"/>
      <c r="E917"/>
      <c r="H917"/>
      <c r="I917"/>
    </row>
    <row r="918" spans="1:9" ht="14">
      <c r="A918" s="15"/>
      <c r="B918" s="15"/>
      <c r="C918" s="15"/>
      <c r="E918"/>
      <c r="H918"/>
      <c r="I918"/>
    </row>
    <row r="919" spans="1:9" ht="14">
      <c r="A919" s="15"/>
      <c r="B919" s="15"/>
      <c r="C919" s="15"/>
      <c r="E919"/>
      <c r="H919"/>
      <c r="I919"/>
    </row>
    <row r="920" spans="1:9" ht="14">
      <c r="A920" s="15"/>
      <c r="B920" s="15"/>
      <c r="C920" s="15"/>
      <c r="E920"/>
      <c r="H920"/>
      <c r="I920"/>
    </row>
    <row r="921" spans="1:9" ht="14">
      <c r="A921" s="15"/>
      <c r="B921" s="15"/>
      <c r="C921" s="15"/>
      <c r="E921"/>
      <c r="H921"/>
      <c r="I921"/>
    </row>
    <row r="922" spans="1:9" ht="14">
      <c r="A922" s="15"/>
      <c r="B922" s="15"/>
      <c r="C922" s="15"/>
      <c r="E922"/>
      <c r="H922"/>
      <c r="I922"/>
    </row>
    <row r="923" spans="1:9" ht="14">
      <c r="A923" s="15"/>
      <c r="B923" s="15"/>
      <c r="C923" s="15"/>
      <c r="E923"/>
      <c r="H923"/>
      <c r="I923"/>
    </row>
    <row r="924" spans="1:9" ht="14">
      <c r="A924" s="15"/>
      <c r="B924" s="15"/>
      <c r="C924" s="15"/>
      <c r="E924"/>
      <c r="H924"/>
      <c r="I924"/>
    </row>
    <row r="925" spans="1:9" ht="14">
      <c r="A925" s="15"/>
      <c r="B925" s="15"/>
      <c r="C925" s="15"/>
      <c r="E925"/>
      <c r="H925"/>
      <c r="I925"/>
    </row>
    <row r="926" spans="1:9" ht="14">
      <c r="A926" s="15"/>
      <c r="B926" s="15"/>
      <c r="C926" s="15"/>
      <c r="E926"/>
      <c r="H926"/>
      <c r="I926"/>
    </row>
    <row r="927" spans="1:9" ht="14">
      <c r="A927" s="15"/>
      <c r="B927" s="15"/>
      <c r="C927" s="15"/>
      <c r="E927"/>
      <c r="H927"/>
      <c r="I927"/>
    </row>
    <row r="928" spans="1:9" ht="14">
      <c r="A928" s="15"/>
      <c r="B928" s="15"/>
      <c r="C928" s="15"/>
      <c r="E928"/>
      <c r="H928"/>
      <c r="I928"/>
    </row>
    <row r="929" spans="1:9" ht="14">
      <c r="A929" s="15"/>
      <c r="B929" s="15"/>
      <c r="C929" s="15"/>
      <c r="E929"/>
      <c r="H929"/>
      <c r="I929"/>
    </row>
    <row r="930" spans="1:9" ht="14">
      <c r="A930" s="15"/>
      <c r="B930" s="15"/>
      <c r="C930" s="15"/>
      <c r="E930"/>
      <c r="H930"/>
      <c r="I930"/>
    </row>
    <row r="931" spans="1:9" ht="14">
      <c r="A931" s="15"/>
      <c r="B931" s="15"/>
      <c r="C931" s="15"/>
      <c r="E931"/>
      <c r="H931"/>
      <c r="I931"/>
    </row>
    <row r="932" spans="1:9" ht="14">
      <c r="A932" s="15"/>
      <c r="B932" s="15"/>
      <c r="C932" s="15"/>
      <c r="E932"/>
      <c r="H932"/>
      <c r="I932"/>
    </row>
    <row r="933" spans="1:9" ht="14">
      <c r="A933" s="15"/>
      <c r="B933" s="15"/>
      <c r="C933" s="15"/>
      <c r="E933"/>
      <c r="H933"/>
      <c r="I933"/>
    </row>
    <row r="934" spans="1:9" ht="14">
      <c r="A934" s="15"/>
      <c r="B934" s="15"/>
      <c r="C934" s="15"/>
      <c r="E934"/>
      <c r="H934"/>
      <c r="I934"/>
    </row>
    <row r="935" spans="1:9" ht="14">
      <c r="A935" s="15"/>
      <c r="B935" s="15"/>
      <c r="C935" s="15"/>
      <c r="E935"/>
      <c r="H935"/>
      <c r="I935"/>
    </row>
    <row r="936" spans="1:9" ht="14">
      <c r="A936" s="15"/>
      <c r="B936" s="15"/>
      <c r="C936" s="15"/>
      <c r="E936"/>
      <c r="H936"/>
      <c r="I936"/>
    </row>
    <row r="937" spans="1:9" ht="14">
      <c r="A937" s="15"/>
      <c r="B937" s="15"/>
      <c r="C937" s="15"/>
      <c r="E937"/>
      <c r="H937"/>
      <c r="I937"/>
    </row>
    <row r="938" spans="1:9" ht="14">
      <c r="A938" s="15"/>
      <c r="B938" s="15"/>
      <c r="C938" s="15"/>
      <c r="E938"/>
      <c r="H938"/>
      <c r="I938"/>
    </row>
    <row r="939" spans="1:9" ht="14">
      <c r="A939" s="15"/>
      <c r="B939" s="15"/>
      <c r="C939" s="15"/>
      <c r="E939"/>
      <c r="H939"/>
      <c r="I939"/>
    </row>
    <row r="940" spans="1:9" ht="14">
      <c r="A940" s="15"/>
      <c r="B940" s="15"/>
      <c r="C940" s="15"/>
      <c r="E940"/>
      <c r="H940"/>
      <c r="I940"/>
    </row>
    <row r="941" spans="1:9" ht="14">
      <c r="A941" s="15"/>
      <c r="B941" s="15"/>
      <c r="C941" s="15"/>
      <c r="E941"/>
      <c r="H941"/>
      <c r="I941"/>
    </row>
    <row r="942" spans="1:9" ht="14">
      <c r="A942" s="15"/>
      <c r="B942" s="15"/>
      <c r="C942" s="15"/>
      <c r="E942"/>
      <c r="H942"/>
      <c r="I942"/>
    </row>
    <row r="943" spans="1:9" ht="14">
      <c r="A943" s="15"/>
      <c r="B943" s="15"/>
      <c r="C943" s="15"/>
      <c r="E943"/>
      <c r="H943"/>
      <c r="I943"/>
    </row>
    <row r="944" spans="1:9" ht="14">
      <c r="A944" s="15"/>
      <c r="B944" s="15"/>
      <c r="C944" s="15"/>
      <c r="E944"/>
      <c r="H944"/>
      <c r="I944"/>
    </row>
    <row r="945" spans="1:9" ht="14">
      <c r="A945" s="15"/>
      <c r="B945" s="15"/>
      <c r="C945" s="15"/>
      <c r="E945"/>
      <c r="H945"/>
      <c r="I945"/>
    </row>
    <row r="946" spans="1:9" ht="14">
      <c r="A946" s="15"/>
      <c r="B946" s="15"/>
      <c r="C946" s="15"/>
      <c r="E946"/>
      <c r="H946"/>
      <c r="I946"/>
    </row>
    <row r="947" spans="1:9" ht="14">
      <c r="A947" s="15"/>
      <c r="B947" s="15"/>
      <c r="C947" s="15"/>
      <c r="E947"/>
      <c r="H947"/>
      <c r="I947"/>
    </row>
    <row r="948" spans="1:9" ht="14">
      <c r="A948" s="15"/>
      <c r="B948" s="15"/>
      <c r="C948" s="15"/>
      <c r="E948"/>
      <c r="H948"/>
      <c r="I948"/>
    </row>
    <row r="949" spans="1:9" ht="14">
      <c r="A949" s="15"/>
      <c r="B949" s="15"/>
      <c r="C949" s="15"/>
      <c r="E949"/>
      <c r="H949"/>
      <c r="I949"/>
    </row>
    <row r="950" spans="1:9" ht="14">
      <c r="A950" s="15"/>
      <c r="B950" s="15"/>
      <c r="C950" s="15"/>
      <c r="E950"/>
      <c r="H950"/>
      <c r="I950"/>
    </row>
    <row r="951" spans="1:9" ht="14">
      <c r="A951" s="15"/>
      <c r="B951" s="15"/>
      <c r="C951" s="15"/>
      <c r="E951"/>
      <c r="H951"/>
      <c r="I951"/>
    </row>
    <row r="952" spans="1:9" ht="14">
      <c r="A952" s="15"/>
      <c r="B952" s="15"/>
      <c r="C952" s="15"/>
      <c r="E952"/>
      <c r="H952"/>
      <c r="I952"/>
    </row>
    <row r="953" spans="1:9" ht="14">
      <c r="A953" s="15"/>
      <c r="B953" s="15"/>
      <c r="C953" s="15"/>
      <c r="E953"/>
      <c r="H953"/>
      <c r="I953"/>
    </row>
    <row r="954" spans="1:9" ht="14">
      <c r="A954" s="15"/>
      <c r="B954" s="15"/>
      <c r="C954" s="15"/>
      <c r="E954"/>
      <c r="H954"/>
      <c r="I954"/>
    </row>
    <row r="955" spans="1:9" ht="14">
      <c r="A955" s="15"/>
      <c r="B955" s="15"/>
      <c r="C955" s="15"/>
      <c r="E955"/>
      <c r="H955"/>
      <c r="I955"/>
    </row>
    <row r="956" spans="1:9" ht="14">
      <c r="A956" s="15"/>
      <c r="B956" s="15"/>
      <c r="C956" s="15"/>
      <c r="E956"/>
      <c r="H956"/>
      <c r="I956"/>
    </row>
    <row r="957" spans="1:9" ht="14">
      <c r="A957" s="15"/>
      <c r="B957" s="15"/>
      <c r="C957" s="15"/>
      <c r="E957"/>
      <c r="H957"/>
      <c r="I957"/>
    </row>
    <row r="958" spans="1:9" ht="14">
      <c r="A958" s="15"/>
      <c r="B958" s="15"/>
      <c r="C958" s="15"/>
      <c r="E958"/>
      <c r="H958"/>
      <c r="I958"/>
    </row>
    <row r="959" spans="1:9" ht="14">
      <c r="A959" s="15"/>
      <c r="B959" s="15"/>
      <c r="C959" s="15"/>
      <c r="E959"/>
      <c r="H959"/>
      <c r="I959"/>
    </row>
    <row r="960" spans="1:9" ht="14">
      <c r="A960" s="15"/>
      <c r="B960" s="15"/>
      <c r="C960" s="15"/>
      <c r="E960"/>
      <c r="H960"/>
      <c r="I960"/>
    </row>
    <row r="961" spans="1:9" ht="14">
      <c r="A961" s="15"/>
      <c r="B961" s="15"/>
      <c r="C961" s="15"/>
      <c r="E961"/>
      <c r="H961"/>
      <c r="I961"/>
    </row>
    <row r="962" spans="1:9" ht="14">
      <c r="A962" s="15"/>
      <c r="B962" s="15"/>
      <c r="C962" s="15"/>
      <c r="E962"/>
      <c r="H962"/>
      <c r="I962"/>
    </row>
    <row r="963" spans="1:9" ht="14">
      <c r="A963" s="15"/>
      <c r="B963" s="15"/>
      <c r="C963" s="15"/>
      <c r="E963"/>
      <c r="H963"/>
      <c r="I963"/>
    </row>
    <row r="964" spans="1:9" ht="14">
      <c r="A964" s="15"/>
      <c r="B964" s="15"/>
      <c r="C964" s="15"/>
      <c r="E964"/>
      <c r="H964"/>
      <c r="I964"/>
    </row>
    <row r="965" spans="1:9" ht="14">
      <c r="A965" s="15"/>
      <c r="B965" s="15"/>
      <c r="C965" s="15"/>
      <c r="E965"/>
      <c r="H965"/>
      <c r="I965"/>
    </row>
    <row r="966" spans="1:9" ht="14">
      <c r="A966" s="15"/>
      <c r="B966" s="15"/>
      <c r="C966" s="15"/>
      <c r="E966"/>
      <c r="H966"/>
      <c r="I966"/>
    </row>
    <row r="967" spans="1:9" ht="14">
      <c r="A967" s="15"/>
      <c r="B967" s="15"/>
      <c r="C967" s="15"/>
      <c r="E967"/>
      <c r="H967"/>
      <c r="I967"/>
    </row>
    <row r="968" spans="1:9" ht="14">
      <c r="A968" s="15"/>
      <c r="B968" s="15"/>
      <c r="C968" s="15"/>
      <c r="E968"/>
      <c r="H968"/>
      <c r="I968"/>
    </row>
    <row r="969" spans="1:9" ht="14">
      <c r="A969" s="15"/>
      <c r="B969" s="15"/>
      <c r="C969" s="15"/>
      <c r="E969"/>
      <c r="H969"/>
      <c r="I969"/>
    </row>
    <row r="970" spans="1:9" ht="14">
      <c r="A970" s="15"/>
      <c r="B970" s="15"/>
      <c r="C970" s="15"/>
      <c r="E970"/>
      <c r="H970"/>
      <c r="I970"/>
    </row>
    <row r="971" spans="1:9" ht="14">
      <c r="A971" s="15"/>
      <c r="B971" s="15"/>
      <c r="C971" s="15"/>
      <c r="E971"/>
      <c r="H971"/>
      <c r="I971"/>
    </row>
    <row r="972" spans="1:9" ht="14">
      <c r="A972" s="15"/>
      <c r="B972" s="15"/>
      <c r="C972" s="15"/>
      <c r="E972"/>
      <c r="H972"/>
      <c r="I972"/>
    </row>
    <row r="973" spans="1:9" ht="14">
      <c r="A973" s="15"/>
      <c r="B973" s="15"/>
      <c r="C973" s="15"/>
      <c r="E973"/>
      <c r="H973"/>
      <c r="I973"/>
    </row>
    <row r="974" spans="1:9" ht="14">
      <c r="A974" s="15"/>
      <c r="B974" s="15"/>
      <c r="C974" s="15"/>
      <c r="E974"/>
      <c r="H974"/>
      <c r="I974"/>
    </row>
    <row r="975" spans="1:9" ht="14">
      <c r="A975" s="15"/>
      <c r="B975" s="15"/>
      <c r="C975" s="15"/>
      <c r="E975"/>
      <c r="H975"/>
      <c r="I975"/>
    </row>
    <row r="976" spans="1:9" ht="14">
      <c r="A976" s="15"/>
      <c r="B976" s="15"/>
      <c r="C976" s="15"/>
      <c r="E976"/>
      <c r="H976"/>
      <c r="I976"/>
    </row>
    <row r="977" spans="1:9" ht="14">
      <c r="A977" s="15"/>
      <c r="B977" s="15"/>
      <c r="C977" s="15"/>
      <c r="E977"/>
      <c r="H977"/>
      <c r="I977"/>
    </row>
    <row r="978" spans="1:9" ht="14">
      <c r="A978" s="15"/>
      <c r="B978" s="15"/>
      <c r="C978" s="15"/>
      <c r="E978"/>
      <c r="H978"/>
      <c r="I978"/>
    </row>
    <row r="979" spans="1:9" ht="14">
      <c r="A979" s="15"/>
      <c r="B979" s="15"/>
      <c r="C979" s="15"/>
      <c r="E979"/>
      <c r="H979"/>
      <c r="I979"/>
    </row>
    <row r="980" spans="1:9" ht="14">
      <c r="A980" s="15"/>
      <c r="B980" s="15"/>
      <c r="C980" s="15"/>
      <c r="E980"/>
      <c r="H980"/>
      <c r="I980"/>
    </row>
    <row r="981" spans="1:9" ht="14">
      <c r="A981" s="15"/>
      <c r="B981" s="15"/>
      <c r="C981" s="15"/>
      <c r="E981"/>
      <c r="H981"/>
      <c r="I981"/>
    </row>
    <row r="982" spans="1:9" ht="14">
      <c r="A982" s="15"/>
      <c r="B982" s="15"/>
      <c r="C982" s="15"/>
      <c r="E982"/>
      <c r="H982"/>
      <c r="I982"/>
    </row>
    <row r="983" spans="1:9" ht="14">
      <c r="A983" s="15"/>
      <c r="B983" s="15"/>
      <c r="C983" s="15"/>
      <c r="E983"/>
      <c r="H983"/>
      <c r="I983"/>
    </row>
    <row r="984" spans="1:9" ht="14">
      <c r="A984" s="15"/>
      <c r="B984" s="15"/>
      <c r="C984" s="15"/>
      <c r="E984"/>
      <c r="H984"/>
      <c r="I984"/>
    </row>
    <row r="985" spans="1:9" ht="14">
      <c r="A985" s="15"/>
      <c r="B985" s="15"/>
      <c r="C985" s="15"/>
      <c r="E985"/>
      <c r="H985"/>
      <c r="I985"/>
    </row>
    <row r="986" spans="1:9" ht="14">
      <c r="A986" s="15"/>
      <c r="B986" s="15"/>
      <c r="C986" s="15"/>
      <c r="E986"/>
      <c r="H986"/>
      <c r="I986"/>
    </row>
    <row r="987" spans="1:9" ht="14">
      <c r="A987" s="15"/>
      <c r="B987" s="15"/>
      <c r="C987" s="15"/>
      <c r="E987"/>
      <c r="H987"/>
      <c r="I987"/>
    </row>
    <row r="988" spans="1:9" ht="14">
      <c r="A988" s="15"/>
      <c r="B988" s="15"/>
      <c r="C988" s="15"/>
      <c r="E988"/>
      <c r="H988"/>
      <c r="I988"/>
    </row>
    <row r="989" spans="1:9" ht="14">
      <c r="A989" s="15"/>
      <c r="B989" s="15"/>
      <c r="C989" s="15"/>
      <c r="E989"/>
      <c r="H989"/>
      <c r="I989"/>
    </row>
    <row r="990" spans="1:9" ht="14">
      <c r="A990" s="15"/>
      <c r="B990" s="15"/>
      <c r="C990" s="15"/>
      <c r="E990"/>
      <c r="H990"/>
      <c r="I990"/>
    </row>
    <row r="991" spans="1:9" ht="14">
      <c r="A991" s="15"/>
      <c r="B991" s="15"/>
      <c r="C991" s="15"/>
      <c r="E991"/>
      <c r="H991"/>
      <c r="I991"/>
    </row>
    <row r="992" spans="1:9" ht="14">
      <c r="A992" s="15"/>
      <c r="B992" s="15"/>
      <c r="C992" s="15"/>
      <c r="E992"/>
      <c r="H992"/>
      <c r="I992"/>
    </row>
    <row r="993" spans="1:9" ht="14">
      <c r="A993" s="15"/>
      <c r="B993" s="15"/>
      <c r="C993" s="15"/>
      <c r="E993"/>
      <c r="H993"/>
      <c r="I993"/>
    </row>
    <row r="994" spans="1:9" ht="14">
      <c r="A994" s="15"/>
      <c r="B994" s="15"/>
      <c r="C994" s="15"/>
      <c r="E994"/>
      <c r="H994"/>
      <c r="I994"/>
    </row>
    <row r="995" spans="1:9" ht="14">
      <c r="A995" s="15"/>
      <c r="B995" s="15"/>
      <c r="C995" s="15"/>
      <c r="E995"/>
      <c r="H995"/>
      <c r="I995"/>
    </row>
    <row r="996" spans="1:9" ht="14">
      <c r="A996" s="15"/>
      <c r="B996" s="15"/>
      <c r="C996" s="15"/>
      <c r="E996"/>
      <c r="H996"/>
      <c r="I996"/>
    </row>
    <row r="997" spans="1:9" ht="14">
      <c r="A997" s="15"/>
      <c r="B997" s="15"/>
      <c r="C997" s="15"/>
      <c r="E997"/>
      <c r="H997"/>
      <c r="I997"/>
    </row>
    <row r="998" spans="1:9" ht="15.75" customHeight="1">
      <c r="E998"/>
      <c r="H998"/>
      <c r="I998"/>
    </row>
    <row r="999" spans="1:9" ht="15.75" customHeight="1">
      <c r="E999"/>
      <c r="H999"/>
      <c r="I999"/>
    </row>
    <row r="1000" spans="1:9" ht="15.75" customHeight="1">
      <c r="E1000"/>
      <c r="H1000"/>
      <c r="I1000"/>
    </row>
    <row r="1001" spans="1:9" ht="15.75" customHeight="1">
      <c r="E1001"/>
      <c r="H1001"/>
      <c r="I1001"/>
    </row>
    <row r="1002" spans="1:9" ht="15.75" customHeight="1">
      <c r="E1002"/>
      <c r="H1002"/>
      <c r="I1002"/>
    </row>
    <row r="1003" spans="1:9" ht="15.75" customHeight="1">
      <c r="E1003"/>
      <c r="H1003"/>
      <c r="I1003"/>
    </row>
    <row r="1004" spans="1:9" ht="15.75" customHeight="1">
      <c r="E1004"/>
      <c r="H1004"/>
      <c r="I1004"/>
    </row>
    <row r="1005" spans="1:9" ht="15.75" customHeight="1">
      <c r="E1005"/>
      <c r="H1005"/>
      <c r="I1005"/>
    </row>
    <row r="1006" spans="1:9" ht="15.75" customHeight="1">
      <c r="E1006"/>
      <c r="H1006"/>
      <c r="I1006"/>
    </row>
    <row r="1007" spans="1:9" ht="15.75" customHeight="1">
      <c r="E1007"/>
      <c r="H1007"/>
      <c r="I1007"/>
    </row>
    <row r="1008" spans="1:9" ht="15.75" customHeight="1">
      <c r="E1008"/>
      <c r="H1008"/>
      <c r="I1008"/>
    </row>
    <row r="1009" customFormat="1" ht="15.75" customHeight="1"/>
    <row r="1010" customFormat="1" ht="15.75" customHeight="1"/>
    <row r="1011" customFormat="1" ht="15.75" customHeight="1"/>
    <row r="1012" customFormat="1" ht="15.75" customHeight="1"/>
    <row r="1013" customFormat="1" ht="15.75" customHeight="1"/>
    <row r="1014" customFormat="1" ht="15.75" customHeight="1"/>
    <row r="1015" customFormat="1" ht="15.75" customHeight="1"/>
    <row r="1016" customFormat="1" ht="15.75" customHeight="1"/>
    <row r="1017" customFormat="1" ht="15.75" customHeight="1"/>
    <row r="1018" customFormat="1" ht="15.75" customHeight="1"/>
    <row r="1019" customFormat="1" ht="15.75" customHeight="1"/>
    <row r="1020" customFormat="1" ht="15.75" customHeight="1"/>
    <row r="1021" customFormat="1" ht="15.75" customHeight="1"/>
    <row r="1022" customFormat="1" ht="15.75" customHeight="1"/>
    <row r="1023" customFormat="1" ht="15.75" customHeight="1"/>
    <row r="1024" customFormat="1" ht="15.75" customHeight="1"/>
    <row r="1025" spans="5:9" ht="15.75" customHeight="1">
      <c r="E1025"/>
      <c r="H1025"/>
      <c r="I1025"/>
    </row>
    <row r="1026" spans="5:9" ht="15.75" customHeight="1">
      <c r="E1026"/>
      <c r="H1026"/>
      <c r="I1026"/>
    </row>
    <row r="1027" spans="5:9" ht="15.75" customHeight="1">
      <c r="E1027"/>
      <c r="H1027"/>
      <c r="I1027"/>
    </row>
    <row r="1028" spans="5:9" ht="15.75" customHeight="1">
      <c r="E1028"/>
      <c r="H1028"/>
      <c r="I1028"/>
    </row>
    <row r="1029" spans="5:9" ht="15.75" customHeight="1">
      <c r="E1029"/>
      <c r="H1029"/>
      <c r="I1029"/>
    </row>
    <row r="1030" spans="5:9" ht="15.75" customHeight="1">
      <c r="E1030"/>
      <c r="H1030"/>
      <c r="I1030"/>
    </row>
    <row r="1031" spans="5:9" ht="15.75" customHeight="1">
      <c r="E1031"/>
      <c r="H1031"/>
      <c r="I1031"/>
    </row>
    <row r="1032" spans="5:9" ht="15.75" customHeight="1">
      <c r="E1032"/>
      <c r="H1032"/>
      <c r="I1032"/>
    </row>
    <row r="1033" spans="5:9" ht="15.75" customHeight="1">
      <c r="E1033"/>
      <c r="H1033"/>
      <c r="I1033"/>
    </row>
    <row r="1034" spans="5:9" ht="15.75" customHeight="1">
      <c r="E1034"/>
      <c r="H1034"/>
      <c r="I1034"/>
    </row>
    <row r="1035" spans="5:9" ht="15.75" customHeight="1">
      <c r="E1035"/>
      <c r="H1035"/>
      <c r="I1035"/>
    </row>
    <row r="1036" spans="5:9" ht="15.75" customHeight="1">
      <c r="E1036"/>
      <c r="H1036"/>
      <c r="I1036"/>
    </row>
    <row r="1037" spans="5:9" ht="15.75" customHeight="1">
      <c r="E1037"/>
    </row>
    <row r="1038" spans="5:9" ht="15.75" customHeight="1">
      <c r="E1038"/>
    </row>
    <row r="1039" spans="5:9" ht="15.75" customHeight="1">
      <c r="E1039"/>
    </row>
    <row r="1040" spans="5:9" ht="15.75" customHeight="1">
      <c r="E1040"/>
    </row>
    <row r="1041" spans="5:5" ht="15.75" customHeight="1">
      <c r="E1041"/>
    </row>
    <row r="1042" spans="5:5" ht="15.75" customHeight="1">
      <c r="E1042"/>
    </row>
    <row r="1043" spans="5:5" ht="15.75" customHeight="1">
      <c r="E1043"/>
    </row>
    <row r="1044" spans="5:5" ht="15.75" customHeight="1">
      <c r="E1044"/>
    </row>
    <row r="1045" spans="5:5" ht="15.75" customHeight="1">
      <c r="E1045"/>
    </row>
    <row r="1046" spans="5:5" ht="15.75" customHeight="1">
      <c r="E1046"/>
    </row>
    <row r="1047" spans="5:5" ht="15.75" customHeight="1">
      <c r="E1047"/>
    </row>
    <row r="1048" spans="5:5" ht="15.75" customHeight="1">
      <c r="E1048"/>
    </row>
    <row r="1049" spans="5:5" ht="15.75" customHeight="1">
      <c r="E1049"/>
    </row>
    <row r="1050" spans="5:5" ht="15.75" customHeight="1">
      <c r="E1050"/>
    </row>
    <row r="1051" spans="5:5" ht="15.75" customHeight="1">
      <c r="E1051"/>
    </row>
    <row r="1052" spans="5:5" ht="15.75" customHeight="1">
      <c r="E1052"/>
    </row>
    <row r="1053" spans="5:5" ht="15.75" customHeight="1">
      <c r="E1053"/>
    </row>
    <row r="1054" spans="5:5" ht="15.75" customHeight="1">
      <c r="E1054"/>
    </row>
    <row r="1055" spans="5:5" ht="15.75" customHeight="1">
      <c r="E1055"/>
    </row>
    <row r="1056" spans="5:5" ht="15.75" customHeight="1">
      <c r="E1056"/>
    </row>
    <row r="1057" spans="5:5" ht="15.75" customHeight="1">
      <c r="E1057"/>
    </row>
    <row r="1058" spans="5:5" ht="15.75" customHeight="1">
      <c r="E1058"/>
    </row>
    <row r="1059" spans="5:5" ht="15.75" customHeight="1">
      <c r="E1059"/>
    </row>
    <row r="1060" spans="5:5" ht="15.75" customHeight="1">
      <c r="E1060"/>
    </row>
    <row r="1061" spans="5:5" ht="15.75" customHeight="1">
      <c r="E1061"/>
    </row>
    <row r="1062" spans="5:5" ht="15.75" customHeight="1">
      <c r="E1062"/>
    </row>
    <row r="1063" spans="5:5" ht="15.75" customHeight="1">
      <c r="E1063"/>
    </row>
    <row r="1064" spans="5:5" ht="15.75" customHeight="1">
      <c r="E1064"/>
    </row>
    <row r="1065" spans="5:5" ht="15.75" customHeight="1">
      <c r="E1065"/>
    </row>
    <row r="1066" spans="5:5" ht="15.75" customHeight="1">
      <c r="E1066"/>
    </row>
    <row r="1067" spans="5:5" ht="15.75" customHeight="1">
      <c r="E1067"/>
    </row>
    <row r="1068" spans="5:5" ht="15.75" customHeight="1">
      <c r="E1068"/>
    </row>
    <row r="1069" spans="5:5" ht="15.75" customHeight="1">
      <c r="E1069"/>
    </row>
    <row r="1070" spans="5:5" ht="15.75" customHeight="1">
      <c r="E1070"/>
    </row>
    <row r="1071" spans="5:5" ht="15.75" customHeight="1">
      <c r="E1071"/>
    </row>
    <row r="1072" spans="5:5" ht="15.75" customHeight="1">
      <c r="E1072"/>
    </row>
    <row r="1073" spans="5:5" ht="15.75" customHeight="1">
      <c r="E1073"/>
    </row>
    <row r="1074" spans="5:5" ht="15.75" customHeight="1">
      <c r="E1074"/>
    </row>
    <row r="1075" spans="5:5" ht="15.75" customHeight="1">
      <c r="E1075"/>
    </row>
    <row r="1076" spans="5:5" ht="15.75" customHeight="1">
      <c r="E1076"/>
    </row>
    <row r="1077" spans="5:5" ht="15.75" customHeight="1">
      <c r="E1077"/>
    </row>
    <row r="1078" spans="5:5" ht="15.75" customHeight="1">
      <c r="E1078"/>
    </row>
    <row r="1079" spans="5:5" ht="15.75" customHeight="1">
      <c r="E1079"/>
    </row>
    <row r="1080" spans="5:5" ht="15.75" customHeight="1">
      <c r="E1080"/>
    </row>
    <row r="1081" spans="5:5" ht="15.75" customHeight="1">
      <c r="E1081"/>
    </row>
    <row r="1082" spans="5:5" ht="15.75" customHeight="1">
      <c r="E1082"/>
    </row>
    <row r="1083" spans="5:5" ht="15.75" customHeight="1">
      <c r="E1083"/>
    </row>
    <row r="1084" spans="5:5" ht="15.75" customHeight="1">
      <c r="E1084"/>
    </row>
    <row r="1085" spans="5:5" ht="15.75" customHeight="1">
      <c r="E1085"/>
    </row>
    <row r="1086" spans="5:5" ht="15.75" customHeight="1">
      <c r="E1086"/>
    </row>
    <row r="1087" spans="5:5" ht="15.75" customHeight="1">
      <c r="E1087"/>
    </row>
    <row r="1088" spans="5:5" ht="15.75" customHeight="1">
      <c r="E1088"/>
    </row>
    <row r="1089" spans="5:5" ht="15.75" customHeight="1">
      <c r="E1089"/>
    </row>
    <row r="1090" spans="5:5" ht="15.75" customHeight="1">
      <c r="E1090"/>
    </row>
    <row r="1091" spans="5:5" ht="15.75" customHeight="1">
      <c r="E1091"/>
    </row>
    <row r="1092" spans="5:5" ht="15.75" customHeight="1">
      <c r="E1092"/>
    </row>
    <row r="1093" spans="5:5" ht="15.75" customHeight="1">
      <c r="E1093"/>
    </row>
    <row r="1094" spans="5:5" ht="15.75" customHeight="1">
      <c r="E1094"/>
    </row>
    <row r="1095" spans="5:5" ht="15.75" customHeight="1">
      <c r="E1095"/>
    </row>
    <row r="1096" spans="5:5" ht="15.75" customHeight="1">
      <c r="E1096"/>
    </row>
    <row r="1097" spans="5:5" ht="15.75" customHeight="1">
      <c r="E1097"/>
    </row>
    <row r="1098" spans="5:5" ht="15.75" customHeight="1">
      <c r="E1098"/>
    </row>
    <row r="1099" spans="5:5" ht="15.75" customHeight="1">
      <c r="E1099"/>
    </row>
    <row r="1100" spans="5:5" ht="15.75" customHeight="1">
      <c r="E1100"/>
    </row>
    <row r="1101" spans="5:5" ht="15.75" customHeight="1">
      <c r="E1101"/>
    </row>
    <row r="1102" spans="5:5" ht="15.75" customHeight="1">
      <c r="E1102"/>
    </row>
    <row r="1103" spans="5:5" ht="15.75" customHeight="1">
      <c r="E1103"/>
    </row>
    <row r="1104" spans="5:5" ht="15.75" customHeight="1">
      <c r="E1104"/>
    </row>
    <row r="1105" spans="5:5" ht="15.75" customHeight="1">
      <c r="E1105"/>
    </row>
    <row r="1106" spans="5:5" ht="15.75" customHeight="1">
      <c r="E1106"/>
    </row>
    <row r="1107" spans="5:5" ht="15.75" customHeight="1">
      <c r="E1107"/>
    </row>
    <row r="1108" spans="5:5" ht="15.75" customHeight="1">
      <c r="E1108"/>
    </row>
    <row r="1109" spans="5:5" ht="15.75" customHeight="1">
      <c r="E1109"/>
    </row>
    <row r="1110" spans="5:5" ht="15.75" customHeight="1">
      <c r="E1110"/>
    </row>
    <row r="1111" spans="5:5" ht="15.75" customHeight="1">
      <c r="E1111"/>
    </row>
    <row r="1112" spans="5:5" ht="15.75" customHeight="1">
      <c r="E1112"/>
    </row>
    <row r="1113" spans="5:5" ht="15.75" customHeight="1">
      <c r="E1113"/>
    </row>
    <row r="1114" spans="5:5" ht="15.75" customHeight="1">
      <c r="E1114"/>
    </row>
    <row r="1115" spans="5:5" ht="15.75" customHeight="1">
      <c r="E1115"/>
    </row>
    <row r="1116" spans="5:5" ht="15.75" customHeight="1">
      <c r="E1116"/>
    </row>
    <row r="1117" spans="5:5" ht="15.75" customHeight="1">
      <c r="E1117"/>
    </row>
    <row r="1118" spans="5:5" ht="15.75" customHeight="1">
      <c r="E1118"/>
    </row>
    <row r="1119" spans="5:5" ht="15.75" customHeight="1">
      <c r="E1119"/>
    </row>
    <row r="1120" spans="5:5" ht="15.75" customHeight="1">
      <c r="E1120"/>
    </row>
    <row r="1121" spans="5:5" ht="15.75" customHeight="1">
      <c r="E1121"/>
    </row>
    <row r="1122" spans="5:5" ht="15.75" customHeight="1">
      <c r="E1122"/>
    </row>
    <row r="1123" spans="5:5" ht="15.75" customHeight="1">
      <c r="E1123"/>
    </row>
    <row r="1124" spans="5:5" ht="15.75" customHeight="1">
      <c r="E1124"/>
    </row>
    <row r="1125" spans="5:5" ht="15.75" customHeight="1">
      <c r="E1125"/>
    </row>
    <row r="1126" spans="5:5" ht="15.75" customHeight="1">
      <c r="E1126"/>
    </row>
    <row r="1127" spans="5:5" ht="15.75" customHeight="1">
      <c r="E1127"/>
    </row>
    <row r="1128" spans="5:5" ht="15.75" customHeight="1">
      <c r="E1128"/>
    </row>
    <row r="1129" spans="5:5" ht="15.75" customHeight="1">
      <c r="E1129"/>
    </row>
    <row r="1130" spans="5:5" ht="15.75" customHeight="1">
      <c r="E1130"/>
    </row>
    <row r="1131" spans="5:5" ht="15.75" customHeight="1">
      <c r="E1131"/>
    </row>
    <row r="1132" spans="5:5" ht="15.75" customHeight="1">
      <c r="E1132"/>
    </row>
    <row r="1133" spans="5:5" ht="15.75" customHeight="1">
      <c r="E1133"/>
    </row>
    <row r="1134" spans="5:5" ht="15.75" customHeight="1">
      <c r="E1134"/>
    </row>
    <row r="1135" spans="5:5" ht="15.75" customHeight="1">
      <c r="E1135"/>
    </row>
    <row r="1136" spans="5:5" ht="15.75" customHeight="1">
      <c r="E1136"/>
    </row>
    <row r="1137" spans="5:5" ht="15.75" customHeight="1">
      <c r="E1137"/>
    </row>
    <row r="1138" spans="5:5" ht="15.75" customHeight="1">
      <c r="E1138"/>
    </row>
    <row r="1139" spans="5:5" ht="15.75" customHeight="1">
      <c r="E1139"/>
    </row>
    <row r="1140" spans="5:5" ht="15.75" customHeight="1">
      <c r="E1140"/>
    </row>
    <row r="1141" spans="5:5" ht="15.75" customHeight="1">
      <c r="E1141"/>
    </row>
    <row r="1142" spans="5:5" ht="15.75" customHeight="1">
      <c r="E1142"/>
    </row>
    <row r="1143" spans="5:5" ht="15.75" customHeight="1">
      <c r="E1143"/>
    </row>
    <row r="1144" spans="5:5" ht="15.75" customHeight="1">
      <c r="E1144"/>
    </row>
    <row r="1145" spans="5:5" ht="15.75" customHeight="1">
      <c r="E1145"/>
    </row>
    <row r="1146" spans="5:5" ht="15.75" customHeight="1">
      <c r="E1146"/>
    </row>
    <row r="1147" spans="5:5" ht="15.75" customHeight="1">
      <c r="E1147"/>
    </row>
    <row r="1148" spans="5:5" ht="15.75" customHeight="1">
      <c r="E1148"/>
    </row>
    <row r="1149" spans="5:5" ht="15.75" customHeight="1">
      <c r="E1149"/>
    </row>
    <row r="1150" spans="5:5" ht="15.75" customHeight="1">
      <c r="E1150"/>
    </row>
    <row r="1151" spans="5:5" ht="15.75" customHeight="1">
      <c r="E1151"/>
    </row>
    <row r="1152" spans="5:5" ht="15.75" customHeight="1">
      <c r="E1152"/>
    </row>
    <row r="1153" spans="5:5" ht="15.75" customHeight="1">
      <c r="E1153"/>
    </row>
    <row r="1154" spans="5:5" ht="15.75" customHeight="1">
      <c r="E1154"/>
    </row>
    <row r="1155" spans="5:5" ht="15.75" customHeight="1">
      <c r="E1155"/>
    </row>
    <row r="1156" spans="5:5" ht="15.75" customHeight="1">
      <c r="E1156"/>
    </row>
    <row r="1157" spans="5:5" ht="15.75" customHeight="1">
      <c r="E1157"/>
    </row>
    <row r="1158" spans="5:5" ht="15.75" customHeight="1">
      <c r="E1158"/>
    </row>
    <row r="1159" spans="5:5" ht="15.75" customHeight="1">
      <c r="E1159"/>
    </row>
    <row r="1160" spans="5:5" ht="15.75" customHeight="1">
      <c r="E1160"/>
    </row>
    <row r="1161" spans="5:5" ht="15.75" customHeight="1">
      <c r="E1161"/>
    </row>
    <row r="1162" spans="5:5" ht="15.75" customHeight="1">
      <c r="E1162"/>
    </row>
    <row r="1163" spans="5:5" ht="15.75" customHeight="1">
      <c r="E1163"/>
    </row>
    <row r="1164" spans="5:5" ht="15.75" customHeight="1">
      <c r="E1164"/>
    </row>
    <row r="1165" spans="5:5" ht="15.75" customHeight="1">
      <c r="E1165"/>
    </row>
    <row r="1166" spans="5:5" ht="15.75" customHeight="1">
      <c r="E1166"/>
    </row>
    <row r="1167" spans="5:5" ht="15.75" customHeight="1">
      <c r="E1167"/>
    </row>
    <row r="1168" spans="5:5" ht="15.75" customHeight="1">
      <c r="E1168"/>
    </row>
    <row r="1169" spans="5:5" ht="15.75" customHeight="1">
      <c r="E1169"/>
    </row>
    <row r="1170" spans="5:5" ht="15.75" customHeight="1">
      <c r="E1170"/>
    </row>
    <row r="1171" spans="5:5" ht="15.75" customHeight="1">
      <c r="E1171"/>
    </row>
    <row r="1172" spans="5:5" ht="15.75" customHeight="1">
      <c r="E1172"/>
    </row>
    <row r="1173" spans="5:5" ht="15.75" customHeight="1">
      <c r="E1173"/>
    </row>
    <row r="1174" spans="5:5" ht="15.75" customHeight="1">
      <c r="E1174"/>
    </row>
    <row r="1175" spans="5:5" ht="15.75" customHeight="1">
      <c r="E1175"/>
    </row>
    <row r="1176" spans="5:5" ht="15.75" customHeight="1">
      <c r="E1176"/>
    </row>
    <row r="1177" spans="5:5" ht="15.75" customHeight="1">
      <c r="E1177"/>
    </row>
    <row r="1178" spans="5:5" ht="15.75" customHeight="1">
      <c r="E1178"/>
    </row>
    <row r="1179" spans="5:5" ht="15.75" customHeight="1">
      <c r="E1179"/>
    </row>
    <row r="1180" spans="5:5" ht="15.75" customHeight="1">
      <c r="E1180"/>
    </row>
    <row r="1181" spans="5:5" ht="15.75" customHeight="1">
      <c r="E1181"/>
    </row>
    <row r="1182" spans="5:5" ht="15.75" customHeight="1">
      <c r="E1182"/>
    </row>
    <row r="1183" spans="5:5" ht="15.75" customHeight="1">
      <c r="E1183"/>
    </row>
    <row r="1184" spans="5:5" ht="15.75" customHeight="1">
      <c r="E1184"/>
    </row>
    <row r="1185" spans="5:5" ht="15.75" customHeight="1">
      <c r="E1185"/>
    </row>
    <row r="1186" spans="5:5" ht="15.75" customHeight="1">
      <c r="E1186"/>
    </row>
    <row r="1187" spans="5:5" ht="15.75" customHeight="1">
      <c r="E1187"/>
    </row>
    <row r="1188" spans="5:5" ht="15.75" customHeight="1">
      <c r="E1188"/>
    </row>
    <row r="1189" spans="5:5" ht="15.75" customHeight="1">
      <c r="E1189"/>
    </row>
    <row r="1190" spans="5:5" ht="15.75" customHeight="1">
      <c r="E1190"/>
    </row>
    <row r="1191" spans="5:5" ht="15.75" customHeight="1">
      <c r="E1191"/>
    </row>
    <row r="1192" spans="5:5" ht="15.75" customHeight="1">
      <c r="E1192"/>
    </row>
    <row r="1193" spans="5:5" ht="15.75" customHeight="1">
      <c r="E1193"/>
    </row>
    <row r="1194" spans="5:5" ht="15.75" customHeight="1">
      <c r="E1194"/>
    </row>
    <row r="1195" spans="5:5" ht="15.75" customHeight="1">
      <c r="E1195"/>
    </row>
    <row r="1196" spans="5:5" ht="15.75" customHeight="1">
      <c r="E1196"/>
    </row>
    <row r="1197" spans="5:5" ht="15.75" customHeight="1">
      <c r="E1197"/>
    </row>
    <row r="1198" spans="5:5" ht="15.75" customHeight="1">
      <c r="E1198"/>
    </row>
    <row r="1199" spans="5:5" ht="15.75" customHeight="1">
      <c r="E1199"/>
    </row>
    <row r="1200" spans="5:5" ht="15.75" customHeight="1">
      <c r="E1200"/>
    </row>
    <row r="1201" spans="5:5" ht="15.75" customHeight="1">
      <c r="E1201"/>
    </row>
    <row r="1202" spans="5:5" ht="15.75" customHeight="1">
      <c r="E1202"/>
    </row>
    <row r="1203" spans="5:5" ht="15.75" customHeight="1">
      <c r="E1203"/>
    </row>
    <row r="1204" spans="5:5" ht="15.75" customHeight="1">
      <c r="E1204"/>
    </row>
    <row r="1205" spans="5:5" ht="15.75" customHeight="1">
      <c r="E1205"/>
    </row>
    <row r="1206" spans="5:5" ht="15.75" customHeight="1">
      <c r="E1206"/>
    </row>
    <row r="1207" spans="5:5" ht="15.75" customHeight="1">
      <c r="E1207"/>
    </row>
    <row r="1208" spans="5:5" ht="15.75" customHeight="1">
      <c r="E1208"/>
    </row>
    <row r="1209" spans="5:5" ht="15.75" customHeight="1">
      <c r="E1209"/>
    </row>
    <row r="1210" spans="5:5" ht="15.75" customHeight="1">
      <c r="E1210"/>
    </row>
    <row r="1211" spans="5:5" ht="15.75" customHeight="1">
      <c r="E1211"/>
    </row>
    <row r="1212" spans="5:5" ht="15.75" customHeight="1">
      <c r="E1212"/>
    </row>
    <row r="1213" spans="5:5" ht="15.75" customHeight="1">
      <c r="E1213"/>
    </row>
    <row r="1214" spans="5:5" ht="15.75" customHeight="1">
      <c r="E1214"/>
    </row>
    <row r="1215" spans="5:5" ht="15.75" customHeight="1">
      <c r="E1215"/>
    </row>
    <row r="1216" spans="5:5" ht="15.75" customHeight="1">
      <c r="E1216"/>
    </row>
    <row r="1217" spans="5:5" ht="15.75" customHeight="1">
      <c r="E1217"/>
    </row>
    <row r="1218" spans="5:5" ht="15.75" customHeight="1">
      <c r="E1218"/>
    </row>
    <row r="1219" spans="5:5" ht="15.75" customHeight="1">
      <c r="E1219"/>
    </row>
    <row r="1220" spans="5:5" ht="15.75" customHeight="1">
      <c r="E1220"/>
    </row>
    <row r="1221" spans="5:5" ht="15.75" customHeight="1">
      <c r="E1221"/>
    </row>
    <row r="1222" spans="5:5" ht="15.75" customHeight="1">
      <c r="E1222"/>
    </row>
    <row r="1223" spans="5:5" ht="15.75" customHeight="1">
      <c r="E1223"/>
    </row>
    <row r="1224" spans="5:5" ht="15.75" customHeight="1">
      <c r="E1224"/>
    </row>
    <row r="1225" spans="5:5" ht="15.75" customHeight="1">
      <c r="E1225"/>
    </row>
    <row r="1226" spans="5:5" ht="15.75" customHeight="1">
      <c r="E1226"/>
    </row>
    <row r="1227" spans="5:5" ht="15.75" customHeight="1">
      <c r="E1227"/>
    </row>
    <row r="1228" spans="5:5" ht="15.75" customHeight="1">
      <c r="E1228"/>
    </row>
    <row r="1229" spans="5:5" ht="15.75" customHeight="1">
      <c r="E1229"/>
    </row>
    <row r="1230" spans="5:5" ht="15.75" customHeight="1">
      <c r="E1230"/>
    </row>
    <row r="1231" spans="5:5" ht="15.75" customHeight="1">
      <c r="E1231"/>
    </row>
    <row r="1232" spans="5:5" ht="15.75" customHeight="1">
      <c r="E1232"/>
    </row>
    <row r="1233" spans="5:5" ht="15.75" customHeight="1">
      <c r="E1233"/>
    </row>
    <row r="1234" spans="5:5" ht="15.75" customHeight="1">
      <c r="E1234"/>
    </row>
    <row r="1235" spans="5:5" ht="15.75" customHeight="1">
      <c r="E1235"/>
    </row>
    <row r="1236" spans="5:5" ht="15.75" customHeight="1">
      <c r="E1236"/>
    </row>
    <row r="1237" spans="5:5" ht="15.75" customHeight="1">
      <c r="E1237"/>
    </row>
    <row r="1238" spans="5:5" ht="15.75" customHeight="1">
      <c r="E1238"/>
    </row>
    <row r="1239" spans="5:5" ht="15.75" customHeight="1">
      <c r="E1239"/>
    </row>
    <row r="1240" spans="5:5" ht="15.75" customHeight="1">
      <c r="E1240"/>
    </row>
    <row r="1241" spans="5:5" ht="15.75" customHeight="1">
      <c r="E1241"/>
    </row>
    <row r="1242" spans="5:5" ht="15.75" customHeight="1">
      <c r="E1242"/>
    </row>
    <row r="1243" spans="5:5" ht="15.75" customHeight="1">
      <c r="E1243"/>
    </row>
    <row r="1244" spans="5:5" ht="15.75" customHeight="1">
      <c r="E1244"/>
    </row>
    <row r="1245" spans="5:5" ht="15.75" customHeight="1">
      <c r="E1245"/>
    </row>
    <row r="1246" spans="5:5" ht="15.75" customHeight="1">
      <c r="E1246"/>
    </row>
    <row r="1247" spans="5:5" ht="15.75" customHeight="1">
      <c r="E1247"/>
    </row>
    <row r="1248" spans="5:5" ht="15.75" customHeight="1">
      <c r="E1248"/>
    </row>
    <row r="1249" spans="5:5" ht="15.75" customHeight="1">
      <c r="E1249"/>
    </row>
    <row r="1250" spans="5:5" ht="15.75" customHeight="1">
      <c r="E1250"/>
    </row>
    <row r="1251" spans="5:5" ht="15.75" customHeight="1">
      <c r="E1251"/>
    </row>
    <row r="1252" spans="5:5" ht="15.75" customHeight="1">
      <c r="E1252"/>
    </row>
    <row r="1253" spans="5:5" ht="15.75" customHeight="1">
      <c r="E1253"/>
    </row>
    <row r="1254" spans="5:5" ht="15.75" customHeight="1">
      <c r="E1254"/>
    </row>
    <row r="1255" spans="5:5" ht="15.75" customHeight="1">
      <c r="E1255"/>
    </row>
    <row r="1256" spans="5:5" ht="15.75" customHeight="1">
      <c r="E1256"/>
    </row>
    <row r="1257" spans="5:5" ht="15.75" customHeight="1">
      <c r="E1257"/>
    </row>
    <row r="1258" spans="5:5" ht="15.75" customHeight="1">
      <c r="E1258"/>
    </row>
    <row r="1259" spans="5:5" ht="15.75" customHeight="1">
      <c r="E1259"/>
    </row>
    <row r="1260" spans="5:5" ht="15.75" customHeight="1">
      <c r="E1260"/>
    </row>
    <row r="1261" spans="5:5" ht="15.75" customHeight="1">
      <c r="E1261"/>
    </row>
    <row r="1262" spans="5:5" ht="15.75" customHeight="1">
      <c r="E1262"/>
    </row>
    <row r="1263" spans="5:5" ht="15.75" customHeight="1">
      <c r="E1263"/>
    </row>
    <row r="1264" spans="5:5" ht="15.75" customHeight="1">
      <c r="E1264"/>
    </row>
    <row r="1265" spans="5:5" ht="15.75" customHeight="1">
      <c r="E1265"/>
    </row>
    <row r="1266" spans="5:5" ht="15.75" customHeight="1">
      <c r="E1266"/>
    </row>
    <row r="1267" spans="5:5" ht="15.75" customHeight="1">
      <c r="E1267"/>
    </row>
    <row r="1268" spans="5:5" ht="15.75" customHeight="1">
      <c r="E1268"/>
    </row>
    <row r="1269" spans="5:5" ht="15.75" customHeight="1">
      <c r="E1269"/>
    </row>
    <row r="1270" spans="5:5" ht="15.75" customHeight="1">
      <c r="E1270"/>
    </row>
    <row r="1271" spans="5:5" ht="15.75" customHeight="1">
      <c r="E1271"/>
    </row>
    <row r="1272" spans="5:5" ht="15.75" customHeight="1">
      <c r="E1272"/>
    </row>
    <row r="1273" spans="5:5" ht="15.75" customHeight="1">
      <c r="E1273"/>
    </row>
    <row r="1274" spans="5:5" ht="15.75" customHeight="1">
      <c r="E1274"/>
    </row>
    <row r="1275" spans="5:5" ht="15.75" customHeight="1">
      <c r="E1275"/>
    </row>
    <row r="1276" spans="5:5" ht="15.75" customHeight="1">
      <c r="E1276"/>
    </row>
    <row r="1277" spans="5:5" ht="15.75" customHeight="1">
      <c r="E1277"/>
    </row>
    <row r="1278" spans="5:5" ht="15.75" customHeight="1">
      <c r="E1278"/>
    </row>
    <row r="1279" spans="5:5" ht="15.75" customHeight="1">
      <c r="E1279"/>
    </row>
    <row r="1280" spans="5:5" ht="15.75" customHeight="1">
      <c r="E1280"/>
    </row>
    <row r="1281" spans="5:5" ht="15.75" customHeight="1">
      <c r="E1281"/>
    </row>
    <row r="1282" spans="5:5" ht="15.75" customHeight="1">
      <c r="E1282"/>
    </row>
    <row r="1283" spans="5:5" ht="15.75" customHeight="1">
      <c r="E1283"/>
    </row>
    <row r="1284" spans="5:5" ht="15.75" customHeight="1">
      <c r="E1284"/>
    </row>
    <row r="1285" spans="5:5" ht="15.75" customHeight="1">
      <c r="E1285"/>
    </row>
    <row r="1286" spans="5:5" ht="15.75" customHeight="1">
      <c r="E1286"/>
    </row>
    <row r="1287" spans="5:5" ht="15.75" customHeight="1">
      <c r="E1287"/>
    </row>
    <row r="1288" spans="5:5" ht="15.75" customHeight="1">
      <c r="E1288"/>
    </row>
    <row r="1289" spans="5:5" ht="15.75" customHeight="1">
      <c r="E1289"/>
    </row>
    <row r="1290" spans="5:5" ht="15.75" customHeight="1">
      <c r="E1290"/>
    </row>
    <row r="1291" spans="5:5" ht="15.75" customHeight="1">
      <c r="E1291"/>
    </row>
    <row r="1292" spans="5:5" ht="15.75" customHeight="1">
      <c r="E1292"/>
    </row>
    <row r="1293" spans="5:5" ht="15.75" customHeight="1">
      <c r="E1293"/>
    </row>
    <row r="1294" spans="5:5" ht="15.75" customHeight="1">
      <c r="E1294"/>
    </row>
    <row r="1295" spans="5:5" ht="15.75" customHeight="1">
      <c r="E1295"/>
    </row>
    <row r="1296" spans="5:5" ht="15.75" customHeight="1">
      <c r="E1296"/>
    </row>
    <row r="1297" spans="5:5" ht="15.75" customHeight="1">
      <c r="E1297"/>
    </row>
    <row r="1298" spans="5:5" ht="15.75" customHeight="1">
      <c r="E1298"/>
    </row>
    <row r="1299" spans="5:5" ht="15.75" customHeight="1">
      <c r="E1299"/>
    </row>
    <row r="1300" spans="5:5" ht="15.75" customHeight="1">
      <c r="E1300"/>
    </row>
    <row r="1301" spans="5:5" ht="15.75" customHeight="1">
      <c r="E1301"/>
    </row>
    <row r="1302" spans="5:5" ht="15.75" customHeight="1">
      <c r="E1302"/>
    </row>
    <row r="1303" spans="5:5" ht="15.75" customHeight="1">
      <c r="E1303"/>
    </row>
    <row r="1304" spans="5:5" ht="15.75" customHeight="1">
      <c r="E1304"/>
    </row>
    <row r="1305" spans="5:5" ht="15.75" customHeight="1">
      <c r="E1305"/>
    </row>
    <row r="1306" spans="5:5" ht="15.75" customHeight="1">
      <c r="E1306"/>
    </row>
    <row r="1307" spans="5:5" ht="15.75" customHeight="1">
      <c r="E1307"/>
    </row>
    <row r="1308" spans="5:5" ht="15.75" customHeight="1">
      <c r="E1308"/>
    </row>
    <row r="1309" spans="5:5" ht="15.75" customHeight="1">
      <c r="E1309"/>
    </row>
    <row r="1310" spans="5:5" ht="15.75" customHeight="1">
      <c r="E1310"/>
    </row>
    <row r="1311" spans="5:5" ht="15.75" customHeight="1">
      <c r="E1311"/>
    </row>
    <row r="1312" spans="5:5" ht="15.75" customHeight="1">
      <c r="E1312"/>
    </row>
    <row r="1313" spans="5:5" ht="15.75" customHeight="1">
      <c r="E1313"/>
    </row>
    <row r="1314" spans="5:5" ht="15.75" customHeight="1">
      <c r="E1314"/>
    </row>
    <row r="1315" spans="5:5" ht="15.75" customHeight="1">
      <c r="E1315"/>
    </row>
    <row r="1316" spans="5:5" ht="15.75" customHeight="1">
      <c r="E1316"/>
    </row>
    <row r="1317" spans="5:5" ht="15.75" customHeight="1">
      <c r="E1317"/>
    </row>
    <row r="1318" spans="5:5" ht="15.75" customHeight="1">
      <c r="E1318"/>
    </row>
    <row r="1319" spans="5:5" ht="15.75" customHeight="1">
      <c r="E1319"/>
    </row>
    <row r="1320" spans="5:5" ht="15.75" customHeight="1">
      <c r="E1320"/>
    </row>
    <row r="1321" spans="5:5" ht="15.75" customHeight="1">
      <c r="E1321"/>
    </row>
    <row r="1322" spans="5:5" ht="15.75" customHeight="1">
      <c r="E1322"/>
    </row>
    <row r="1323" spans="5:5" ht="15.75" customHeight="1">
      <c r="E1323"/>
    </row>
    <row r="1324" spans="5:5" ht="15.75" customHeight="1">
      <c r="E1324"/>
    </row>
    <row r="1325" spans="5:5" ht="15.75" customHeight="1">
      <c r="E1325"/>
    </row>
    <row r="1326" spans="5:5" ht="15.75" customHeight="1">
      <c r="E1326"/>
    </row>
    <row r="1327" spans="5:5" ht="15.75" customHeight="1">
      <c r="E1327"/>
    </row>
    <row r="1328" spans="5:5" ht="15.75" customHeight="1">
      <c r="E1328"/>
    </row>
    <row r="1329" spans="5:5" ht="15.75" customHeight="1">
      <c r="E1329"/>
    </row>
    <row r="1330" spans="5:5" ht="15.75" customHeight="1">
      <c r="E1330"/>
    </row>
    <row r="1331" spans="5:5" ht="15.75" customHeight="1">
      <c r="E1331"/>
    </row>
    <row r="1332" spans="5:5" ht="15.75" customHeight="1">
      <c r="E1332"/>
    </row>
    <row r="1333" spans="5:5" ht="15.75" customHeight="1">
      <c r="E1333"/>
    </row>
    <row r="1334" spans="5:5" ht="15.75" customHeight="1">
      <c r="E1334"/>
    </row>
    <row r="1335" spans="5:5" ht="15.75" customHeight="1">
      <c r="E1335"/>
    </row>
    <row r="1336" spans="5:5" ht="15.75" customHeight="1">
      <c r="E1336"/>
    </row>
    <row r="1337" spans="5:5" ht="15.75" customHeight="1">
      <c r="E1337"/>
    </row>
    <row r="1338" spans="5:5" ht="15.75" customHeight="1">
      <c r="E1338"/>
    </row>
    <row r="1339" spans="5:5" ht="15.75" customHeight="1">
      <c r="E1339"/>
    </row>
    <row r="1340" spans="5:5" ht="15.75" customHeight="1">
      <c r="E1340"/>
    </row>
    <row r="1341" spans="5:5" ht="15.75" customHeight="1">
      <c r="E1341"/>
    </row>
    <row r="1342" spans="5:5" ht="15.75" customHeight="1">
      <c r="E1342"/>
    </row>
    <row r="1343" spans="5:5" ht="15.75" customHeight="1">
      <c r="E1343"/>
    </row>
    <row r="1344" spans="5:5" ht="15.75" customHeight="1">
      <c r="E1344"/>
    </row>
    <row r="1345" spans="5:5" ht="15.75" customHeight="1">
      <c r="E1345"/>
    </row>
    <row r="1346" spans="5:5" ht="15.75" customHeight="1">
      <c r="E1346"/>
    </row>
    <row r="1347" spans="5:5" ht="15.75" customHeight="1">
      <c r="E1347"/>
    </row>
    <row r="1348" spans="5:5" ht="15.75" customHeight="1">
      <c r="E1348"/>
    </row>
    <row r="1349" spans="5:5" ht="15.75" customHeight="1">
      <c r="E1349"/>
    </row>
    <row r="1350" spans="5:5" ht="15.75" customHeight="1">
      <c r="E1350"/>
    </row>
    <row r="1351" spans="5:5" ht="15.75" customHeight="1">
      <c r="E1351"/>
    </row>
    <row r="1352" spans="5:5" ht="15.75" customHeight="1">
      <c r="E1352"/>
    </row>
    <row r="1353" spans="5:5" ht="15.75" customHeight="1">
      <c r="E1353"/>
    </row>
    <row r="1354" spans="5:5" ht="15.75" customHeight="1">
      <c r="E1354"/>
    </row>
    <row r="1355" spans="5:5" ht="15.75" customHeight="1">
      <c r="E1355"/>
    </row>
    <row r="1356" spans="5:5" ht="15.75" customHeight="1">
      <c r="E1356"/>
    </row>
    <row r="1357" spans="5:5" ht="15.75" customHeight="1">
      <c r="E1357"/>
    </row>
    <row r="1358" spans="5:5" ht="15.75" customHeight="1">
      <c r="E1358"/>
    </row>
    <row r="1359" spans="5:5" ht="15.75" customHeight="1">
      <c r="E1359"/>
    </row>
    <row r="1360" spans="5:5" ht="15.75" customHeight="1">
      <c r="E1360"/>
    </row>
    <row r="1361" spans="5:5" ht="15.75" customHeight="1">
      <c r="E1361"/>
    </row>
    <row r="1362" spans="5:5" ht="15.75" customHeight="1">
      <c r="E1362"/>
    </row>
    <row r="1363" spans="5:5" ht="15.75" customHeight="1">
      <c r="E1363"/>
    </row>
    <row r="1364" spans="5:5" ht="15.75" customHeight="1">
      <c r="E1364"/>
    </row>
    <row r="1365" spans="5:5" ht="15.75" customHeight="1">
      <c r="E1365"/>
    </row>
    <row r="1366" spans="5:5" ht="15.75" customHeight="1">
      <c r="E1366"/>
    </row>
    <row r="1367" spans="5:5" ht="15.75" customHeight="1">
      <c r="E1367"/>
    </row>
    <row r="1368" spans="5:5" ht="15.75" customHeight="1">
      <c r="E1368"/>
    </row>
    <row r="1369" spans="5:5" ht="15.75" customHeight="1">
      <c r="E1369"/>
    </row>
    <row r="1370" spans="5:5" ht="15.75" customHeight="1">
      <c r="E1370"/>
    </row>
    <row r="1371" spans="5:5" ht="15.75" customHeight="1">
      <c r="E1371"/>
    </row>
    <row r="1372" spans="5:5" ht="15.75" customHeight="1">
      <c r="E1372"/>
    </row>
    <row r="1373" spans="5:5" ht="15.75" customHeight="1">
      <c r="E1373"/>
    </row>
    <row r="1374" spans="5:5" ht="15.75" customHeight="1">
      <c r="E1374"/>
    </row>
    <row r="1375" spans="5:5" ht="15.75" customHeight="1">
      <c r="E1375"/>
    </row>
    <row r="1376" spans="5:5" ht="15.75" customHeight="1">
      <c r="E1376"/>
    </row>
    <row r="1377" spans="5:5" ht="15.75" customHeight="1">
      <c r="E1377"/>
    </row>
    <row r="1378" spans="5:5" ht="15.75" customHeight="1">
      <c r="E1378"/>
    </row>
    <row r="1379" spans="5:5" ht="15.75" customHeight="1">
      <c r="E1379"/>
    </row>
    <row r="1380" spans="5:5" ht="15.75" customHeight="1">
      <c r="E1380"/>
    </row>
    <row r="1381" spans="5:5" ht="15.75" customHeight="1">
      <c r="E1381"/>
    </row>
    <row r="1382" spans="5:5" ht="15.75" customHeight="1">
      <c r="E1382"/>
    </row>
    <row r="1383" spans="5:5" ht="15.75" customHeight="1">
      <c r="E1383"/>
    </row>
    <row r="1384" spans="5:5" ht="15.75" customHeight="1">
      <c r="E1384"/>
    </row>
    <row r="1385" spans="5:5" ht="15.75" customHeight="1">
      <c r="E1385"/>
    </row>
    <row r="1386" spans="5:5" ht="15.75" customHeight="1">
      <c r="E1386"/>
    </row>
    <row r="1387" spans="5:5" ht="15.75" customHeight="1">
      <c r="E1387"/>
    </row>
    <row r="1388" spans="5:5" ht="15.75" customHeight="1">
      <c r="E1388"/>
    </row>
    <row r="1389" spans="5:5" ht="15.75" customHeight="1">
      <c r="E1389"/>
    </row>
    <row r="1390" spans="5:5" ht="15.75" customHeight="1">
      <c r="E1390"/>
    </row>
    <row r="1391" spans="5:5" ht="15.75" customHeight="1">
      <c r="E1391"/>
    </row>
    <row r="1392" spans="5:5" ht="15.75" customHeight="1">
      <c r="E1392"/>
    </row>
    <row r="1393" spans="5:5" ht="15.75" customHeight="1">
      <c r="E1393"/>
    </row>
    <row r="1394" spans="5:5" ht="15.75" customHeight="1">
      <c r="E1394"/>
    </row>
    <row r="1395" spans="5:5" ht="15.75" customHeight="1">
      <c r="E1395"/>
    </row>
    <row r="1396" spans="5:5" ht="15.75" customHeight="1">
      <c r="E1396"/>
    </row>
    <row r="1397" spans="5:5" ht="15.75" customHeight="1">
      <c r="E1397"/>
    </row>
    <row r="1398" spans="5:5" ht="15.75" customHeight="1">
      <c r="E1398"/>
    </row>
    <row r="1399" spans="5:5" ht="15.75" customHeight="1">
      <c r="E1399"/>
    </row>
    <row r="1400" spans="5:5" ht="15.75" customHeight="1">
      <c r="E1400"/>
    </row>
    <row r="1401" spans="5:5" ht="15.75" customHeight="1">
      <c r="E1401"/>
    </row>
    <row r="1402" spans="5:5" ht="15.75" customHeight="1">
      <c r="E1402"/>
    </row>
    <row r="1403" spans="5:5" ht="15.75" customHeight="1">
      <c r="E1403"/>
    </row>
    <row r="1404" spans="5:5" ht="15.75" customHeight="1">
      <c r="E1404"/>
    </row>
    <row r="1405" spans="5:5" ht="15.75" customHeight="1">
      <c r="E1405"/>
    </row>
    <row r="1406" spans="5:5" ht="15.75" customHeight="1">
      <c r="E1406"/>
    </row>
    <row r="1407" spans="5:5" ht="15.75" customHeight="1">
      <c r="E1407"/>
    </row>
    <row r="1408" spans="5:5" ht="15.75" customHeight="1">
      <c r="E1408"/>
    </row>
    <row r="1409" spans="5:5" ht="15.75" customHeight="1">
      <c r="E1409"/>
    </row>
    <row r="1410" spans="5:5" ht="15.75" customHeight="1">
      <c r="E1410"/>
    </row>
    <row r="1411" spans="5:5" ht="15.75" customHeight="1">
      <c r="E1411"/>
    </row>
    <row r="1412" spans="5:5" ht="15.75" customHeight="1">
      <c r="E1412"/>
    </row>
    <row r="1413" spans="5:5" ht="15.75" customHeight="1">
      <c r="E1413"/>
    </row>
    <row r="1414" spans="5:5" ht="15.75" customHeight="1">
      <c r="E1414"/>
    </row>
    <row r="1415" spans="5:5" ht="15.75" customHeight="1">
      <c r="E1415"/>
    </row>
    <row r="1416" spans="5:5" ht="15.75" customHeight="1">
      <c r="E1416"/>
    </row>
    <row r="1417" spans="5:5" ht="15.75" customHeight="1">
      <c r="E1417"/>
    </row>
    <row r="1418" spans="5:5" ht="15.75" customHeight="1">
      <c r="E1418"/>
    </row>
    <row r="1419" spans="5:5" ht="15.75" customHeight="1">
      <c r="E1419"/>
    </row>
    <row r="1420" spans="5:5" ht="15.75" customHeight="1">
      <c r="E1420"/>
    </row>
    <row r="1421" spans="5:5" ht="15.75" customHeight="1">
      <c r="E1421"/>
    </row>
    <row r="1422" spans="5:5" ht="15.75" customHeight="1">
      <c r="E1422"/>
    </row>
    <row r="1423" spans="5:5" ht="15.75" customHeight="1">
      <c r="E1423"/>
    </row>
    <row r="1424" spans="5:5" ht="15.75" customHeight="1">
      <c r="E1424"/>
    </row>
    <row r="1425" spans="5:5" ht="15.75" customHeight="1">
      <c r="E1425"/>
    </row>
    <row r="1426" spans="5:5" ht="15.75" customHeight="1">
      <c r="E1426"/>
    </row>
    <row r="1427" spans="5:5" ht="15.75" customHeight="1">
      <c r="E1427"/>
    </row>
    <row r="1428" spans="5:5" ht="15.75" customHeight="1">
      <c r="E1428"/>
    </row>
    <row r="1429" spans="5:5" ht="15.75" customHeight="1">
      <c r="E1429"/>
    </row>
    <row r="1430" spans="5:5" ht="15.75" customHeight="1">
      <c r="E1430"/>
    </row>
    <row r="1431" spans="5:5" ht="15.75" customHeight="1">
      <c r="E1431"/>
    </row>
    <row r="1432" spans="5:5" ht="15.75" customHeight="1">
      <c r="E1432"/>
    </row>
    <row r="1433" spans="5:5" ht="15.75" customHeight="1">
      <c r="E1433"/>
    </row>
    <row r="1434" spans="5:5" ht="15.75" customHeight="1">
      <c r="E1434"/>
    </row>
    <row r="1435" spans="5:5" ht="15.75" customHeight="1">
      <c r="E1435"/>
    </row>
    <row r="1436" spans="5:5" ht="15.75" customHeight="1">
      <c r="E1436"/>
    </row>
    <row r="1437" spans="5:5" ht="15.75" customHeight="1">
      <c r="E1437"/>
    </row>
    <row r="1438" spans="5:5" ht="15.75" customHeight="1">
      <c r="E1438"/>
    </row>
    <row r="1439" spans="5:5" ht="15.75" customHeight="1">
      <c r="E1439"/>
    </row>
    <row r="1440" spans="5:5" ht="15.75" customHeight="1">
      <c r="E1440"/>
    </row>
    <row r="1441" spans="5:5" ht="15.75" customHeight="1">
      <c r="E1441"/>
    </row>
    <row r="1442" spans="5:5" ht="15.75" customHeight="1">
      <c r="E1442"/>
    </row>
    <row r="1443" spans="5:5" ht="15.75" customHeight="1">
      <c r="E1443"/>
    </row>
    <row r="1444" spans="5:5" ht="15.75" customHeight="1">
      <c r="E1444"/>
    </row>
    <row r="1445" spans="5:5" ht="15.75" customHeight="1">
      <c r="E1445"/>
    </row>
    <row r="1446" spans="5:5" ht="15.75" customHeight="1">
      <c r="E1446"/>
    </row>
    <row r="1447" spans="5:5" ht="15.75" customHeight="1">
      <c r="E1447"/>
    </row>
    <row r="1448" spans="5:5" ht="15.75" customHeight="1">
      <c r="E1448"/>
    </row>
    <row r="1449" spans="5:5" ht="15.75" customHeight="1">
      <c r="E1449"/>
    </row>
    <row r="1450" spans="5:5" ht="15.75" customHeight="1">
      <c r="E1450"/>
    </row>
    <row r="1451" spans="5:5" ht="15.75" customHeight="1">
      <c r="E1451"/>
    </row>
    <row r="1452" spans="5:5" ht="15.75" customHeight="1">
      <c r="E1452"/>
    </row>
    <row r="1453" spans="5:5" ht="15.75" customHeight="1">
      <c r="E1453"/>
    </row>
    <row r="1454" spans="5:5" ht="15.75" customHeight="1">
      <c r="E1454"/>
    </row>
    <row r="1455" spans="5:5" ht="15.75" customHeight="1">
      <c r="E1455"/>
    </row>
    <row r="1456" spans="5:5" ht="15.75" customHeight="1">
      <c r="E1456"/>
    </row>
    <row r="1457" spans="5:5" ht="15.75" customHeight="1">
      <c r="E1457"/>
    </row>
    <row r="1458" spans="5:5" ht="15.75" customHeight="1">
      <c r="E1458"/>
    </row>
    <row r="1459" spans="5:5" ht="15.75" customHeight="1">
      <c r="E1459"/>
    </row>
    <row r="1460" spans="5:5" ht="15.75" customHeight="1">
      <c r="E1460"/>
    </row>
    <row r="1461" spans="5:5" ht="15.75" customHeight="1">
      <c r="E1461"/>
    </row>
    <row r="1462" spans="5:5" ht="15.75" customHeight="1">
      <c r="E1462"/>
    </row>
    <row r="1463" spans="5:5" ht="15.75" customHeight="1">
      <c r="E1463"/>
    </row>
    <row r="1464" spans="5:5" ht="15.75" customHeight="1">
      <c r="E1464"/>
    </row>
    <row r="1465" spans="5:5" ht="15.75" customHeight="1">
      <c r="E1465"/>
    </row>
    <row r="1466" spans="5:5" ht="15.75" customHeight="1">
      <c r="E1466"/>
    </row>
    <row r="1467" spans="5:5" ht="15.75" customHeight="1">
      <c r="E1467"/>
    </row>
    <row r="1468" spans="5:5" ht="15.75" customHeight="1">
      <c r="E1468"/>
    </row>
    <row r="1469" spans="5:5" ht="15.75" customHeight="1">
      <c r="E1469"/>
    </row>
    <row r="1470" spans="5:5" ht="15.75" customHeight="1">
      <c r="E1470"/>
    </row>
    <row r="1471" spans="5:5" ht="15.75" customHeight="1">
      <c r="E1471"/>
    </row>
    <row r="1472" spans="5:5" ht="15.75" customHeight="1">
      <c r="E1472"/>
    </row>
    <row r="1473" spans="5:5" ht="15.75" customHeight="1">
      <c r="E1473"/>
    </row>
    <row r="1474" spans="5:5" ht="15.75" customHeight="1">
      <c r="E1474"/>
    </row>
    <row r="1475" spans="5:5" ht="15.75" customHeight="1">
      <c r="E1475"/>
    </row>
    <row r="1476" spans="5:5" ht="15.75" customHeight="1">
      <c r="E1476"/>
    </row>
    <row r="1477" spans="5:5" ht="15.75" customHeight="1">
      <c r="E1477"/>
    </row>
    <row r="1478" spans="5:5" ht="15.75" customHeight="1">
      <c r="E1478"/>
    </row>
    <row r="1479" spans="5:5" ht="15.75" customHeight="1">
      <c r="E1479"/>
    </row>
    <row r="1480" spans="5:5" ht="15.75" customHeight="1">
      <c r="E1480"/>
    </row>
    <row r="1481" spans="5:5" ht="15.75" customHeight="1">
      <c r="E1481"/>
    </row>
    <row r="1482" spans="5:5" ht="15.75" customHeight="1">
      <c r="E1482"/>
    </row>
    <row r="1483" spans="5:5" ht="15.75" customHeight="1">
      <c r="E1483"/>
    </row>
    <row r="1484" spans="5:5" ht="15.75" customHeight="1">
      <c r="E1484"/>
    </row>
    <row r="1485" spans="5:5" ht="15.75" customHeight="1">
      <c r="E1485"/>
    </row>
    <row r="1486" spans="5:5" ht="15.75" customHeight="1">
      <c r="E1486"/>
    </row>
    <row r="1487" spans="5:5" ht="15.75" customHeight="1">
      <c r="E1487"/>
    </row>
    <row r="1488" spans="5:5" ht="15.75" customHeight="1">
      <c r="E1488"/>
    </row>
    <row r="1489" spans="5:5" ht="15.75" customHeight="1">
      <c r="E1489"/>
    </row>
    <row r="1490" spans="5:5" ht="15.75" customHeight="1">
      <c r="E1490"/>
    </row>
    <row r="1491" spans="5:5" ht="15.75" customHeight="1">
      <c r="E1491"/>
    </row>
    <row r="1492" spans="5:5" ht="15.75" customHeight="1">
      <c r="E1492"/>
    </row>
    <row r="1493" spans="5:5" ht="15.75" customHeight="1">
      <c r="E1493"/>
    </row>
    <row r="1494" spans="5:5" ht="15.75" customHeight="1">
      <c r="E1494"/>
    </row>
    <row r="1495" spans="5:5" ht="15.75" customHeight="1">
      <c r="E1495"/>
    </row>
    <row r="1496" spans="5:5" ht="15.75" customHeight="1">
      <c r="E1496"/>
    </row>
    <row r="1497" spans="5:5" ht="15.75" customHeight="1">
      <c r="E1497"/>
    </row>
    <row r="1498" spans="5:5" ht="15.75" customHeight="1">
      <c r="E1498"/>
    </row>
    <row r="1499" spans="5:5" ht="15.75" customHeight="1">
      <c r="E1499"/>
    </row>
    <row r="1500" spans="5:5" ht="15.75" customHeight="1">
      <c r="E1500"/>
    </row>
    <row r="1501" spans="5:5" ht="15.75" customHeight="1">
      <c r="E1501"/>
    </row>
    <row r="1502" spans="5:5" ht="15.75" customHeight="1">
      <c r="E1502"/>
    </row>
    <row r="1503" spans="5:5" ht="15.75" customHeight="1">
      <c r="E1503"/>
    </row>
    <row r="1504" spans="5:5" ht="15.75" customHeight="1">
      <c r="E1504"/>
    </row>
    <row r="1505" spans="5:5" ht="15.75" customHeight="1">
      <c r="E1505"/>
    </row>
    <row r="1506" spans="5:5" ht="15.75" customHeight="1">
      <c r="E1506"/>
    </row>
    <row r="1507" spans="5:5" ht="15.75" customHeight="1">
      <c r="E1507"/>
    </row>
    <row r="1508" spans="5:5" ht="15.75" customHeight="1">
      <c r="E1508"/>
    </row>
    <row r="1509" spans="5:5" ht="15.75" customHeight="1">
      <c r="E1509"/>
    </row>
    <row r="1510" spans="5:5" ht="15.75" customHeight="1">
      <c r="E1510"/>
    </row>
    <row r="1511" spans="5:5" ht="15.75" customHeight="1">
      <c r="E1511"/>
    </row>
    <row r="1512" spans="5:5" ht="15.75" customHeight="1">
      <c r="E1512"/>
    </row>
    <row r="1513" spans="5:5" ht="15.75" customHeight="1">
      <c r="E1513"/>
    </row>
    <row r="1514" spans="5:5" ht="15.75" customHeight="1">
      <c r="E1514"/>
    </row>
    <row r="1515" spans="5:5" ht="15.75" customHeight="1">
      <c r="E1515"/>
    </row>
    <row r="1516" spans="5:5" ht="15.75" customHeight="1">
      <c r="E1516"/>
    </row>
    <row r="1517" spans="5:5" ht="15.75" customHeight="1">
      <c r="E1517"/>
    </row>
    <row r="1518" spans="5:5" ht="15.75" customHeight="1">
      <c r="E1518"/>
    </row>
    <row r="1519" spans="5:5" ht="15.75" customHeight="1">
      <c r="E1519"/>
    </row>
    <row r="1520" spans="5:5" ht="15.75" customHeight="1">
      <c r="E1520"/>
    </row>
    <row r="1521" spans="5:5" ht="15.75" customHeight="1">
      <c r="E1521"/>
    </row>
    <row r="1522" spans="5:5" ht="15.75" customHeight="1">
      <c r="E1522"/>
    </row>
    <row r="1523" spans="5:5" ht="15.75" customHeight="1">
      <c r="E1523"/>
    </row>
    <row r="1524" spans="5:5" ht="15.75" customHeight="1">
      <c r="E1524"/>
    </row>
    <row r="1525" spans="5:5" ht="15.75" customHeight="1">
      <c r="E1525"/>
    </row>
    <row r="1526" spans="5:5" ht="15.75" customHeight="1">
      <c r="E1526"/>
    </row>
    <row r="1527" spans="5:5" ht="15.75" customHeight="1">
      <c r="E1527"/>
    </row>
    <row r="1528" spans="5:5" ht="15.75" customHeight="1">
      <c r="E1528"/>
    </row>
    <row r="1529" spans="5:5" ht="15.75" customHeight="1">
      <c r="E1529"/>
    </row>
    <row r="1530" spans="5:5" ht="15.75" customHeight="1">
      <c r="E1530"/>
    </row>
    <row r="1531" spans="5:5" ht="15.75" customHeight="1">
      <c r="E1531"/>
    </row>
    <row r="1532" spans="5:5" ht="15.75" customHeight="1">
      <c r="E1532"/>
    </row>
    <row r="1533" spans="5:5" ht="15.75" customHeight="1">
      <c r="E1533"/>
    </row>
    <row r="1534" spans="5:5" ht="15.75" customHeight="1">
      <c r="E1534"/>
    </row>
    <row r="1535" spans="5:5" ht="15.75" customHeight="1">
      <c r="E1535"/>
    </row>
    <row r="1536" spans="5:5" ht="15.75" customHeight="1">
      <c r="E1536"/>
    </row>
    <row r="1537" spans="5:5" ht="15.75" customHeight="1">
      <c r="E1537"/>
    </row>
    <row r="1538" spans="5:5" ht="15.75" customHeight="1">
      <c r="E1538"/>
    </row>
    <row r="1539" spans="5:5" ht="15.75" customHeight="1">
      <c r="E1539"/>
    </row>
    <row r="1540" spans="5:5" ht="15.75" customHeight="1">
      <c r="E1540"/>
    </row>
    <row r="1541" spans="5:5" ht="15.75" customHeight="1">
      <c r="E1541"/>
    </row>
    <row r="1542" spans="5:5" ht="15.75" customHeight="1">
      <c r="E1542"/>
    </row>
    <row r="1543" spans="5:5" ht="15.75" customHeight="1">
      <c r="E1543"/>
    </row>
    <row r="1544" spans="5:5" ht="15.75" customHeight="1">
      <c r="E1544"/>
    </row>
    <row r="1545" spans="5:5" ht="15.75" customHeight="1">
      <c r="E1545"/>
    </row>
    <row r="1546" spans="5:5" ht="15.75" customHeight="1">
      <c r="E1546"/>
    </row>
    <row r="1547" spans="5:5" ht="15.75" customHeight="1">
      <c r="E1547"/>
    </row>
    <row r="1548" spans="5:5" ht="15.75" customHeight="1">
      <c r="E1548"/>
    </row>
    <row r="1549" spans="5:5" ht="15.75" customHeight="1">
      <c r="E1549"/>
    </row>
    <row r="1550" spans="5:5" ht="15.75" customHeight="1">
      <c r="E1550"/>
    </row>
    <row r="1551" spans="5:5" ht="15.75" customHeight="1">
      <c r="E1551"/>
    </row>
    <row r="1552" spans="5:5" ht="15.75" customHeight="1">
      <c r="E1552"/>
    </row>
    <row r="1553" spans="5:5" ht="15.75" customHeight="1">
      <c r="E1553"/>
    </row>
    <row r="1554" spans="5:5" ht="15.75" customHeight="1">
      <c r="E1554"/>
    </row>
    <row r="1555" spans="5:5" ht="15.75" customHeight="1">
      <c r="E1555"/>
    </row>
    <row r="1556" spans="5:5" ht="15.75" customHeight="1">
      <c r="E1556"/>
    </row>
    <row r="1557" spans="5:5" ht="15.75" customHeight="1">
      <c r="E1557"/>
    </row>
    <row r="1558" spans="5:5" ht="15.75" customHeight="1">
      <c r="E1558"/>
    </row>
    <row r="1559" spans="5:5" ht="15.75" customHeight="1">
      <c r="E1559"/>
    </row>
    <row r="1560" spans="5:5" ht="15.75" customHeight="1">
      <c r="E1560"/>
    </row>
    <row r="1561" spans="5:5" ht="15.75" customHeight="1">
      <c r="E1561"/>
    </row>
    <row r="1562" spans="5:5" ht="15.75" customHeight="1">
      <c r="E1562"/>
    </row>
    <row r="1563" spans="5:5" ht="15.75" customHeight="1">
      <c r="E1563"/>
    </row>
    <row r="1564" spans="5:5" ht="15.75" customHeight="1">
      <c r="E1564"/>
    </row>
    <row r="1565" spans="5:5" ht="15.75" customHeight="1">
      <c r="E1565"/>
    </row>
    <row r="1566" spans="5:5" ht="15.75" customHeight="1">
      <c r="E1566"/>
    </row>
    <row r="1567" spans="5:5" ht="15.75" customHeight="1">
      <c r="E1567"/>
    </row>
    <row r="1568" spans="5:5" ht="15.75" customHeight="1">
      <c r="E1568"/>
    </row>
    <row r="1569" spans="5:5" ht="15.75" customHeight="1">
      <c r="E1569"/>
    </row>
    <row r="1570" spans="5:5" ht="15.75" customHeight="1">
      <c r="E1570"/>
    </row>
    <row r="1571" spans="5:5" ht="15.75" customHeight="1">
      <c r="E1571"/>
    </row>
    <row r="1572" spans="5:5" ht="15.75" customHeight="1">
      <c r="E1572"/>
    </row>
    <row r="1573" spans="5:5" ht="15.75" customHeight="1">
      <c r="E1573"/>
    </row>
    <row r="1574" spans="5:5" ht="15.75" customHeight="1">
      <c r="E1574"/>
    </row>
    <row r="1575" spans="5:5" ht="15.75" customHeight="1">
      <c r="E1575"/>
    </row>
    <row r="1576" spans="5:5" ht="15.75" customHeight="1">
      <c r="E1576"/>
    </row>
    <row r="1577" spans="5:5" ht="15.75" customHeight="1">
      <c r="E1577"/>
    </row>
    <row r="1578" spans="5:5" ht="15.75" customHeight="1">
      <c r="E1578"/>
    </row>
    <row r="1579" spans="5:5" ht="15.75" customHeight="1">
      <c r="E1579"/>
    </row>
    <row r="1580" spans="5:5" ht="15.75" customHeight="1">
      <c r="E1580"/>
    </row>
    <row r="1581" spans="5:5" ht="15.75" customHeight="1">
      <c r="E1581"/>
    </row>
    <row r="1582" spans="5:5" ht="15.75" customHeight="1">
      <c r="E1582"/>
    </row>
    <row r="1583" spans="5:5" ht="15.75" customHeight="1">
      <c r="E1583"/>
    </row>
    <row r="1584" spans="5:5" ht="15.75" customHeight="1">
      <c r="E1584"/>
    </row>
    <row r="1585" spans="5:5" ht="15.75" customHeight="1">
      <c r="E1585"/>
    </row>
    <row r="1586" spans="5:5" ht="15.75" customHeight="1">
      <c r="E1586"/>
    </row>
    <row r="1587" spans="5:5" ht="15.75" customHeight="1">
      <c r="E1587"/>
    </row>
    <row r="1588" spans="5:5" ht="15.75" customHeight="1">
      <c r="E1588"/>
    </row>
    <row r="1589" spans="5:5" ht="15.75" customHeight="1">
      <c r="E1589"/>
    </row>
    <row r="1590" spans="5:5" ht="15.75" customHeight="1">
      <c r="E1590"/>
    </row>
    <row r="1591" spans="5:5" ht="15.75" customHeight="1">
      <c r="E1591"/>
    </row>
    <row r="1592" spans="5:5" ht="15.75" customHeight="1">
      <c r="E1592"/>
    </row>
    <row r="1593" spans="5:5" ht="15.75" customHeight="1">
      <c r="E1593"/>
    </row>
    <row r="1594" spans="5:5" ht="15.75" customHeight="1">
      <c r="E1594"/>
    </row>
    <row r="1595" spans="5:5" ht="15.75" customHeight="1">
      <c r="E1595"/>
    </row>
    <row r="1596" spans="5:5" ht="15.75" customHeight="1">
      <c r="E1596"/>
    </row>
    <row r="1597" spans="5:5" ht="15.75" customHeight="1">
      <c r="E1597"/>
    </row>
    <row r="1598" spans="5:5" ht="15.75" customHeight="1">
      <c r="E1598"/>
    </row>
    <row r="1599" spans="5:5" ht="15.75" customHeight="1">
      <c r="E1599"/>
    </row>
    <row r="1600" spans="5:5" ht="15.75" customHeight="1">
      <c r="E1600"/>
    </row>
    <row r="1601" spans="5:5" ht="15.75" customHeight="1">
      <c r="E1601"/>
    </row>
    <row r="1602" spans="5:5" ht="15.75" customHeight="1">
      <c r="E1602"/>
    </row>
    <row r="1603" spans="5:5" ht="15.75" customHeight="1">
      <c r="E1603"/>
    </row>
    <row r="1604" spans="5:5" ht="15.75" customHeight="1">
      <c r="E1604"/>
    </row>
    <row r="1605" spans="5:5" ht="15.75" customHeight="1">
      <c r="E1605"/>
    </row>
    <row r="1606" spans="5:5" ht="15.75" customHeight="1">
      <c r="E1606"/>
    </row>
    <row r="1607" spans="5:5" ht="15.75" customHeight="1">
      <c r="E1607"/>
    </row>
    <row r="1608" spans="5:5" ht="15.75" customHeight="1">
      <c r="E1608"/>
    </row>
    <row r="1609" spans="5:5" ht="15.75" customHeight="1">
      <c r="E1609"/>
    </row>
    <row r="1610" spans="5:5" ht="15.75" customHeight="1">
      <c r="E1610"/>
    </row>
    <row r="1611" spans="5:5" ht="15.75" customHeight="1">
      <c r="E1611"/>
    </row>
    <row r="1612" spans="5:5" ht="15.75" customHeight="1">
      <c r="E1612"/>
    </row>
    <row r="1613" spans="5:5" ht="15.75" customHeight="1">
      <c r="E1613"/>
    </row>
    <row r="1614" spans="5:5" ht="15.75" customHeight="1">
      <c r="E1614"/>
    </row>
    <row r="1615" spans="5:5" ht="15.75" customHeight="1">
      <c r="E1615"/>
    </row>
    <row r="1616" spans="5:5" ht="15.75" customHeight="1">
      <c r="E1616"/>
    </row>
    <row r="1617" spans="5:5" ht="15.75" customHeight="1">
      <c r="E1617"/>
    </row>
    <row r="1618" spans="5:5" ht="15.75" customHeight="1">
      <c r="E1618"/>
    </row>
    <row r="1619" spans="5:5" ht="15.75" customHeight="1">
      <c r="E1619"/>
    </row>
    <row r="1620" spans="5:5" ht="15.75" customHeight="1">
      <c r="E1620"/>
    </row>
    <row r="1621" spans="5:5" ht="15.75" customHeight="1">
      <c r="E1621"/>
    </row>
    <row r="1622" spans="5:5" ht="15.75" customHeight="1">
      <c r="E1622"/>
    </row>
    <row r="1623" spans="5:5" ht="15.75" customHeight="1">
      <c r="E1623"/>
    </row>
    <row r="1624" spans="5:5" ht="15.75" customHeight="1">
      <c r="E1624"/>
    </row>
    <row r="1625" spans="5:5" ht="15.75" customHeight="1">
      <c r="E1625"/>
    </row>
    <row r="1626" spans="5:5" ht="15.75" customHeight="1">
      <c r="E1626"/>
    </row>
    <row r="1627" spans="5:5" ht="15.75" customHeight="1">
      <c r="E1627"/>
    </row>
    <row r="1628" spans="5:5" ht="15.75" customHeight="1">
      <c r="E1628"/>
    </row>
    <row r="1629" spans="5:5" ht="15.75" customHeight="1">
      <c r="E1629"/>
    </row>
    <row r="1630" spans="5:5" ht="15.75" customHeight="1">
      <c r="E1630"/>
    </row>
    <row r="1631" spans="5:5" ht="15.75" customHeight="1">
      <c r="E1631"/>
    </row>
    <row r="1632" spans="5:5" ht="15.75" customHeight="1">
      <c r="E1632"/>
    </row>
    <row r="1633" spans="5:5" ht="15.75" customHeight="1">
      <c r="E1633"/>
    </row>
    <row r="1634" spans="5:5" ht="15.75" customHeight="1">
      <c r="E1634"/>
    </row>
    <row r="1635" spans="5:5" ht="15.75" customHeight="1">
      <c r="E1635"/>
    </row>
    <row r="1636" spans="5:5" ht="15.75" customHeight="1">
      <c r="E1636"/>
    </row>
    <row r="1637" spans="5:5" ht="15.75" customHeight="1">
      <c r="E1637"/>
    </row>
    <row r="1638" spans="5:5" ht="15.75" customHeight="1">
      <c r="E1638"/>
    </row>
    <row r="1639" spans="5:5" ht="15.75" customHeight="1">
      <c r="E1639"/>
    </row>
    <row r="1640" spans="5:5" ht="15.75" customHeight="1">
      <c r="E1640"/>
    </row>
    <row r="1641" spans="5:5" ht="15.75" customHeight="1">
      <c r="E1641"/>
    </row>
    <row r="1642" spans="5:5" ht="15.75" customHeight="1">
      <c r="E1642"/>
    </row>
    <row r="1643" spans="5:5" ht="15.75" customHeight="1">
      <c r="E1643"/>
    </row>
    <row r="1644" spans="5:5" ht="15.75" customHeight="1">
      <c r="E1644"/>
    </row>
    <row r="1645" spans="5:5" ht="15.75" customHeight="1">
      <c r="E1645"/>
    </row>
    <row r="1646" spans="5:5" ht="15.75" customHeight="1">
      <c r="E1646"/>
    </row>
    <row r="1647" spans="5:5" ht="15.75" customHeight="1">
      <c r="E1647"/>
    </row>
    <row r="1648" spans="5:5" ht="15.75" customHeight="1">
      <c r="E1648"/>
    </row>
    <row r="1649" spans="5:5" ht="15.75" customHeight="1">
      <c r="E1649"/>
    </row>
    <row r="1650" spans="5:5" ht="15.75" customHeight="1">
      <c r="E1650"/>
    </row>
    <row r="1651" spans="5:5" ht="15.75" customHeight="1">
      <c r="E1651"/>
    </row>
    <row r="1652" spans="5:5" ht="15.75" customHeight="1">
      <c r="E1652"/>
    </row>
    <row r="1653" spans="5:5" ht="15.75" customHeight="1">
      <c r="E1653"/>
    </row>
    <row r="1654" spans="5:5" ht="15.75" customHeight="1">
      <c r="E1654"/>
    </row>
    <row r="1655" spans="5:5" ht="15.75" customHeight="1">
      <c r="E1655"/>
    </row>
    <row r="1656" spans="5:5" ht="15.75" customHeight="1">
      <c r="E1656"/>
    </row>
    <row r="1657" spans="5:5" ht="15.75" customHeight="1">
      <c r="E1657"/>
    </row>
    <row r="1658" spans="5:5" ht="15.75" customHeight="1">
      <c r="E1658"/>
    </row>
    <row r="1659" spans="5:5" ht="15.75" customHeight="1">
      <c r="E1659"/>
    </row>
    <row r="1660" spans="5:5" ht="15.75" customHeight="1">
      <c r="E1660"/>
    </row>
    <row r="1661" spans="5:5" ht="15.75" customHeight="1">
      <c r="E1661"/>
    </row>
    <row r="1662" spans="5:5" ht="15.75" customHeight="1">
      <c r="E1662"/>
    </row>
    <row r="1663" spans="5:5" ht="15.75" customHeight="1">
      <c r="E1663"/>
    </row>
    <row r="1664" spans="5:5" ht="15.75" customHeight="1">
      <c r="E1664"/>
    </row>
    <row r="1665" spans="5:5" ht="15.75" customHeight="1">
      <c r="E1665"/>
    </row>
    <row r="1666" spans="5:5" ht="15.75" customHeight="1">
      <c r="E1666"/>
    </row>
    <row r="1667" spans="5:5" ht="15.75" customHeight="1">
      <c r="E1667"/>
    </row>
    <row r="1668" spans="5:5" ht="15.75" customHeight="1">
      <c r="E1668"/>
    </row>
    <row r="1669" spans="5:5" ht="15.75" customHeight="1">
      <c r="E1669"/>
    </row>
    <row r="1670" spans="5:5" ht="15.75" customHeight="1">
      <c r="E1670"/>
    </row>
    <row r="1671" spans="5:5" ht="15.75" customHeight="1">
      <c r="E1671"/>
    </row>
    <row r="1672" spans="5:5" ht="15.75" customHeight="1">
      <c r="E1672"/>
    </row>
    <row r="1673" spans="5:5" ht="15.75" customHeight="1">
      <c r="E1673"/>
    </row>
    <row r="1674" spans="5:5" ht="15.75" customHeight="1">
      <c r="E1674"/>
    </row>
    <row r="1675" spans="5:5" ht="15.75" customHeight="1">
      <c r="E1675"/>
    </row>
    <row r="1676" spans="5:5" ht="15.75" customHeight="1">
      <c r="E1676"/>
    </row>
    <row r="1677" spans="5:5" ht="15.75" customHeight="1">
      <c r="E1677"/>
    </row>
    <row r="1678" spans="5:5" ht="15.75" customHeight="1">
      <c r="E1678"/>
    </row>
    <row r="1679" spans="5:5" ht="15.75" customHeight="1">
      <c r="E1679"/>
    </row>
    <row r="1680" spans="5:5" ht="15.75" customHeight="1">
      <c r="E1680"/>
    </row>
    <row r="1681" spans="5:5" ht="15.75" customHeight="1">
      <c r="E1681"/>
    </row>
    <row r="1682" spans="5:5" ht="15.75" customHeight="1">
      <c r="E1682"/>
    </row>
    <row r="1683" spans="5:5" ht="15.75" customHeight="1">
      <c r="E1683"/>
    </row>
    <row r="1684" spans="5:5" ht="15.75" customHeight="1">
      <c r="E1684"/>
    </row>
    <row r="1685" spans="5:5" ht="15.75" customHeight="1">
      <c r="E1685"/>
    </row>
    <row r="1686" spans="5:5" ht="15.75" customHeight="1">
      <c r="E1686"/>
    </row>
    <row r="1687" spans="5:5" ht="15.75" customHeight="1">
      <c r="E1687"/>
    </row>
    <row r="1688" spans="5:5" ht="15.75" customHeight="1">
      <c r="E1688"/>
    </row>
    <row r="1689" spans="5:5" ht="15.75" customHeight="1">
      <c r="E1689"/>
    </row>
    <row r="1690" spans="5:5" ht="15.75" customHeight="1">
      <c r="E1690"/>
    </row>
    <row r="1691" spans="5:5" ht="15.75" customHeight="1">
      <c r="E1691"/>
    </row>
    <row r="1692" spans="5:5" ht="15.75" customHeight="1">
      <c r="E1692"/>
    </row>
    <row r="1693" spans="5:5" ht="15.75" customHeight="1">
      <c r="E1693"/>
    </row>
    <row r="1694" spans="5:5" ht="15.75" customHeight="1">
      <c r="E1694"/>
    </row>
    <row r="1695" spans="5:5" ht="15.75" customHeight="1">
      <c r="E1695"/>
    </row>
    <row r="1696" spans="5:5" ht="15.75" customHeight="1">
      <c r="E1696"/>
    </row>
    <row r="1697" spans="5:5" ht="15.75" customHeight="1">
      <c r="E1697"/>
    </row>
    <row r="1698" spans="5:5" ht="15.75" customHeight="1">
      <c r="E1698"/>
    </row>
    <row r="1699" spans="5:5" ht="15.75" customHeight="1">
      <c r="E1699"/>
    </row>
    <row r="1700" spans="5:5" ht="15.75" customHeight="1">
      <c r="E1700"/>
    </row>
    <row r="1701" spans="5:5" ht="15.75" customHeight="1">
      <c r="E1701"/>
    </row>
    <row r="1702" spans="5:5" ht="15.75" customHeight="1">
      <c r="E1702"/>
    </row>
    <row r="1703" spans="5:5" ht="15.75" customHeight="1">
      <c r="E1703"/>
    </row>
    <row r="1704" spans="5:5" ht="15.75" customHeight="1">
      <c r="E1704"/>
    </row>
    <row r="1705" spans="5:5" ht="15.75" customHeight="1">
      <c r="E1705"/>
    </row>
    <row r="1706" spans="5:5" ht="15.75" customHeight="1">
      <c r="E1706"/>
    </row>
    <row r="1707" spans="5:5" ht="15.75" customHeight="1">
      <c r="E1707"/>
    </row>
    <row r="1708" spans="5:5" ht="15.75" customHeight="1">
      <c r="E1708"/>
    </row>
    <row r="1709" spans="5:5" ht="15.75" customHeight="1">
      <c r="E1709"/>
    </row>
    <row r="1710" spans="5:5" ht="15.75" customHeight="1">
      <c r="E1710"/>
    </row>
    <row r="1711" spans="5:5" ht="15.75" customHeight="1">
      <c r="E1711"/>
    </row>
    <row r="1712" spans="5:5" ht="15.75" customHeight="1">
      <c r="E1712"/>
    </row>
    <row r="1713" spans="5:5" ht="15.75" customHeight="1">
      <c r="E1713"/>
    </row>
    <row r="1714" spans="5:5" ht="15.75" customHeight="1">
      <c r="E1714"/>
    </row>
    <row r="1715" spans="5:5" ht="15.75" customHeight="1">
      <c r="E1715"/>
    </row>
    <row r="1716" spans="5:5" ht="15.75" customHeight="1">
      <c r="E1716"/>
    </row>
    <row r="1717" spans="5:5" ht="15.75" customHeight="1">
      <c r="E1717"/>
    </row>
    <row r="1718" spans="5:5" ht="15.75" customHeight="1">
      <c r="E1718"/>
    </row>
    <row r="1719" spans="5:5" ht="15.75" customHeight="1">
      <c r="E1719"/>
    </row>
    <row r="1720" spans="5:5" ht="15.75" customHeight="1">
      <c r="E1720"/>
    </row>
    <row r="1721" spans="5:5" ht="15.75" customHeight="1">
      <c r="E1721"/>
    </row>
    <row r="1722" spans="5:5" ht="15.75" customHeight="1">
      <c r="E1722"/>
    </row>
    <row r="1723" spans="5:5" ht="15.75" customHeight="1">
      <c r="E1723"/>
    </row>
    <row r="1724" spans="5:5" ht="15.75" customHeight="1">
      <c r="E1724"/>
    </row>
    <row r="1725" spans="5:5" ht="15.75" customHeight="1">
      <c r="E1725"/>
    </row>
    <row r="1726" spans="5:5" ht="15.75" customHeight="1">
      <c r="E1726"/>
    </row>
    <row r="1727" spans="5:5" ht="15.75" customHeight="1">
      <c r="E1727"/>
    </row>
    <row r="1728" spans="5:5" ht="15.75" customHeight="1">
      <c r="E1728"/>
    </row>
    <row r="1729" spans="5:5" ht="15.75" customHeight="1">
      <c r="E1729"/>
    </row>
    <row r="1730" spans="5:5" ht="15.75" customHeight="1">
      <c r="E1730"/>
    </row>
    <row r="1731" spans="5:5" ht="15.75" customHeight="1">
      <c r="E1731"/>
    </row>
    <row r="1732" spans="5:5" ht="15.75" customHeight="1">
      <c r="E1732"/>
    </row>
    <row r="1733" spans="5:5" ht="15.75" customHeight="1">
      <c r="E1733"/>
    </row>
    <row r="1734" spans="5:5" ht="15.75" customHeight="1">
      <c r="E1734"/>
    </row>
    <row r="1735" spans="5:5" ht="15.75" customHeight="1">
      <c r="E1735"/>
    </row>
    <row r="1736" spans="5:5" ht="15.75" customHeight="1">
      <c r="E1736"/>
    </row>
    <row r="1737" spans="5:5" ht="15.75" customHeight="1">
      <c r="E1737"/>
    </row>
    <row r="1738" spans="5:5" ht="15.75" customHeight="1">
      <c r="E1738"/>
    </row>
    <row r="1739" spans="5:5" ht="15.75" customHeight="1">
      <c r="E1739"/>
    </row>
    <row r="1740" spans="5:5" ht="15.75" customHeight="1">
      <c r="E1740"/>
    </row>
    <row r="1741" spans="5:5" ht="15.75" customHeight="1">
      <c r="E1741"/>
    </row>
    <row r="1742" spans="5:5" ht="15.75" customHeight="1">
      <c r="E1742"/>
    </row>
    <row r="1743" spans="5:5" ht="15.75" customHeight="1">
      <c r="E1743"/>
    </row>
    <row r="1744" spans="5:5" ht="15.75" customHeight="1">
      <c r="E1744"/>
    </row>
    <row r="1745" spans="5:5" ht="15.75" customHeight="1">
      <c r="E1745"/>
    </row>
    <row r="1746" spans="5:5" ht="15.75" customHeight="1">
      <c r="E1746"/>
    </row>
    <row r="1747" spans="5:5" ht="15.75" customHeight="1">
      <c r="E1747"/>
    </row>
    <row r="1748" spans="5:5" ht="15.75" customHeight="1">
      <c r="E1748"/>
    </row>
    <row r="1749" spans="5:5" ht="15.75" customHeight="1">
      <c r="E1749"/>
    </row>
    <row r="1750" spans="5:5" ht="15.75" customHeight="1">
      <c r="E1750"/>
    </row>
    <row r="1751" spans="5:5" ht="15.75" customHeight="1">
      <c r="E1751"/>
    </row>
    <row r="1752" spans="5:5" ht="15.75" customHeight="1">
      <c r="E1752"/>
    </row>
    <row r="1753" spans="5:5" ht="15.75" customHeight="1">
      <c r="E1753"/>
    </row>
    <row r="1754" spans="5:5" ht="15.75" customHeight="1">
      <c r="E1754"/>
    </row>
    <row r="1755" spans="5:5" ht="15.75" customHeight="1">
      <c r="E1755"/>
    </row>
    <row r="1756" spans="5:5" ht="15.75" customHeight="1">
      <c r="E1756"/>
    </row>
    <row r="1757" spans="5:5" ht="15.75" customHeight="1">
      <c r="E1757"/>
    </row>
    <row r="1758" spans="5:5" ht="15.75" customHeight="1">
      <c r="E1758"/>
    </row>
    <row r="1759" spans="5:5" ht="15.75" customHeight="1">
      <c r="E1759"/>
    </row>
    <row r="1760" spans="5:5" ht="15.75" customHeight="1">
      <c r="E1760"/>
    </row>
    <row r="1761" spans="5:5" ht="15.75" customHeight="1">
      <c r="E1761"/>
    </row>
    <row r="1762" spans="5:5" ht="15.75" customHeight="1">
      <c r="E1762"/>
    </row>
    <row r="1763" spans="5:5" ht="15.75" customHeight="1">
      <c r="E1763"/>
    </row>
    <row r="1764" spans="5:5" ht="15.75" customHeight="1">
      <c r="E1764"/>
    </row>
    <row r="1765" spans="5:5" ht="15.75" customHeight="1">
      <c r="E1765"/>
    </row>
    <row r="1766" spans="5:5" ht="15.75" customHeight="1">
      <c r="E1766"/>
    </row>
    <row r="1767" spans="5:5" ht="15.75" customHeight="1">
      <c r="E1767"/>
    </row>
    <row r="1768" spans="5:5" ht="15.75" customHeight="1">
      <c r="E1768"/>
    </row>
    <row r="1769" spans="5:5" ht="15.75" customHeight="1">
      <c r="E1769"/>
    </row>
    <row r="1770" spans="5:5" ht="15.75" customHeight="1">
      <c r="E1770"/>
    </row>
    <row r="1771" spans="5:5" ht="15.75" customHeight="1">
      <c r="E1771"/>
    </row>
    <row r="1772" spans="5:5" ht="15.75" customHeight="1">
      <c r="E1772"/>
    </row>
    <row r="1773" spans="5:5" ht="15.75" customHeight="1">
      <c r="E1773"/>
    </row>
    <row r="1774" spans="5:5" ht="15.75" customHeight="1">
      <c r="E1774"/>
    </row>
    <row r="1775" spans="5:5" ht="15.75" customHeight="1">
      <c r="E1775"/>
    </row>
    <row r="1776" spans="5:5" ht="15.75" customHeight="1">
      <c r="E1776"/>
    </row>
    <row r="1777" spans="5:5" ht="15.75" customHeight="1">
      <c r="E1777"/>
    </row>
    <row r="1778" spans="5:5" ht="15.75" customHeight="1">
      <c r="E1778"/>
    </row>
    <row r="1779" spans="5:5" ht="15.75" customHeight="1">
      <c r="E1779"/>
    </row>
    <row r="1780" spans="5:5" ht="15.75" customHeight="1">
      <c r="E1780"/>
    </row>
    <row r="1781" spans="5:5" ht="15.75" customHeight="1">
      <c r="E1781"/>
    </row>
    <row r="1782" spans="5:5" ht="15.75" customHeight="1">
      <c r="E1782"/>
    </row>
    <row r="1783" spans="5:5" ht="15.75" customHeight="1">
      <c r="E1783"/>
    </row>
    <row r="1784" spans="5:5" ht="15.75" customHeight="1">
      <c r="E1784"/>
    </row>
    <row r="1785" spans="5:5" ht="15.75" customHeight="1">
      <c r="E1785"/>
    </row>
    <row r="1786" spans="5:5" ht="15.75" customHeight="1">
      <c r="E1786"/>
    </row>
    <row r="1787" spans="5:5" ht="15.75" customHeight="1">
      <c r="E1787"/>
    </row>
    <row r="1788" spans="5:5" ht="15.75" customHeight="1">
      <c r="E1788"/>
    </row>
    <row r="1789" spans="5:5" ht="15.75" customHeight="1">
      <c r="E1789"/>
    </row>
    <row r="1790" spans="5:5" ht="15.75" customHeight="1">
      <c r="E1790"/>
    </row>
    <row r="1791" spans="5:5" ht="15.75" customHeight="1">
      <c r="E1791"/>
    </row>
    <row r="1792" spans="5:5" ht="15.75" customHeight="1">
      <c r="E1792"/>
    </row>
    <row r="1793" spans="5:5" ht="15.75" customHeight="1">
      <c r="E1793"/>
    </row>
    <row r="1794" spans="5:5" ht="15.75" customHeight="1">
      <c r="E1794"/>
    </row>
    <row r="1795" spans="5:5" ht="15.75" customHeight="1">
      <c r="E1795"/>
    </row>
    <row r="1796" spans="5:5" ht="15.75" customHeight="1">
      <c r="E1796"/>
    </row>
    <row r="1797" spans="5:5" ht="15.75" customHeight="1">
      <c r="E1797"/>
    </row>
    <row r="1798" spans="5:5" ht="15.75" customHeight="1">
      <c r="E1798"/>
    </row>
    <row r="1799" spans="5:5" ht="15.75" customHeight="1">
      <c r="E1799"/>
    </row>
    <row r="1800" spans="5:5" ht="15.75" customHeight="1">
      <c r="E1800"/>
    </row>
    <row r="1801" spans="5:5" ht="15.75" customHeight="1">
      <c r="E1801"/>
    </row>
    <row r="1802" spans="5:5" ht="15.75" customHeight="1">
      <c r="E1802"/>
    </row>
    <row r="1803" spans="5:5" ht="15.75" customHeight="1">
      <c r="E1803"/>
    </row>
    <row r="1804" spans="5:5" ht="15.75" customHeight="1">
      <c r="E1804"/>
    </row>
    <row r="1805" spans="5:5" ht="15.75" customHeight="1">
      <c r="E1805"/>
    </row>
    <row r="1806" spans="5:5" ht="15.75" customHeight="1">
      <c r="E1806"/>
    </row>
    <row r="1807" spans="5:5" ht="15.75" customHeight="1">
      <c r="E1807"/>
    </row>
    <row r="1808" spans="5:5" ht="15.75" customHeight="1">
      <c r="E1808"/>
    </row>
    <row r="1809" spans="5:5" ht="15.75" customHeight="1">
      <c r="E1809"/>
    </row>
    <row r="1810" spans="5:5" ht="15.75" customHeight="1">
      <c r="E1810"/>
    </row>
    <row r="1811" spans="5:5" ht="15.75" customHeight="1">
      <c r="E1811"/>
    </row>
    <row r="1812" spans="5:5" ht="15.75" customHeight="1">
      <c r="E1812"/>
    </row>
    <row r="1813" spans="5:5" ht="15.75" customHeight="1">
      <c r="E1813"/>
    </row>
    <row r="1814" spans="5:5" ht="15.75" customHeight="1">
      <c r="E1814"/>
    </row>
    <row r="1815" spans="5:5" ht="15.75" customHeight="1">
      <c r="E1815"/>
    </row>
    <row r="1816" spans="5:5" ht="15.75" customHeight="1">
      <c r="E1816"/>
    </row>
    <row r="1817" spans="5:5" ht="15.75" customHeight="1">
      <c r="E1817"/>
    </row>
    <row r="1818" spans="5:5" ht="15.75" customHeight="1">
      <c r="E1818"/>
    </row>
    <row r="1819" spans="5:5" ht="15.75" customHeight="1">
      <c r="E1819"/>
    </row>
    <row r="1820" spans="5:5" ht="15.75" customHeight="1">
      <c r="E1820"/>
    </row>
    <row r="1821" spans="5:5" ht="15.75" customHeight="1">
      <c r="E1821"/>
    </row>
    <row r="1822" spans="5:5" ht="15.75" customHeight="1">
      <c r="E1822"/>
    </row>
    <row r="1823" spans="5:5" ht="15.75" customHeight="1">
      <c r="E1823"/>
    </row>
    <row r="1824" spans="5:5" ht="15.75" customHeight="1">
      <c r="E1824"/>
    </row>
    <row r="1825" spans="5:5" ht="15.75" customHeight="1">
      <c r="E1825"/>
    </row>
    <row r="1826" spans="5:5" ht="15.75" customHeight="1">
      <c r="E1826"/>
    </row>
    <row r="1827" spans="5:5" ht="15.75" customHeight="1">
      <c r="E1827"/>
    </row>
    <row r="1828" spans="5:5" ht="15.75" customHeight="1">
      <c r="E1828"/>
    </row>
    <row r="1829" spans="5:5" ht="15.75" customHeight="1">
      <c r="E1829"/>
    </row>
    <row r="1830" spans="5:5" ht="15.75" customHeight="1">
      <c r="E1830"/>
    </row>
    <row r="1831" spans="5:5" ht="15.75" customHeight="1">
      <c r="E1831"/>
    </row>
    <row r="1832" spans="5:5" ht="15.75" customHeight="1">
      <c r="E1832"/>
    </row>
    <row r="1833" spans="5:5" ht="15.75" customHeight="1">
      <c r="E1833"/>
    </row>
    <row r="1834" spans="5:5" ht="15.75" customHeight="1">
      <c r="E1834"/>
    </row>
    <row r="1835" spans="5:5" ht="15.75" customHeight="1">
      <c r="E1835"/>
    </row>
    <row r="1836" spans="5:5" ht="15.75" customHeight="1">
      <c r="E1836"/>
    </row>
    <row r="1837" spans="5:5" ht="15.75" customHeight="1">
      <c r="E1837"/>
    </row>
    <row r="1838" spans="5:5" ht="15.75" customHeight="1">
      <c r="E1838"/>
    </row>
    <row r="1839" spans="5:5" ht="15.75" customHeight="1">
      <c r="E1839"/>
    </row>
    <row r="1840" spans="5:5" ht="15.75" customHeight="1">
      <c r="E1840"/>
    </row>
    <row r="1841" spans="5:5" ht="15.75" customHeight="1">
      <c r="E1841"/>
    </row>
    <row r="1842" spans="5:5" ht="15.75" customHeight="1">
      <c r="E1842"/>
    </row>
    <row r="1843" spans="5:5" ht="15.75" customHeight="1">
      <c r="E1843"/>
    </row>
    <row r="1844" spans="5:5" ht="15.75" customHeight="1">
      <c r="E1844"/>
    </row>
    <row r="1845" spans="5:5" ht="15.75" customHeight="1">
      <c r="E1845"/>
    </row>
    <row r="1846" spans="5:5" ht="15.75" customHeight="1">
      <c r="E1846"/>
    </row>
    <row r="1847" spans="5:5" ht="15.75" customHeight="1">
      <c r="E1847"/>
    </row>
    <row r="1848" spans="5:5" ht="15.75" customHeight="1">
      <c r="E1848"/>
    </row>
    <row r="1849" spans="5:5" ht="15.75" customHeight="1">
      <c r="E1849"/>
    </row>
    <row r="1850" spans="5:5" ht="15.75" customHeight="1">
      <c r="E1850"/>
    </row>
    <row r="1851" spans="5:5" ht="15.75" customHeight="1">
      <c r="E1851"/>
    </row>
    <row r="1852" spans="5:5" ht="15.75" customHeight="1">
      <c r="E1852"/>
    </row>
    <row r="1853" spans="5:5" ht="15.75" customHeight="1">
      <c r="E1853"/>
    </row>
    <row r="1854" spans="5:5" ht="15.75" customHeight="1">
      <c r="E1854"/>
    </row>
    <row r="1855" spans="5:5" ht="15.75" customHeight="1">
      <c r="E1855"/>
    </row>
    <row r="1856" spans="5:5" ht="15.75" customHeight="1">
      <c r="E1856"/>
    </row>
    <row r="1857" spans="5:5" ht="15.75" customHeight="1">
      <c r="E1857"/>
    </row>
    <row r="1858" spans="5:5" ht="15.75" customHeight="1">
      <c r="E1858"/>
    </row>
    <row r="1859" spans="5:5" ht="15.75" customHeight="1">
      <c r="E1859"/>
    </row>
    <row r="1860" spans="5:5" ht="15.75" customHeight="1">
      <c r="E1860"/>
    </row>
    <row r="1861" spans="5:5" ht="15.75" customHeight="1">
      <c r="E1861"/>
    </row>
    <row r="1862" spans="5:5" ht="15.75" customHeight="1">
      <c r="E1862"/>
    </row>
    <row r="1863" spans="5:5" ht="15.75" customHeight="1">
      <c r="E1863"/>
    </row>
    <row r="1864" spans="5:5" ht="15.75" customHeight="1">
      <c r="E1864"/>
    </row>
    <row r="1865" spans="5:5" ht="15.75" customHeight="1">
      <c r="E1865"/>
    </row>
    <row r="1866" spans="5:5" ht="15.75" customHeight="1">
      <c r="E1866"/>
    </row>
    <row r="1867" spans="5:5" ht="15.75" customHeight="1">
      <c r="E1867"/>
    </row>
    <row r="1868" spans="5:5" ht="15.75" customHeight="1">
      <c r="E1868"/>
    </row>
    <row r="1869" spans="5:5" ht="15.75" customHeight="1">
      <c r="E1869"/>
    </row>
    <row r="1870" spans="5:5" ht="15.75" customHeight="1">
      <c r="E1870"/>
    </row>
    <row r="1871" spans="5:5" ht="15.75" customHeight="1">
      <c r="E1871"/>
    </row>
    <row r="1872" spans="5:5" ht="15.75" customHeight="1">
      <c r="E1872"/>
    </row>
    <row r="1873" spans="5:5" ht="15.75" customHeight="1">
      <c r="E1873"/>
    </row>
    <row r="1874" spans="5:5" ht="15.75" customHeight="1">
      <c r="E1874"/>
    </row>
    <row r="1875" spans="5:5" ht="15.75" customHeight="1">
      <c r="E1875"/>
    </row>
    <row r="1876" spans="5:5" ht="15.75" customHeight="1">
      <c r="E1876"/>
    </row>
    <row r="1877" spans="5:5" ht="15.75" customHeight="1">
      <c r="E1877"/>
    </row>
    <row r="1878" spans="5:5" ht="15.75" customHeight="1">
      <c r="E1878"/>
    </row>
    <row r="1879" spans="5:5" ht="15.75" customHeight="1">
      <c r="E1879"/>
    </row>
    <row r="1880" spans="5:5" ht="15.75" customHeight="1">
      <c r="E1880"/>
    </row>
    <row r="1881" spans="5:5" ht="15.75" customHeight="1">
      <c r="E1881"/>
    </row>
    <row r="1882" spans="5:5" ht="15.75" customHeight="1">
      <c r="E1882"/>
    </row>
    <row r="1883" spans="5:5" ht="15.75" customHeight="1">
      <c r="E1883"/>
    </row>
    <row r="1884" spans="5:5" ht="15.75" customHeight="1">
      <c r="E1884"/>
    </row>
    <row r="1885" spans="5:5" ht="15.75" customHeight="1">
      <c r="E1885"/>
    </row>
    <row r="1886" spans="5:5" ht="15.75" customHeight="1">
      <c r="E1886"/>
    </row>
    <row r="1887" spans="5:5" ht="15.75" customHeight="1">
      <c r="E1887"/>
    </row>
    <row r="1888" spans="5:5" ht="15.75" customHeight="1">
      <c r="E1888"/>
    </row>
    <row r="1889" spans="5:5" ht="15.75" customHeight="1">
      <c r="E1889"/>
    </row>
    <row r="1890" spans="5:5" ht="15.75" customHeight="1">
      <c r="E1890"/>
    </row>
    <row r="1891" spans="5:5" ht="15.75" customHeight="1">
      <c r="E1891"/>
    </row>
    <row r="1892" spans="5:5" ht="15.75" customHeight="1">
      <c r="E1892"/>
    </row>
    <row r="1893" spans="5:5" ht="15.75" customHeight="1">
      <c r="E1893"/>
    </row>
    <row r="1894" spans="5:5" ht="15.75" customHeight="1">
      <c r="E1894"/>
    </row>
    <row r="1895" spans="5:5" ht="15.75" customHeight="1">
      <c r="E1895"/>
    </row>
    <row r="1896" spans="5:5" ht="15.75" customHeight="1">
      <c r="E1896"/>
    </row>
    <row r="1897" spans="5:5" ht="15.75" customHeight="1">
      <c r="E1897"/>
    </row>
    <row r="1898" spans="5:5" ht="15.75" customHeight="1">
      <c r="E1898"/>
    </row>
    <row r="1899" spans="5:5" ht="15.75" customHeight="1">
      <c r="E1899"/>
    </row>
    <row r="1900" spans="5:5" ht="15.75" customHeight="1">
      <c r="E1900"/>
    </row>
    <row r="1901" spans="5:5" ht="15.75" customHeight="1">
      <c r="E1901"/>
    </row>
    <row r="1902" spans="5:5" ht="15.75" customHeight="1">
      <c r="E1902"/>
    </row>
    <row r="1903" spans="5:5" ht="15.75" customHeight="1">
      <c r="E1903"/>
    </row>
    <row r="1904" spans="5:5" ht="15.75" customHeight="1">
      <c r="E1904"/>
    </row>
    <row r="1905" spans="5:5" ht="15.75" customHeight="1">
      <c r="E1905"/>
    </row>
    <row r="1906" spans="5:5" ht="15.75" customHeight="1">
      <c r="E1906"/>
    </row>
    <row r="1907" spans="5:5" ht="15.75" customHeight="1">
      <c r="E1907"/>
    </row>
    <row r="1908" spans="5:5" ht="15.75" customHeight="1">
      <c r="E1908"/>
    </row>
    <row r="1909" spans="5:5" ht="15.75" customHeight="1">
      <c r="E1909"/>
    </row>
    <row r="1910" spans="5:5" ht="15.75" customHeight="1">
      <c r="E1910"/>
    </row>
    <row r="1911" spans="5:5" ht="15.75" customHeight="1">
      <c r="E1911"/>
    </row>
    <row r="1912" spans="5:5" ht="15.75" customHeight="1">
      <c r="E1912"/>
    </row>
    <row r="1913" spans="5:5" ht="15.75" customHeight="1">
      <c r="E1913"/>
    </row>
    <row r="1914" spans="5:5" ht="15.75" customHeight="1">
      <c r="E1914"/>
    </row>
    <row r="1915" spans="5:5" ht="15.75" customHeight="1">
      <c r="E1915"/>
    </row>
    <row r="1916" spans="5:5" ht="15.75" customHeight="1">
      <c r="E1916"/>
    </row>
    <row r="1917" spans="5:5" ht="15.75" customHeight="1">
      <c r="E1917"/>
    </row>
    <row r="1918" spans="5:5" ht="15.75" customHeight="1">
      <c r="E1918"/>
    </row>
    <row r="1919" spans="5:5" ht="15.75" customHeight="1">
      <c r="E1919"/>
    </row>
    <row r="1920" spans="5:5" ht="15.75" customHeight="1">
      <c r="E1920"/>
    </row>
    <row r="1921" spans="5:5" ht="15.75" customHeight="1">
      <c r="E1921"/>
    </row>
    <row r="1922" spans="5:5" ht="15.75" customHeight="1">
      <c r="E1922"/>
    </row>
    <row r="1923" spans="5:5" ht="15.75" customHeight="1">
      <c r="E1923"/>
    </row>
    <row r="1924" spans="5:5" ht="15.75" customHeight="1">
      <c r="E1924"/>
    </row>
    <row r="1925" spans="5:5" ht="15.75" customHeight="1">
      <c r="E1925"/>
    </row>
    <row r="1926" spans="5:5" ht="15.75" customHeight="1">
      <c r="E1926"/>
    </row>
    <row r="1927" spans="5:5" ht="15.75" customHeight="1">
      <c r="E1927"/>
    </row>
    <row r="1928" spans="5:5" ht="15.75" customHeight="1">
      <c r="E1928"/>
    </row>
    <row r="1929" spans="5:5" ht="15.75" customHeight="1">
      <c r="E1929"/>
    </row>
    <row r="1930" spans="5:5" ht="15.75" customHeight="1">
      <c r="E1930"/>
    </row>
    <row r="1931" spans="5:5" ht="15.75" customHeight="1">
      <c r="E1931"/>
    </row>
    <row r="1932" spans="5:5" ht="15.75" customHeight="1">
      <c r="E1932"/>
    </row>
    <row r="1933" spans="5:5" ht="15.75" customHeight="1">
      <c r="E1933"/>
    </row>
    <row r="1934" spans="5:5" ht="15.75" customHeight="1">
      <c r="E1934"/>
    </row>
    <row r="1935" spans="5:5" ht="15.75" customHeight="1">
      <c r="E1935"/>
    </row>
    <row r="1936" spans="5:5" ht="15.75" customHeight="1">
      <c r="E1936"/>
    </row>
    <row r="1937" spans="5:5" ht="15.75" customHeight="1">
      <c r="E1937"/>
    </row>
    <row r="1938" spans="5:5" ht="15.75" customHeight="1">
      <c r="E1938"/>
    </row>
    <row r="1939" spans="5:5" ht="15.75" customHeight="1">
      <c r="E1939"/>
    </row>
    <row r="1940" spans="5:5" ht="15.75" customHeight="1">
      <c r="E1940"/>
    </row>
    <row r="1941" spans="5:5" ht="15.75" customHeight="1">
      <c r="E1941"/>
    </row>
    <row r="1942" spans="5:5" ht="15.75" customHeight="1">
      <c r="E1942"/>
    </row>
    <row r="1943" spans="5:5" ht="15.75" customHeight="1">
      <c r="E1943"/>
    </row>
    <row r="1944" spans="5:5" ht="15.75" customHeight="1">
      <c r="E1944"/>
    </row>
    <row r="1945" spans="5:5" ht="15.75" customHeight="1">
      <c r="E1945"/>
    </row>
    <row r="1946" spans="5:5" ht="15.75" customHeight="1">
      <c r="E1946"/>
    </row>
    <row r="1947" spans="5:5" ht="15.75" customHeight="1">
      <c r="E1947"/>
    </row>
    <row r="1948" spans="5:5" ht="15.75" customHeight="1">
      <c r="E1948"/>
    </row>
    <row r="1949" spans="5:5" ht="15.75" customHeight="1">
      <c r="E1949"/>
    </row>
    <row r="1950" spans="5:5" ht="15.75" customHeight="1">
      <c r="E1950"/>
    </row>
    <row r="1951" spans="5:5" ht="15.75" customHeight="1">
      <c r="E1951"/>
    </row>
    <row r="1952" spans="5:5" ht="15.75" customHeight="1">
      <c r="E1952"/>
    </row>
    <row r="1953" spans="5:5" ht="15.75" customHeight="1">
      <c r="E1953"/>
    </row>
    <row r="1954" spans="5:5" ht="15.75" customHeight="1">
      <c r="E1954"/>
    </row>
    <row r="1955" spans="5:5" ht="15.75" customHeight="1">
      <c r="E1955"/>
    </row>
    <row r="1956" spans="5:5" ht="15.75" customHeight="1">
      <c r="E1956"/>
    </row>
    <row r="1957" spans="5:5" ht="15.75" customHeight="1">
      <c r="E1957"/>
    </row>
    <row r="1958" spans="5:5" ht="15.75" customHeight="1">
      <c r="E1958"/>
    </row>
    <row r="1959" spans="5:5" ht="15.75" customHeight="1">
      <c r="E1959"/>
    </row>
    <row r="1960" spans="5:5" ht="15.75" customHeight="1">
      <c r="E1960"/>
    </row>
    <row r="1961" spans="5:5" ht="15.75" customHeight="1">
      <c r="E1961"/>
    </row>
    <row r="1962" spans="5:5" ht="15.75" customHeight="1">
      <c r="E1962"/>
    </row>
    <row r="1963" spans="5:5" ht="15.75" customHeight="1">
      <c r="E1963"/>
    </row>
    <row r="1964" spans="5:5" ht="15.75" customHeight="1">
      <c r="E1964"/>
    </row>
    <row r="1965" spans="5:5" ht="15.75" customHeight="1">
      <c r="E1965"/>
    </row>
    <row r="1966" spans="5:5" ht="15.75" customHeight="1">
      <c r="E1966"/>
    </row>
    <row r="1967" spans="5:5" ht="15.75" customHeight="1">
      <c r="E1967"/>
    </row>
    <row r="1968" spans="5:5" ht="15.75" customHeight="1">
      <c r="E1968"/>
    </row>
    <row r="1969" spans="5:5" ht="15.75" customHeight="1">
      <c r="E1969"/>
    </row>
    <row r="1970" spans="5:5" ht="15.75" customHeight="1">
      <c r="E1970"/>
    </row>
    <row r="1971" spans="5:5" ht="15.75" customHeight="1">
      <c r="E1971"/>
    </row>
    <row r="1972" spans="5:5" ht="15.75" customHeight="1">
      <c r="E1972"/>
    </row>
    <row r="1973" spans="5:5" ht="15.75" customHeight="1">
      <c r="E1973"/>
    </row>
    <row r="1974" spans="5:5" ht="15.75" customHeight="1">
      <c r="E1974"/>
    </row>
    <row r="1975" spans="5:5" ht="15.75" customHeight="1">
      <c r="E1975"/>
    </row>
    <row r="1976" spans="5:5" ht="15.75" customHeight="1">
      <c r="E1976"/>
    </row>
    <row r="1977" spans="5:5" ht="15.75" customHeight="1">
      <c r="E1977"/>
    </row>
    <row r="1978" spans="5:5" ht="15.75" customHeight="1">
      <c r="E1978"/>
    </row>
    <row r="1979" spans="5:5" ht="15.75" customHeight="1">
      <c r="E1979"/>
    </row>
    <row r="1980" spans="5:5" ht="15.75" customHeight="1">
      <c r="E1980"/>
    </row>
    <row r="1981" spans="5:5" ht="15.75" customHeight="1">
      <c r="E1981"/>
    </row>
    <row r="1982" spans="5:5" ht="15.75" customHeight="1">
      <c r="E1982"/>
    </row>
    <row r="1983" spans="5:5" ht="15.75" customHeight="1">
      <c r="E1983"/>
    </row>
    <row r="1984" spans="5:5" ht="15.75" customHeight="1">
      <c r="E1984"/>
    </row>
    <row r="1985" spans="5:5" ht="15.75" customHeight="1">
      <c r="E1985"/>
    </row>
    <row r="1986" spans="5:5" ht="15.75" customHeight="1">
      <c r="E1986"/>
    </row>
    <row r="1987" spans="5:5" ht="15.75" customHeight="1">
      <c r="E1987"/>
    </row>
    <row r="1988" spans="5:5" ht="15.75" customHeight="1">
      <c r="E1988"/>
    </row>
    <row r="1989" spans="5:5" ht="15.75" customHeight="1">
      <c r="E1989"/>
    </row>
    <row r="1990" spans="5:5" ht="15.75" customHeight="1">
      <c r="E1990"/>
    </row>
    <row r="1991" spans="5:5" ht="15.75" customHeight="1">
      <c r="E1991"/>
    </row>
    <row r="1992" spans="5:5" ht="15.75" customHeight="1">
      <c r="E1992"/>
    </row>
    <row r="1993" spans="5:5" ht="15.75" customHeight="1">
      <c r="E1993"/>
    </row>
    <row r="1994" spans="5:5" ht="15.75" customHeight="1">
      <c r="E1994"/>
    </row>
    <row r="1995" spans="5:5" ht="15.75" customHeight="1">
      <c r="E1995"/>
    </row>
    <row r="1996" spans="5:5" ht="15.75" customHeight="1">
      <c r="E1996"/>
    </row>
    <row r="1997" spans="5:5" ht="15.75" customHeight="1">
      <c r="E1997"/>
    </row>
    <row r="1998" spans="5:5" ht="15.75" customHeight="1">
      <c r="E1998"/>
    </row>
    <row r="1999" spans="5:5" ht="15.75" customHeight="1">
      <c r="E1999"/>
    </row>
    <row r="2000" spans="5:5" ht="15.75" customHeight="1">
      <c r="E2000"/>
    </row>
    <row r="2001" spans="5:5" ht="15.75" customHeight="1">
      <c r="E2001"/>
    </row>
    <row r="2002" spans="5:5" ht="15.75" customHeight="1">
      <c r="E2002"/>
    </row>
    <row r="2003" spans="5:5" ht="15.75" customHeight="1">
      <c r="E2003"/>
    </row>
    <row r="2004" spans="5:5" ht="15.75" customHeight="1">
      <c r="E2004"/>
    </row>
    <row r="2005" spans="5:5" ht="15.75" customHeight="1">
      <c r="E2005"/>
    </row>
    <row r="2006" spans="5:5" ht="15.75" customHeight="1">
      <c r="E2006"/>
    </row>
    <row r="2007" spans="5:5" ht="15.75" customHeight="1">
      <c r="E2007"/>
    </row>
    <row r="2008" spans="5:5" ht="15.75" customHeight="1">
      <c r="E2008"/>
    </row>
    <row r="2009" spans="5:5" ht="15.75" customHeight="1">
      <c r="E2009"/>
    </row>
    <row r="2010" spans="5:5" ht="15.75" customHeight="1">
      <c r="E2010"/>
    </row>
    <row r="2011" spans="5:5" ht="15.75" customHeight="1">
      <c r="E2011"/>
    </row>
    <row r="2012" spans="5:5" ht="15.75" customHeight="1">
      <c r="E2012"/>
    </row>
    <row r="2013" spans="5:5" ht="15.75" customHeight="1">
      <c r="E2013"/>
    </row>
    <row r="2014" spans="5:5" ht="15.75" customHeight="1">
      <c r="E2014"/>
    </row>
    <row r="2015" spans="5:5" ht="15.75" customHeight="1">
      <c r="E2015"/>
    </row>
    <row r="2016" spans="5:5" ht="15.75" customHeight="1">
      <c r="E2016"/>
    </row>
    <row r="2017" spans="5:5" ht="15.75" customHeight="1">
      <c r="E2017"/>
    </row>
    <row r="2018" spans="5:5" ht="15.75" customHeight="1">
      <c r="E2018"/>
    </row>
    <row r="2019" spans="5:5" ht="15.75" customHeight="1">
      <c r="E2019"/>
    </row>
    <row r="2020" spans="5:5" ht="15.75" customHeight="1">
      <c r="E2020"/>
    </row>
    <row r="2021" spans="5:5" ht="15.75" customHeight="1">
      <c r="E2021"/>
    </row>
    <row r="2022" spans="5:5" ht="15.75" customHeight="1">
      <c r="E2022"/>
    </row>
    <row r="2023" spans="5:5" ht="15.75" customHeight="1">
      <c r="E2023"/>
    </row>
    <row r="2024" spans="5:5" ht="15.75" customHeight="1">
      <c r="E2024"/>
    </row>
    <row r="2025" spans="5:5" ht="15.75" customHeight="1">
      <c r="E2025"/>
    </row>
    <row r="2026" spans="5:5" ht="15.75" customHeight="1">
      <c r="E2026"/>
    </row>
    <row r="2027" spans="5:5" ht="15.75" customHeight="1">
      <c r="E2027"/>
    </row>
    <row r="2028" spans="5:5" ht="15.75" customHeight="1">
      <c r="E2028"/>
    </row>
    <row r="2029" spans="5:5" ht="15.75" customHeight="1">
      <c r="E2029"/>
    </row>
    <row r="2030" spans="5:5" ht="15.75" customHeight="1">
      <c r="E2030"/>
    </row>
    <row r="2031" spans="5:5" ht="15.75" customHeight="1">
      <c r="E2031"/>
    </row>
    <row r="2032" spans="5:5" ht="15.75" customHeight="1">
      <c r="E2032"/>
    </row>
    <row r="2033" spans="5:5" ht="15.75" customHeight="1">
      <c r="E2033"/>
    </row>
    <row r="2034" spans="5:5" ht="15.75" customHeight="1">
      <c r="E2034"/>
    </row>
    <row r="2035" spans="5:5" ht="15.75" customHeight="1">
      <c r="E2035"/>
    </row>
  </sheetData>
  <sortState xmlns:xlrd2="http://schemas.microsoft.com/office/spreadsheetml/2017/richdata2" ref="D24:F35">
    <sortCondition descending="1" ref="D26"/>
  </sortState>
  <mergeCells count="12">
    <mergeCell ref="D23:E23"/>
    <mergeCell ref="D40:E40"/>
    <mergeCell ref="K43:Q51"/>
    <mergeCell ref="K7:Q11"/>
    <mergeCell ref="H25:I25"/>
    <mergeCell ref="K16:Q20"/>
    <mergeCell ref="K25:Q29"/>
    <mergeCell ref="K34:Q38"/>
    <mergeCell ref="H7:I7"/>
    <mergeCell ref="D7:E7"/>
    <mergeCell ref="D15:E15"/>
    <mergeCell ref="H15:I15"/>
  </mergeCells>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K1004"/>
  <sheetViews>
    <sheetView zoomScale="114" workbookViewId="0">
      <selection activeCell="H23" sqref="H23"/>
    </sheetView>
  </sheetViews>
  <sheetFormatPr baseColWidth="10" defaultColWidth="12.6640625" defaultRowHeight="15.75" customHeight="1"/>
  <cols>
    <col min="2" max="2" width="11.1640625" customWidth="1"/>
    <col min="3" max="3" width="4" customWidth="1"/>
    <col min="5" max="5" width="3.83203125" customWidth="1"/>
    <col min="6" max="6" width="11.33203125" style="63" customWidth="1"/>
    <col min="7" max="7" width="4.1640625" customWidth="1"/>
    <col min="9" max="9" width="19.6640625" customWidth="1"/>
    <col min="10" max="10" width="22.5" customWidth="1"/>
    <col min="11" max="11" width="6.83203125" customWidth="1"/>
  </cols>
  <sheetData>
    <row r="1" spans="1:11" ht="15.75" customHeight="1">
      <c r="F1"/>
    </row>
    <row r="2" spans="1:11" ht="15.75" customHeight="1">
      <c r="A2" s="90" t="s">
        <v>1126</v>
      </c>
      <c r="B2" s="90"/>
      <c r="D2" s="90" t="s">
        <v>1127</v>
      </c>
      <c r="E2" s="90"/>
      <c r="F2" s="90"/>
      <c r="H2" s="90" t="s">
        <v>1129</v>
      </c>
      <c r="I2" s="90"/>
    </row>
    <row r="3" spans="1:11" ht="38" customHeight="1">
      <c r="A3" s="91">
        <f>'Pivot Table'!E47</f>
        <v>6771</v>
      </c>
      <c r="B3" s="91"/>
      <c r="C3" s="60"/>
      <c r="D3" s="92">
        <f>'Pivot Table'!E12</f>
        <v>4263490140</v>
      </c>
      <c r="E3" s="92"/>
      <c r="F3" s="92"/>
      <c r="G3" s="60"/>
      <c r="H3" s="113" t="s">
        <v>98</v>
      </c>
      <c r="I3" s="113"/>
      <c r="J3" s="60"/>
    </row>
    <row r="4" spans="1:11" ht="15.75" customHeight="1">
      <c r="A4" s="61"/>
      <c r="B4" s="61"/>
      <c r="C4" s="61"/>
      <c r="D4" s="61"/>
      <c r="E4" s="61"/>
      <c r="F4" s="61"/>
      <c r="G4" s="61"/>
      <c r="H4" s="61"/>
      <c r="I4" s="61"/>
      <c r="J4" s="61"/>
      <c r="K4" s="17"/>
    </row>
    <row r="5" spans="1:11" ht="15.75" customHeight="1">
      <c r="A5" s="58"/>
      <c r="B5" s="58"/>
      <c r="C5" s="58"/>
      <c r="D5" s="58"/>
      <c r="E5" s="58"/>
      <c r="F5" s="58"/>
      <c r="G5" s="58"/>
      <c r="H5" s="58"/>
      <c r="I5" s="58"/>
      <c r="J5" s="58"/>
      <c r="K5" s="17"/>
    </row>
    <row r="6" spans="1:11" ht="15">
      <c r="A6" s="93" t="s">
        <v>1122</v>
      </c>
      <c r="B6" s="94"/>
      <c r="C6" s="94"/>
      <c r="D6" s="95"/>
      <c r="E6" s="17"/>
      <c r="F6" s="107" t="s">
        <v>1124</v>
      </c>
      <c r="G6" s="108"/>
      <c r="H6" s="108"/>
      <c r="I6" s="109"/>
      <c r="K6" s="17"/>
    </row>
    <row r="7" spans="1:11" ht="15.75" customHeight="1">
      <c r="A7" s="96"/>
      <c r="B7" s="97"/>
      <c r="C7" s="97"/>
      <c r="D7" s="98"/>
      <c r="E7" s="17"/>
      <c r="F7" s="56"/>
      <c r="G7" s="48"/>
      <c r="H7" s="48"/>
      <c r="I7" s="49"/>
      <c r="K7" s="17"/>
    </row>
    <row r="8" spans="1:11" ht="15.75" customHeight="1">
      <c r="A8" s="99"/>
      <c r="B8" s="100"/>
      <c r="C8" s="100"/>
      <c r="D8" s="101"/>
      <c r="E8" s="17"/>
      <c r="F8" s="50"/>
      <c r="G8" s="51"/>
      <c r="H8" s="51"/>
      <c r="I8" s="52"/>
      <c r="K8" s="17"/>
    </row>
    <row r="9" spans="1:11" ht="15.75" customHeight="1">
      <c r="A9" s="99"/>
      <c r="B9" s="100"/>
      <c r="C9" s="100"/>
      <c r="D9" s="101"/>
      <c r="E9" s="17"/>
      <c r="F9" s="50"/>
      <c r="G9" s="51"/>
      <c r="H9" s="51"/>
      <c r="I9" s="52"/>
      <c r="K9" s="17"/>
    </row>
    <row r="10" spans="1:11" ht="15.75" customHeight="1">
      <c r="A10" s="99"/>
      <c r="B10" s="100"/>
      <c r="C10" s="100"/>
      <c r="D10" s="101"/>
      <c r="E10" s="17"/>
      <c r="F10" s="50"/>
      <c r="G10" s="51"/>
      <c r="H10" s="51"/>
      <c r="I10" s="52"/>
      <c r="K10" s="17"/>
    </row>
    <row r="11" spans="1:11" ht="15.75" customHeight="1">
      <c r="A11" s="99"/>
      <c r="B11" s="100"/>
      <c r="C11" s="100"/>
      <c r="D11" s="101"/>
      <c r="E11" s="17"/>
      <c r="F11" s="50"/>
      <c r="G11" s="51"/>
      <c r="H11" s="51"/>
      <c r="I11" s="52"/>
      <c r="K11" s="17"/>
    </row>
    <row r="12" spans="1:11" ht="15.75" customHeight="1">
      <c r="A12" s="99"/>
      <c r="B12" s="100"/>
      <c r="C12" s="100"/>
      <c r="D12" s="101"/>
      <c r="E12" s="17"/>
      <c r="F12" s="50"/>
      <c r="G12" s="51"/>
      <c r="H12" s="51"/>
      <c r="I12" s="52"/>
      <c r="K12" s="17"/>
    </row>
    <row r="13" spans="1:11" ht="15.75" customHeight="1">
      <c r="A13" s="99"/>
      <c r="B13" s="100"/>
      <c r="C13" s="100"/>
      <c r="D13" s="101"/>
      <c r="E13" s="17"/>
      <c r="F13" s="50"/>
      <c r="G13" s="51"/>
      <c r="H13" s="51"/>
      <c r="I13" s="52"/>
      <c r="K13" s="17"/>
    </row>
    <row r="14" spans="1:11" ht="15.75" customHeight="1">
      <c r="A14" s="99"/>
      <c r="B14" s="100"/>
      <c r="C14" s="100"/>
      <c r="D14" s="101"/>
      <c r="E14" s="17"/>
      <c r="F14" s="50"/>
      <c r="G14" s="51"/>
      <c r="H14" s="51"/>
      <c r="I14" s="52"/>
      <c r="K14" s="17"/>
    </row>
    <row r="15" spans="1:11" ht="15.75" customHeight="1">
      <c r="A15" s="99"/>
      <c r="B15" s="100"/>
      <c r="C15" s="100"/>
      <c r="D15" s="101"/>
      <c r="E15" s="17"/>
      <c r="F15" s="50"/>
      <c r="G15" s="51"/>
      <c r="H15" s="51"/>
      <c r="I15" s="52"/>
      <c r="K15" s="17"/>
    </row>
    <row r="16" spans="1:11" ht="15.75" customHeight="1">
      <c r="A16" s="99"/>
      <c r="B16" s="100"/>
      <c r="C16" s="100"/>
      <c r="D16" s="101"/>
      <c r="E16" s="17"/>
      <c r="F16" s="50"/>
      <c r="G16" s="51"/>
      <c r="H16" s="51"/>
      <c r="I16" s="52"/>
      <c r="K16" s="17"/>
    </row>
    <row r="17" spans="1:11" ht="15.75" customHeight="1">
      <c r="A17" s="99"/>
      <c r="B17" s="100"/>
      <c r="C17" s="100"/>
      <c r="D17" s="101"/>
      <c r="E17" s="17"/>
      <c r="F17" s="50"/>
      <c r="G17" s="51"/>
      <c r="H17" s="51"/>
      <c r="I17" s="52"/>
      <c r="K17" s="17"/>
    </row>
    <row r="18" spans="1:11" ht="15.75" customHeight="1">
      <c r="A18" s="99"/>
      <c r="B18" s="100"/>
      <c r="C18" s="100"/>
      <c r="D18" s="101"/>
      <c r="E18" s="17"/>
      <c r="F18" s="50"/>
      <c r="G18" s="51"/>
      <c r="H18" s="51"/>
      <c r="I18" s="52"/>
      <c r="K18" s="17"/>
    </row>
    <row r="19" spans="1:11" ht="15.75" customHeight="1">
      <c r="A19" s="102"/>
      <c r="B19" s="103"/>
      <c r="C19" s="103"/>
      <c r="D19" s="104"/>
      <c r="E19" s="17"/>
      <c r="F19" s="53"/>
      <c r="G19" s="54"/>
      <c r="H19" s="54"/>
      <c r="I19" s="55"/>
      <c r="K19" s="17"/>
    </row>
    <row r="20" spans="1:11" ht="15.75" customHeight="1">
      <c r="A20" s="17"/>
      <c r="B20" s="17"/>
      <c r="C20" s="17"/>
      <c r="D20" s="17"/>
      <c r="E20" s="17"/>
      <c r="F20" s="17"/>
      <c r="G20" s="17"/>
      <c r="H20" s="17"/>
      <c r="I20" s="17"/>
      <c r="K20" s="17"/>
    </row>
    <row r="21" spans="1:11" ht="15.75" customHeight="1">
      <c r="A21" s="17"/>
      <c r="B21" s="17"/>
      <c r="C21" s="17"/>
      <c r="D21" s="17"/>
      <c r="E21" s="17"/>
      <c r="F21" s="17"/>
      <c r="G21" s="17"/>
      <c r="H21" s="17"/>
      <c r="I21" s="17"/>
      <c r="K21" s="17"/>
    </row>
    <row r="22" spans="1:11" ht="16" customHeight="1">
      <c r="A22" s="105" t="s">
        <v>1123</v>
      </c>
      <c r="B22" s="94"/>
      <c r="C22" s="94"/>
      <c r="D22" s="95"/>
      <c r="E22" s="18"/>
      <c r="F22" s="110" t="s">
        <v>1125</v>
      </c>
      <c r="G22" s="111"/>
      <c r="H22" s="111"/>
      <c r="I22" s="112"/>
      <c r="K22" s="17"/>
    </row>
    <row r="23" spans="1:11" ht="15.75" customHeight="1">
      <c r="A23" s="106"/>
      <c r="B23" s="97"/>
      <c r="C23" s="97"/>
      <c r="D23" s="98"/>
      <c r="E23" s="18"/>
      <c r="F23" s="57"/>
      <c r="G23" s="48"/>
      <c r="H23" s="48"/>
      <c r="I23" s="49"/>
      <c r="K23" s="17"/>
    </row>
    <row r="24" spans="1:11" ht="15.75" customHeight="1">
      <c r="A24" s="99"/>
      <c r="B24" s="100"/>
      <c r="C24" s="100"/>
      <c r="D24" s="101"/>
      <c r="E24" s="18"/>
      <c r="F24" s="50"/>
      <c r="G24" s="51"/>
      <c r="H24" s="51"/>
      <c r="I24" s="52"/>
      <c r="K24" s="17"/>
    </row>
    <row r="25" spans="1:11" ht="15.75" customHeight="1">
      <c r="A25" s="99"/>
      <c r="B25" s="100"/>
      <c r="C25" s="100"/>
      <c r="D25" s="101"/>
      <c r="E25" s="18"/>
      <c r="F25" s="50"/>
      <c r="G25" s="51"/>
      <c r="H25" s="51"/>
      <c r="I25" s="52"/>
      <c r="K25" s="17"/>
    </row>
    <row r="26" spans="1:11" ht="15.75" customHeight="1">
      <c r="A26" s="99"/>
      <c r="B26" s="100"/>
      <c r="C26" s="100"/>
      <c r="D26" s="101"/>
      <c r="E26" s="18"/>
      <c r="F26" s="50"/>
      <c r="G26" s="51"/>
      <c r="H26" s="51"/>
      <c r="I26" s="52"/>
      <c r="K26" s="17"/>
    </row>
    <row r="27" spans="1:11" ht="15.75" customHeight="1">
      <c r="A27" s="99"/>
      <c r="B27" s="100"/>
      <c r="C27" s="100"/>
      <c r="D27" s="101"/>
      <c r="E27" s="18"/>
      <c r="F27" s="50"/>
      <c r="G27" s="51"/>
      <c r="H27" s="51"/>
      <c r="I27" s="52"/>
      <c r="K27" s="17"/>
    </row>
    <row r="28" spans="1:11" ht="15.75" customHeight="1">
      <c r="A28" s="99"/>
      <c r="B28" s="100"/>
      <c r="C28" s="100"/>
      <c r="D28" s="101"/>
      <c r="E28" s="18"/>
      <c r="F28" s="50"/>
      <c r="G28" s="51"/>
      <c r="H28" s="51"/>
      <c r="I28" s="52"/>
      <c r="K28" s="17"/>
    </row>
    <row r="29" spans="1:11" ht="15.75" customHeight="1">
      <c r="A29" s="99"/>
      <c r="B29" s="100"/>
      <c r="C29" s="100"/>
      <c r="D29" s="101"/>
      <c r="E29" s="18"/>
      <c r="F29" s="50"/>
      <c r="G29" s="51"/>
      <c r="H29" s="51"/>
      <c r="I29" s="52"/>
      <c r="K29" s="17"/>
    </row>
    <row r="30" spans="1:11" ht="15.75" customHeight="1">
      <c r="A30" s="99"/>
      <c r="B30" s="100"/>
      <c r="C30" s="100"/>
      <c r="D30" s="101"/>
      <c r="E30" s="18"/>
      <c r="F30" s="50"/>
      <c r="G30" s="51"/>
      <c r="H30" s="51"/>
      <c r="I30" s="52"/>
      <c r="K30" s="17"/>
    </row>
    <row r="31" spans="1:11" ht="15.75" customHeight="1">
      <c r="A31" s="99"/>
      <c r="B31" s="100"/>
      <c r="C31" s="100"/>
      <c r="D31" s="101"/>
      <c r="E31" s="18"/>
      <c r="F31" s="50"/>
      <c r="G31" s="51"/>
      <c r="H31" s="51"/>
      <c r="I31" s="52"/>
      <c r="K31" s="17"/>
    </row>
    <row r="32" spans="1:11" ht="15.75" customHeight="1">
      <c r="A32" s="99"/>
      <c r="B32" s="100"/>
      <c r="C32" s="100"/>
      <c r="D32" s="101"/>
      <c r="E32" s="18"/>
      <c r="F32" s="50"/>
      <c r="G32" s="51"/>
      <c r="H32" s="51"/>
      <c r="I32" s="52"/>
      <c r="K32" s="17"/>
    </row>
    <row r="33" spans="1:11" ht="15.75" customHeight="1">
      <c r="A33" s="99"/>
      <c r="B33" s="100"/>
      <c r="C33" s="100"/>
      <c r="D33" s="101"/>
      <c r="E33" s="18"/>
      <c r="F33" s="50"/>
      <c r="G33" s="51"/>
      <c r="H33" s="51"/>
      <c r="I33" s="52"/>
      <c r="K33" s="17"/>
    </row>
    <row r="34" spans="1:11" ht="15.75" customHeight="1">
      <c r="A34" s="99"/>
      <c r="B34" s="100"/>
      <c r="C34" s="100"/>
      <c r="D34" s="101"/>
      <c r="E34" s="18"/>
      <c r="F34" s="50"/>
      <c r="G34" s="51"/>
      <c r="H34" s="51"/>
      <c r="I34" s="52"/>
      <c r="K34" s="17"/>
    </row>
    <row r="35" spans="1:11" ht="15.75" customHeight="1">
      <c r="A35" s="102"/>
      <c r="B35" s="103"/>
      <c r="C35" s="103"/>
      <c r="D35" s="104"/>
      <c r="E35" s="18"/>
      <c r="F35" s="53"/>
      <c r="G35" s="54"/>
      <c r="H35" s="54"/>
      <c r="I35" s="55"/>
      <c r="K35" s="17"/>
    </row>
    <row r="36" spans="1:11" ht="15.75" customHeight="1">
      <c r="A36" s="17"/>
      <c r="B36" s="17"/>
      <c r="C36" s="17"/>
      <c r="D36" s="17"/>
      <c r="E36" s="17"/>
      <c r="F36" s="62"/>
      <c r="G36" s="17"/>
      <c r="H36" s="17"/>
      <c r="I36" s="17"/>
      <c r="J36" s="17"/>
      <c r="K36" s="17"/>
    </row>
    <row r="37" spans="1:11" ht="15.75" customHeight="1">
      <c r="A37" s="17"/>
      <c r="B37" s="17"/>
      <c r="C37" s="17"/>
      <c r="D37" s="17"/>
      <c r="E37" s="17"/>
      <c r="F37" s="62"/>
      <c r="G37" s="17"/>
      <c r="H37" s="17"/>
      <c r="I37" s="17"/>
      <c r="J37" s="17"/>
      <c r="K37" s="17"/>
    </row>
    <row r="38" spans="1:11" ht="15.75" customHeight="1">
      <c r="A38" s="17"/>
      <c r="B38" s="17"/>
      <c r="C38" s="17"/>
      <c r="D38" s="17"/>
      <c r="E38" s="17"/>
      <c r="F38" s="62"/>
      <c r="G38" s="17"/>
      <c r="H38" s="17"/>
      <c r="I38" s="17"/>
      <c r="J38" s="17"/>
      <c r="K38" s="17"/>
    </row>
    <row r="39" spans="1:11" ht="15.75" customHeight="1">
      <c r="A39" s="17"/>
      <c r="B39" s="17"/>
      <c r="C39" s="17"/>
      <c r="D39" s="17"/>
      <c r="E39" s="17"/>
      <c r="F39" s="62"/>
      <c r="G39" s="17"/>
      <c r="H39" s="17"/>
      <c r="I39" s="17"/>
      <c r="J39" s="17"/>
      <c r="K39" s="17"/>
    </row>
    <row r="40" spans="1:11" ht="15.75" customHeight="1">
      <c r="A40" s="17"/>
      <c r="B40" s="17"/>
      <c r="C40" s="17"/>
      <c r="D40" s="17"/>
      <c r="E40" s="17"/>
      <c r="F40" s="62"/>
      <c r="G40" s="17"/>
      <c r="H40" s="17"/>
      <c r="I40" s="17"/>
      <c r="J40" s="17"/>
      <c r="K40" s="17"/>
    </row>
    <row r="41" spans="1:11" ht="15.75" customHeight="1">
      <c r="A41" s="17"/>
      <c r="B41" s="17"/>
      <c r="C41" s="17"/>
      <c r="D41" s="17"/>
      <c r="E41" s="17"/>
      <c r="F41" s="62"/>
      <c r="G41" s="17"/>
      <c r="H41" s="17"/>
      <c r="I41" s="17"/>
      <c r="J41" s="17"/>
      <c r="K41" s="17"/>
    </row>
    <row r="42" spans="1:11" ht="15.75" customHeight="1">
      <c r="A42" s="17"/>
      <c r="B42" s="17"/>
      <c r="C42" s="17"/>
      <c r="D42" s="17"/>
      <c r="E42" s="17"/>
      <c r="F42" s="62"/>
      <c r="G42" s="17"/>
      <c r="H42" s="17"/>
      <c r="I42" s="17"/>
      <c r="J42" s="17"/>
      <c r="K42" s="17"/>
    </row>
    <row r="43" spans="1:11" ht="15.75" customHeight="1">
      <c r="A43" s="17"/>
      <c r="B43" s="17"/>
      <c r="C43" s="17"/>
      <c r="D43" s="17"/>
      <c r="E43" s="17"/>
      <c r="F43" s="62"/>
      <c r="G43" s="17"/>
      <c r="H43" s="17"/>
      <c r="I43" s="17"/>
      <c r="J43" s="17"/>
      <c r="K43" s="17"/>
    </row>
    <row r="44" spans="1:11" ht="15.75" customHeight="1">
      <c r="A44" s="17"/>
      <c r="B44" s="17"/>
      <c r="C44" s="17"/>
      <c r="D44" s="17"/>
      <c r="E44" s="17"/>
      <c r="F44" s="62"/>
      <c r="G44" s="17"/>
      <c r="H44" s="17"/>
      <c r="I44" s="17"/>
      <c r="J44" s="17"/>
      <c r="K44" s="17"/>
    </row>
    <row r="45" spans="1:11" ht="15.75" customHeight="1">
      <c r="A45" s="17"/>
      <c r="B45" s="17"/>
      <c r="C45" s="17"/>
      <c r="D45" s="17"/>
      <c r="E45" s="17"/>
      <c r="F45" s="62"/>
      <c r="G45" s="17"/>
      <c r="H45" s="17"/>
      <c r="I45" s="17"/>
      <c r="J45" s="17"/>
      <c r="K45" s="17"/>
    </row>
    <row r="46" spans="1:11" ht="15.75" customHeight="1">
      <c r="A46" s="17"/>
      <c r="B46" s="17"/>
      <c r="C46" s="17"/>
      <c r="D46" s="17"/>
      <c r="E46" s="17"/>
      <c r="F46" s="62"/>
      <c r="G46" s="17"/>
      <c r="H46" s="17"/>
      <c r="I46" s="17"/>
      <c r="J46" s="17"/>
      <c r="K46" s="17"/>
    </row>
    <row r="47" spans="1:11" ht="15.75" customHeight="1">
      <c r="A47" s="17"/>
      <c r="B47" s="17"/>
      <c r="C47" s="17"/>
      <c r="D47" s="17"/>
      <c r="E47" s="17"/>
      <c r="F47" s="62"/>
      <c r="G47" s="17"/>
      <c r="H47" s="17"/>
      <c r="I47" s="17"/>
      <c r="J47" s="17"/>
      <c r="K47" s="17"/>
    </row>
    <row r="48" spans="1:11" ht="15.75" customHeight="1">
      <c r="A48" s="17"/>
      <c r="B48" s="17"/>
      <c r="C48" s="17"/>
      <c r="D48" s="17"/>
      <c r="E48" s="17"/>
      <c r="F48" s="62"/>
      <c r="G48" s="17"/>
      <c r="H48" s="17"/>
      <c r="I48" s="17"/>
      <c r="J48" s="17"/>
      <c r="K48" s="17"/>
    </row>
    <row r="49" spans="1:11" ht="15.75" customHeight="1">
      <c r="A49" s="17"/>
      <c r="B49" s="17"/>
      <c r="C49" s="17"/>
      <c r="D49" s="17"/>
      <c r="E49" s="17"/>
      <c r="F49" s="62"/>
      <c r="G49" s="17"/>
      <c r="H49" s="17"/>
      <c r="I49" s="17"/>
      <c r="J49" s="17"/>
      <c r="K49" s="17"/>
    </row>
    <row r="50" spans="1:11" ht="15.75" customHeight="1">
      <c r="A50" s="17"/>
      <c r="B50" s="17"/>
      <c r="C50" s="17"/>
      <c r="D50" s="17"/>
      <c r="E50" s="17"/>
      <c r="F50" s="62"/>
      <c r="G50" s="17"/>
      <c r="H50" s="17"/>
      <c r="I50" s="17"/>
      <c r="J50" s="17"/>
      <c r="K50" s="17"/>
    </row>
    <row r="51" spans="1:11" ht="15.75" customHeight="1">
      <c r="A51" s="17"/>
      <c r="B51" s="17"/>
      <c r="C51" s="17"/>
      <c r="D51" s="17"/>
      <c r="E51" s="17"/>
      <c r="F51" s="62"/>
      <c r="G51" s="17"/>
      <c r="H51" s="17"/>
      <c r="I51" s="17"/>
      <c r="J51" s="17"/>
      <c r="K51" s="17"/>
    </row>
    <row r="52" spans="1:11" ht="15.75" customHeight="1">
      <c r="A52" s="17"/>
      <c r="B52" s="17"/>
      <c r="C52" s="17"/>
      <c r="D52" s="17"/>
      <c r="E52" s="17"/>
      <c r="F52" s="62"/>
      <c r="G52" s="17"/>
      <c r="H52" s="17"/>
      <c r="I52" s="17"/>
      <c r="J52" s="17"/>
      <c r="K52" s="17"/>
    </row>
    <row r="53" spans="1:11" ht="13">
      <c r="A53" s="17"/>
      <c r="B53" s="17"/>
      <c r="C53" s="17"/>
      <c r="D53" s="17"/>
      <c r="E53" s="17"/>
      <c r="F53" s="62"/>
      <c r="G53" s="17"/>
      <c r="H53" s="17"/>
      <c r="I53" s="17"/>
      <c r="J53" s="17"/>
      <c r="K53" s="17"/>
    </row>
    <row r="54" spans="1:11" ht="13">
      <c r="A54" s="17"/>
      <c r="B54" s="17"/>
      <c r="C54" s="17"/>
      <c r="D54" s="17"/>
      <c r="E54" s="17"/>
      <c r="F54" s="62"/>
      <c r="G54" s="17"/>
      <c r="H54" s="17"/>
      <c r="I54" s="17"/>
      <c r="J54" s="17"/>
      <c r="K54" s="17"/>
    </row>
    <row r="55" spans="1:11" ht="13">
      <c r="A55" s="17"/>
      <c r="B55" s="17"/>
      <c r="C55" s="17"/>
      <c r="D55" s="17"/>
      <c r="E55" s="17"/>
      <c r="F55" s="62"/>
      <c r="G55" s="17"/>
      <c r="H55" s="17"/>
      <c r="I55" s="17"/>
      <c r="J55" s="17"/>
      <c r="K55" s="17"/>
    </row>
    <row r="56" spans="1:11" ht="13">
      <c r="A56" s="17"/>
      <c r="B56" s="17"/>
      <c r="C56" s="17"/>
      <c r="D56" s="17"/>
      <c r="E56" s="17"/>
      <c r="F56" s="62"/>
      <c r="G56" s="17"/>
      <c r="H56" s="17"/>
      <c r="I56" s="17"/>
      <c r="J56" s="17"/>
      <c r="K56" s="17"/>
    </row>
    <row r="57" spans="1:11" ht="13">
      <c r="A57" s="17"/>
      <c r="B57" s="17"/>
      <c r="C57" s="17"/>
      <c r="D57" s="17"/>
      <c r="E57" s="17"/>
      <c r="F57" s="62"/>
      <c r="G57" s="17"/>
      <c r="H57" s="17"/>
      <c r="I57" s="17"/>
      <c r="J57" s="17"/>
      <c r="K57" s="17"/>
    </row>
    <row r="58" spans="1:11" ht="13">
      <c r="A58" s="17"/>
      <c r="B58" s="17"/>
      <c r="C58" s="17"/>
      <c r="D58" s="17"/>
      <c r="E58" s="17"/>
      <c r="F58" s="62"/>
      <c r="G58" s="17"/>
      <c r="H58" s="17"/>
      <c r="I58" s="17"/>
      <c r="J58" s="17"/>
      <c r="K58" s="17"/>
    </row>
    <row r="59" spans="1:11" ht="13">
      <c r="A59" s="17"/>
      <c r="B59" s="17"/>
      <c r="C59" s="17"/>
      <c r="D59" s="17"/>
      <c r="E59" s="17"/>
      <c r="F59" s="62"/>
      <c r="G59" s="17"/>
      <c r="H59" s="17"/>
      <c r="I59" s="17"/>
      <c r="J59" s="17"/>
      <c r="K59" s="17"/>
    </row>
    <row r="60" spans="1:11" ht="13">
      <c r="A60" s="17"/>
      <c r="B60" s="17"/>
      <c r="C60" s="17"/>
      <c r="D60" s="17"/>
      <c r="E60" s="17"/>
      <c r="F60" s="62"/>
      <c r="G60" s="17"/>
      <c r="H60" s="17"/>
      <c r="I60" s="17"/>
      <c r="J60" s="17"/>
      <c r="K60" s="17"/>
    </row>
    <row r="61" spans="1:11" ht="13">
      <c r="A61" s="17"/>
      <c r="B61" s="17"/>
      <c r="C61" s="17"/>
      <c r="D61" s="17"/>
      <c r="E61" s="17"/>
      <c r="F61" s="62"/>
      <c r="G61" s="17"/>
      <c r="H61" s="17"/>
      <c r="I61" s="17"/>
      <c r="J61" s="17"/>
      <c r="K61" s="17"/>
    </row>
    <row r="62" spans="1:11" ht="13">
      <c r="A62" s="17"/>
      <c r="B62" s="17"/>
      <c r="C62" s="17"/>
      <c r="D62" s="17"/>
      <c r="E62" s="17"/>
      <c r="F62" s="62"/>
      <c r="G62" s="17"/>
      <c r="H62" s="17"/>
      <c r="I62" s="17"/>
      <c r="J62" s="17"/>
      <c r="K62" s="17"/>
    </row>
    <row r="63" spans="1:11" ht="13">
      <c r="A63" s="17"/>
      <c r="B63" s="17"/>
      <c r="C63" s="17"/>
      <c r="D63" s="17"/>
      <c r="E63" s="17"/>
      <c r="F63" s="62"/>
      <c r="G63" s="17"/>
      <c r="H63" s="17"/>
      <c r="I63" s="17"/>
      <c r="J63" s="17"/>
      <c r="K63" s="17"/>
    </row>
    <row r="64" spans="1:11" ht="13">
      <c r="A64" s="17"/>
      <c r="B64" s="17"/>
      <c r="C64" s="17"/>
      <c r="D64" s="17"/>
      <c r="E64" s="17"/>
      <c r="F64" s="62"/>
      <c r="G64" s="17"/>
      <c r="H64" s="17"/>
      <c r="I64" s="17"/>
      <c r="J64" s="17"/>
      <c r="K64" s="17"/>
    </row>
    <row r="65" spans="1:11" ht="13">
      <c r="A65" s="17"/>
      <c r="B65" s="17"/>
      <c r="C65" s="17"/>
      <c r="D65" s="17"/>
      <c r="E65" s="17"/>
      <c r="F65" s="62"/>
      <c r="G65" s="17"/>
      <c r="H65" s="17"/>
      <c r="I65" s="17"/>
      <c r="J65" s="17"/>
      <c r="K65" s="17"/>
    </row>
    <row r="66" spans="1:11" ht="13">
      <c r="A66" s="17"/>
      <c r="B66" s="17"/>
      <c r="C66" s="17"/>
      <c r="D66" s="17"/>
      <c r="E66" s="17"/>
      <c r="F66" s="62"/>
      <c r="G66" s="17"/>
      <c r="H66" s="17"/>
      <c r="I66" s="17"/>
      <c r="J66" s="17"/>
      <c r="K66" s="17"/>
    </row>
    <row r="67" spans="1:11" ht="13">
      <c r="A67" s="17"/>
      <c r="B67" s="17"/>
      <c r="C67" s="17"/>
      <c r="D67" s="17"/>
      <c r="E67" s="17"/>
      <c r="F67" s="62"/>
      <c r="G67" s="17"/>
      <c r="H67" s="17"/>
      <c r="I67" s="17"/>
      <c r="J67" s="17"/>
      <c r="K67" s="17"/>
    </row>
    <row r="68" spans="1:11" ht="13">
      <c r="A68" s="17"/>
      <c r="B68" s="17"/>
      <c r="C68" s="17"/>
      <c r="D68" s="17"/>
      <c r="E68" s="17"/>
      <c r="F68" s="62"/>
      <c r="G68" s="17"/>
      <c r="H68" s="17"/>
      <c r="I68" s="17"/>
      <c r="J68" s="17"/>
      <c r="K68" s="17"/>
    </row>
    <row r="69" spans="1:11" ht="13">
      <c r="A69" s="17"/>
      <c r="B69" s="17"/>
      <c r="C69" s="17"/>
      <c r="D69" s="17"/>
      <c r="E69" s="17"/>
      <c r="F69" s="62"/>
      <c r="G69" s="17"/>
      <c r="H69" s="17"/>
      <c r="I69" s="17"/>
      <c r="J69" s="17"/>
      <c r="K69" s="17"/>
    </row>
    <row r="70" spans="1:11" ht="13">
      <c r="A70" s="17"/>
      <c r="B70" s="17"/>
      <c r="C70" s="17"/>
      <c r="D70" s="17"/>
      <c r="E70" s="17"/>
      <c r="F70" s="62"/>
      <c r="G70" s="17"/>
      <c r="H70" s="17"/>
      <c r="I70" s="17"/>
      <c r="J70" s="17"/>
      <c r="K70" s="17"/>
    </row>
    <row r="71" spans="1:11" ht="13">
      <c r="A71" s="17"/>
      <c r="B71" s="17"/>
      <c r="C71" s="17"/>
      <c r="D71" s="17"/>
      <c r="E71" s="17"/>
      <c r="F71" s="62"/>
      <c r="G71" s="17"/>
      <c r="H71" s="17"/>
      <c r="I71" s="17"/>
      <c r="J71" s="17"/>
      <c r="K71" s="17"/>
    </row>
    <row r="72" spans="1:11" ht="13">
      <c r="A72" s="17"/>
      <c r="B72" s="17"/>
      <c r="C72" s="17"/>
      <c r="D72" s="17"/>
      <c r="E72" s="17"/>
      <c r="F72" s="62"/>
      <c r="G72" s="17"/>
      <c r="H72" s="17"/>
      <c r="I72" s="17"/>
      <c r="J72" s="17"/>
      <c r="K72" s="17"/>
    </row>
    <row r="73" spans="1:11" ht="13">
      <c r="A73" s="17"/>
      <c r="B73" s="17"/>
      <c r="C73" s="17"/>
      <c r="D73" s="17"/>
      <c r="E73" s="17"/>
      <c r="F73" s="62"/>
      <c r="G73" s="17"/>
      <c r="H73" s="17"/>
      <c r="I73" s="17"/>
      <c r="J73" s="17"/>
      <c r="K73" s="17"/>
    </row>
    <row r="74" spans="1:11" ht="13">
      <c r="A74" s="17"/>
      <c r="B74" s="17"/>
      <c r="C74" s="17"/>
      <c r="D74" s="17"/>
      <c r="E74" s="17"/>
      <c r="F74" s="62"/>
      <c r="G74" s="17"/>
      <c r="H74" s="17"/>
      <c r="I74" s="17"/>
      <c r="J74" s="17"/>
      <c r="K74" s="17"/>
    </row>
    <row r="75" spans="1:11" ht="13">
      <c r="A75" s="17"/>
      <c r="B75" s="17"/>
      <c r="C75" s="17"/>
      <c r="D75" s="17"/>
      <c r="E75" s="17"/>
      <c r="F75" s="62"/>
      <c r="G75" s="17"/>
      <c r="H75" s="17"/>
      <c r="I75" s="17"/>
      <c r="J75" s="17"/>
      <c r="K75" s="17"/>
    </row>
    <row r="76" spans="1:11" ht="13">
      <c r="A76" s="17"/>
      <c r="B76" s="17"/>
      <c r="C76" s="17"/>
      <c r="D76" s="17"/>
      <c r="E76" s="17"/>
      <c r="F76" s="62"/>
      <c r="G76" s="17"/>
      <c r="H76" s="17"/>
      <c r="I76" s="17"/>
      <c r="J76" s="17"/>
      <c r="K76" s="17"/>
    </row>
    <row r="77" spans="1:11" ht="13">
      <c r="A77" s="17"/>
      <c r="B77" s="17"/>
      <c r="C77" s="17"/>
      <c r="D77" s="17"/>
      <c r="E77" s="17"/>
      <c r="F77" s="62"/>
      <c r="G77" s="17"/>
      <c r="H77" s="17"/>
      <c r="I77" s="17"/>
      <c r="J77" s="17"/>
      <c r="K77" s="17"/>
    </row>
    <row r="78" spans="1:11" ht="13">
      <c r="A78" s="17"/>
      <c r="B78" s="17"/>
      <c r="C78" s="17"/>
      <c r="D78" s="17"/>
      <c r="E78" s="17"/>
      <c r="F78" s="62"/>
      <c r="G78" s="17"/>
      <c r="H78" s="17"/>
      <c r="I78" s="17"/>
      <c r="J78" s="17"/>
      <c r="K78" s="17"/>
    </row>
    <row r="79" spans="1:11" ht="13">
      <c r="A79" s="17"/>
      <c r="B79" s="17"/>
      <c r="C79" s="17"/>
      <c r="D79" s="17"/>
      <c r="E79" s="17"/>
      <c r="F79" s="62"/>
      <c r="G79" s="17"/>
      <c r="H79" s="17"/>
      <c r="I79" s="17"/>
      <c r="J79" s="17"/>
      <c r="K79" s="17"/>
    </row>
    <row r="80" spans="1:11" ht="13">
      <c r="A80" s="17"/>
      <c r="B80" s="17"/>
      <c r="C80" s="17"/>
      <c r="D80" s="17"/>
      <c r="E80" s="17"/>
      <c r="F80" s="62"/>
      <c r="G80" s="17"/>
      <c r="H80" s="17"/>
      <c r="I80" s="17"/>
      <c r="J80" s="17"/>
      <c r="K80" s="17"/>
    </row>
    <row r="81" spans="1:11" ht="13">
      <c r="A81" s="17"/>
      <c r="B81" s="17"/>
      <c r="C81" s="17"/>
      <c r="D81" s="17"/>
      <c r="E81" s="17"/>
      <c r="F81" s="62"/>
      <c r="G81" s="17"/>
      <c r="H81" s="17"/>
      <c r="I81" s="17"/>
      <c r="J81" s="17"/>
      <c r="K81" s="17"/>
    </row>
    <row r="82" spans="1:11" ht="13">
      <c r="A82" s="17"/>
      <c r="B82" s="17"/>
      <c r="C82" s="17"/>
      <c r="D82" s="17"/>
      <c r="E82" s="17"/>
      <c r="F82" s="62"/>
      <c r="G82" s="17"/>
      <c r="H82" s="17"/>
      <c r="I82" s="17"/>
      <c r="J82" s="17"/>
      <c r="K82" s="17"/>
    </row>
    <row r="83" spans="1:11" ht="13">
      <c r="A83" s="17"/>
      <c r="B83" s="17"/>
      <c r="C83" s="17"/>
      <c r="D83" s="17"/>
      <c r="E83" s="17"/>
      <c r="F83" s="62"/>
      <c r="G83" s="17"/>
      <c r="H83" s="17"/>
      <c r="I83" s="17"/>
      <c r="J83" s="17"/>
      <c r="K83" s="17"/>
    </row>
    <row r="84" spans="1:11" ht="13">
      <c r="A84" s="17"/>
      <c r="B84" s="17"/>
      <c r="C84" s="17"/>
      <c r="D84" s="17"/>
      <c r="E84" s="17"/>
      <c r="F84" s="62"/>
      <c r="G84" s="17"/>
      <c r="H84" s="17"/>
      <c r="I84" s="17"/>
      <c r="J84" s="17"/>
      <c r="K84" s="17"/>
    </row>
    <row r="85" spans="1:11" ht="13">
      <c r="A85" s="17"/>
      <c r="B85" s="17"/>
      <c r="C85" s="17"/>
      <c r="D85" s="17"/>
      <c r="E85" s="17"/>
      <c r="F85" s="62"/>
      <c r="G85" s="17"/>
      <c r="H85" s="17"/>
      <c r="I85" s="17"/>
      <c r="J85" s="17"/>
      <c r="K85" s="17"/>
    </row>
    <row r="86" spans="1:11" ht="13">
      <c r="A86" s="17"/>
      <c r="B86" s="17"/>
      <c r="C86" s="17"/>
      <c r="D86" s="17"/>
      <c r="E86" s="17"/>
      <c r="F86" s="62"/>
      <c r="G86" s="17"/>
      <c r="H86" s="17"/>
      <c r="I86" s="17"/>
      <c r="J86" s="17"/>
      <c r="K86" s="17"/>
    </row>
    <row r="87" spans="1:11" ht="13">
      <c r="A87" s="17"/>
      <c r="B87" s="17"/>
      <c r="C87" s="17"/>
      <c r="D87" s="17"/>
      <c r="E87" s="17"/>
      <c r="F87" s="62"/>
      <c r="G87" s="17"/>
      <c r="H87" s="17"/>
      <c r="I87" s="17"/>
      <c r="J87" s="17"/>
      <c r="K87" s="17"/>
    </row>
    <row r="88" spans="1:11" ht="13">
      <c r="A88" s="17"/>
      <c r="B88" s="17"/>
      <c r="C88" s="17"/>
      <c r="D88" s="17"/>
      <c r="E88" s="17"/>
      <c r="F88" s="62"/>
      <c r="G88" s="17"/>
      <c r="H88" s="17"/>
      <c r="I88" s="17"/>
      <c r="J88" s="17"/>
      <c r="K88" s="17"/>
    </row>
    <row r="89" spans="1:11" ht="13">
      <c r="A89" s="17"/>
      <c r="B89" s="17"/>
      <c r="C89" s="17"/>
      <c r="D89" s="17"/>
      <c r="E89" s="17"/>
      <c r="F89" s="62"/>
      <c r="G89" s="17"/>
      <c r="H89" s="17"/>
      <c r="I89" s="17"/>
      <c r="J89" s="17"/>
      <c r="K89" s="17"/>
    </row>
    <row r="90" spans="1:11" ht="13">
      <c r="A90" s="17"/>
      <c r="B90" s="17"/>
      <c r="C90" s="17"/>
      <c r="D90" s="17"/>
      <c r="E90" s="17"/>
      <c r="F90" s="62"/>
      <c r="G90" s="17"/>
      <c r="H90" s="17"/>
      <c r="I90" s="17"/>
      <c r="J90" s="17"/>
      <c r="K90" s="17"/>
    </row>
    <row r="91" spans="1:11" ht="13">
      <c r="A91" s="17"/>
      <c r="B91" s="17"/>
      <c r="C91" s="17"/>
      <c r="D91" s="17"/>
      <c r="E91" s="17"/>
      <c r="F91" s="62"/>
      <c r="G91" s="17"/>
      <c r="H91" s="17"/>
      <c r="I91" s="17"/>
      <c r="J91" s="17"/>
      <c r="K91" s="17"/>
    </row>
    <row r="92" spans="1:11" ht="13">
      <c r="A92" s="17"/>
      <c r="B92" s="17"/>
      <c r="C92" s="17"/>
      <c r="D92" s="17"/>
      <c r="E92" s="17"/>
      <c r="F92" s="62"/>
      <c r="G92" s="17"/>
      <c r="H92" s="17"/>
      <c r="I92" s="17"/>
      <c r="J92" s="17"/>
      <c r="K92" s="17"/>
    </row>
    <row r="93" spans="1:11" ht="13">
      <c r="A93" s="17"/>
      <c r="B93" s="17"/>
      <c r="C93" s="17"/>
      <c r="D93" s="17"/>
      <c r="E93" s="17"/>
      <c r="F93" s="62"/>
      <c r="G93" s="17"/>
      <c r="H93" s="17"/>
      <c r="I93" s="17"/>
      <c r="J93" s="17"/>
      <c r="K93" s="17"/>
    </row>
    <row r="94" spans="1:11" ht="13">
      <c r="A94" s="17"/>
      <c r="B94" s="17"/>
      <c r="C94" s="17"/>
      <c r="D94" s="17"/>
      <c r="E94" s="17"/>
      <c r="F94" s="62"/>
      <c r="G94" s="17"/>
      <c r="H94" s="17"/>
      <c r="I94" s="17"/>
      <c r="J94" s="17"/>
      <c r="K94" s="17"/>
    </row>
    <row r="95" spans="1:11" ht="13">
      <c r="A95" s="17"/>
      <c r="B95" s="17"/>
      <c r="C95" s="17"/>
      <c r="D95" s="17"/>
      <c r="E95" s="17"/>
      <c r="F95" s="62"/>
      <c r="G95" s="17"/>
      <c r="H95" s="17"/>
      <c r="I95" s="17"/>
      <c r="J95" s="17"/>
      <c r="K95" s="17"/>
    </row>
    <row r="96" spans="1:11" ht="13">
      <c r="A96" s="17"/>
      <c r="B96" s="17"/>
      <c r="C96" s="17"/>
      <c r="D96" s="17"/>
      <c r="E96" s="17"/>
      <c r="F96" s="62"/>
      <c r="G96" s="17"/>
      <c r="H96" s="17"/>
      <c r="I96" s="17"/>
      <c r="J96" s="17"/>
      <c r="K96" s="17"/>
    </row>
    <row r="97" spans="1:11" ht="13">
      <c r="A97" s="17"/>
      <c r="B97" s="17"/>
      <c r="C97" s="17"/>
      <c r="D97" s="17"/>
      <c r="E97" s="17"/>
      <c r="F97" s="62"/>
      <c r="G97" s="17"/>
      <c r="H97" s="17"/>
      <c r="I97" s="17"/>
      <c r="J97" s="17"/>
      <c r="K97" s="17"/>
    </row>
    <row r="98" spans="1:11" ht="13">
      <c r="A98" s="17"/>
      <c r="B98" s="17"/>
      <c r="C98" s="17"/>
      <c r="D98" s="17"/>
      <c r="E98" s="17"/>
      <c r="F98" s="62"/>
      <c r="G98" s="17"/>
      <c r="H98" s="17"/>
      <c r="I98" s="17"/>
      <c r="J98" s="17"/>
      <c r="K98" s="17"/>
    </row>
    <row r="99" spans="1:11" ht="13">
      <c r="A99" s="17"/>
      <c r="B99" s="17"/>
      <c r="C99" s="17"/>
      <c r="D99" s="17"/>
      <c r="E99" s="17"/>
      <c r="F99" s="62"/>
      <c r="G99" s="17"/>
      <c r="H99" s="17"/>
      <c r="I99" s="17"/>
      <c r="J99" s="17"/>
      <c r="K99" s="17"/>
    </row>
    <row r="100" spans="1:11" ht="13">
      <c r="A100" s="17"/>
      <c r="B100" s="17"/>
      <c r="C100" s="17"/>
      <c r="D100" s="17"/>
      <c r="E100" s="17"/>
      <c r="F100" s="62"/>
      <c r="G100" s="17"/>
      <c r="H100" s="17"/>
      <c r="I100" s="17"/>
      <c r="J100" s="17"/>
      <c r="K100" s="17"/>
    </row>
    <row r="101" spans="1:11" ht="13">
      <c r="A101" s="17"/>
      <c r="B101" s="17"/>
      <c r="C101" s="17"/>
      <c r="D101" s="17"/>
      <c r="E101" s="17"/>
      <c r="F101" s="62"/>
      <c r="G101" s="17"/>
      <c r="H101" s="17"/>
      <c r="I101" s="17"/>
      <c r="J101" s="17"/>
      <c r="K101" s="17"/>
    </row>
    <row r="102" spans="1:11" ht="13">
      <c r="A102" s="17"/>
      <c r="B102" s="17"/>
      <c r="C102" s="17"/>
      <c r="D102" s="17"/>
      <c r="E102" s="17"/>
      <c r="F102" s="62"/>
      <c r="G102" s="17"/>
      <c r="H102" s="17"/>
      <c r="I102" s="17"/>
      <c r="J102" s="17"/>
      <c r="K102" s="17"/>
    </row>
    <row r="103" spans="1:11" ht="13">
      <c r="A103" s="17"/>
      <c r="B103" s="17"/>
      <c r="C103" s="17"/>
      <c r="D103" s="17"/>
      <c r="E103" s="17"/>
      <c r="F103" s="62"/>
      <c r="G103" s="17"/>
      <c r="H103" s="17"/>
      <c r="I103" s="17"/>
      <c r="J103" s="17"/>
      <c r="K103" s="17"/>
    </row>
    <row r="104" spans="1:11" ht="13">
      <c r="A104" s="17"/>
      <c r="B104" s="17"/>
      <c r="C104" s="17"/>
      <c r="D104" s="17"/>
      <c r="E104" s="17"/>
      <c r="F104" s="62"/>
      <c r="G104" s="17"/>
      <c r="H104" s="17"/>
      <c r="I104" s="17"/>
      <c r="J104" s="17"/>
      <c r="K104" s="17"/>
    </row>
    <row r="105" spans="1:11" ht="13">
      <c r="A105" s="17"/>
      <c r="B105" s="17"/>
      <c r="C105" s="17"/>
      <c r="D105" s="17"/>
      <c r="E105" s="17"/>
      <c r="F105" s="62"/>
      <c r="G105" s="17"/>
      <c r="H105" s="17"/>
      <c r="I105" s="17"/>
      <c r="J105" s="17"/>
      <c r="K105" s="17"/>
    </row>
    <row r="106" spans="1:11" ht="13">
      <c r="A106" s="17"/>
      <c r="B106" s="17"/>
      <c r="C106" s="17"/>
      <c r="D106" s="17"/>
      <c r="E106" s="17"/>
      <c r="F106" s="62"/>
      <c r="G106" s="17"/>
      <c r="H106" s="17"/>
      <c r="I106" s="17"/>
      <c r="J106" s="17"/>
      <c r="K106" s="17"/>
    </row>
    <row r="107" spans="1:11" ht="13">
      <c r="A107" s="17"/>
      <c r="B107" s="17"/>
      <c r="C107" s="17"/>
      <c r="D107" s="17"/>
      <c r="E107" s="17"/>
      <c r="F107" s="62"/>
      <c r="G107" s="17"/>
      <c r="H107" s="17"/>
      <c r="I107" s="17"/>
      <c r="J107" s="17"/>
      <c r="K107" s="17"/>
    </row>
    <row r="108" spans="1:11" ht="13">
      <c r="A108" s="17"/>
      <c r="B108" s="17"/>
      <c r="C108" s="17"/>
      <c r="D108" s="17"/>
      <c r="E108" s="17"/>
      <c r="F108" s="62"/>
      <c r="G108" s="17"/>
      <c r="H108" s="17"/>
      <c r="I108" s="17"/>
      <c r="J108" s="17"/>
      <c r="K108" s="17"/>
    </row>
    <row r="109" spans="1:11" ht="13">
      <c r="A109" s="17"/>
      <c r="B109" s="17"/>
      <c r="C109" s="17"/>
      <c r="D109" s="17"/>
      <c r="E109" s="17"/>
      <c r="F109" s="62"/>
      <c r="G109" s="17"/>
      <c r="H109" s="17"/>
      <c r="I109" s="17"/>
      <c r="J109" s="17"/>
      <c r="K109" s="17"/>
    </row>
    <row r="110" spans="1:11" ht="13">
      <c r="A110" s="17"/>
      <c r="B110" s="17"/>
      <c r="C110" s="17"/>
      <c r="D110" s="17"/>
      <c r="E110" s="17"/>
      <c r="F110" s="62"/>
      <c r="G110" s="17"/>
      <c r="H110" s="17"/>
      <c r="I110" s="17"/>
      <c r="J110" s="17"/>
      <c r="K110" s="17"/>
    </row>
    <row r="111" spans="1:11" ht="13">
      <c r="A111" s="17"/>
      <c r="B111" s="17"/>
      <c r="C111" s="17"/>
      <c r="D111" s="17"/>
      <c r="E111" s="17"/>
      <c r="F111" s="62"/>
      <c r="G111" s="17"/>
      <c r="H111" s="17"/>
      <c r="I111" s="17"/>
      <c r="J111" s="17"/>
      <c r="K111" s="17"/>
    </row>
    <row r="112" spans="1:11" ht="13">
      <c r="A112" s="17"/>
      <c r="B112" s="17"/>
      <c r="C112" s="17"/>
      <c r="D112" s="17"/>
      <c r="E112" s="17"/>
      <c r="F112" s="62"/>
      <c r="G112" s="17"/>
      <c r="H112" s="17"/>
      <c r="I112" s="17"/>
      <c r="J112" s="17"/>
      <c r="K112" s="17"/>
    </row>
    <row r="113" spans="1:11" ht="13">
      <c r="A113" s="17"/>
      <c r="B113" s="17"/>
      <c r="C113" s="17"/>
      <c r="D113" s="17"/>
      <c r="E113" s="17"/>
      <c r="F113" s="62"/>
      <c r="G113" s="17"/>
      <c r="H113" s="17"/>
      <c r="I113" s="17"/>
      <c r="J113" s="17"/>
      <c r="K113" s="17"/>
    </row>
    <row r="114" spans="1:11" ht="13">
      <c r="A114" s="17"/>
      <c r="B114" s="17"/>
      <c r="C114" s="17"/>
      <c r="D114" s="17"/>
      <c r="E114" s="17"/>
      <c r="F114" s="62"/>
      <c r="G114" s="17"/>
      <c r="H114" s="17"/>
      <c r="I114" s="17"/>
      <c r="J114" s="17"/>
      <c r="K114" s="17"/>
    </row>
    <row r="115" spans="1:11" ht="13">
      <c r="A115" s="17"/>
      <c r="B115" s="17"/>
      <c r="C115" s="17"/>
      <c r="D115" s="17"/>
      <c r="E115" s="17"/>
      <c r="F115" s="62"/>
      <c r="G115" s="17"/>
      <c r="H115" s="17"/>
      <c r="I115" s="17"/>
      <c r="J115" s="17"/>
      <c r="K115" s="17"/>
    </row>
    <row r="116" spans="1:11" ht="13">
      <c r="A116" s="17"/>
      <c r="B116" s="17"/>
      <c r="C116" s="17"/>
      <c r="D116" s="17"/>
      <c r="E116" s="17"/>
      <c r="F116" s="62"/>
      <c r="G116" s="17"/>
      <c r="H116" s="17"/>
      <c r="I116" s="17"/>
      <c r="J116" s="17"/>
      <c r="K116" s="17"/>
    </row>
    <row r="117" spans="1:11" ht="13">
      <c r="A117" s="17"/>
      <c r="B117" s="17"/>
      <c r="C117" s="17"/>
      <c r="D117" s="17"/>
      <c r="E117" s="17"/>
      <c r="F117" s="62"/>
      <c r="G117" s="17"/>
      <c r="H117" s="17"/>
      <c r="I117" s="17"/>
      <c r="J117" s="17"/>
      <c r="K117" s="17"/>
    </row>
    <row r="118" spans="1:11" ht="13">
      <c r="A118" s="17"/>
      <c r="B118" s="17"/>
      <c r="C118" s="17"/>
      <c r="D118" s="17"/>
      <c r="E118" s="17"/>
      <c r="F118" s="62"/>
      <c r="G118" s="17"/>
      <c r="H118" s="17"/>
      <c r="I118" s="17"/>
      <c r="J118" s="17"/>
      <c r="K118" s="17"/>
    </row>
    <row r="119" spans="1:11" ht="13">
      <c r="A119" s="17"/>
      <c r="B119" s="17"/>
      <c r="C119" s="17"/>
      <c r="D119" s="17"/>
      <c r="E119" s="17"/>
      <c r="F119" s="62"/>
      <c r="G119" s="17"/>
      <c r="H119" s="17"/>
      <c r="I119" s="17"/>
      <c r="J119" s="17"/>
      <c r="K119" s="17"/>
    </row>
    <row r="120" spans="1:11" ht="13">
      <c r="A120" s="17"/>
      <c r="B120" s="17"/>
      <c r="C120" s="17"/>
      <c r="D120" s="17"/>
      <c r="E120" s="17"/>
      <c r="F120" s="62"/>
      <c r="G120" s="17"/>
      <c r="H120" s="17"/>
      <c r="I120" s="17"/>
      <c r="J120" s="17"/>
      <c r="K120" s="17"/>
    </row>
    <row r="121" spans="1:11" ht="13">
      <c r="A121" s="17"/>
      <c r="B121" s="17"/>
      <c r="C121" s="17"/>
      <c r="D121" s="17"/>
      <c r="E121" s="17"/>
      <c r="F121" s="62"/>
      <c r="G121" s="17"/>
      <c r="H121" s="17"/>
      <c r="I121" s="17"/>
      <c r="J121" s="17"/>
      <c r="K121" s="17"/>
    </row>
    <row r="122" spans="1:11" ht="13">
      <c r="A122" s="17"/>
      <c r="B122" s="17"/>
      <c r="C122" s="17"/>
      <c r="D122" s="17"/>
      <c r="E122" s="17"/>
      <c r="F122" s="62"/>
      <c r="G122" s="17"/>
      <c r="H122" s="17"/>
      <c r="I122" s="17"/>
      <c r="J122" s="17"/>
      <c r="K122" s="17"/>
    </row>
    <row r="123" spans="1:11" ht="13">
      <c r="A123" s="17"/>
      <c r="B123" s="17"/>
      <c r="C123" s="17"/>
      <c r="D123" s="17"/>
      <c r="E123" s="17"/>
      <c r="F123" s="62"/>
      <c r="G123" s="17"/>
      <c r="H123" s="17"/>
      <c r="I123" s="17"/>
      <c r="J123" s="17"/>
      <c r="K123" s="17"/>
    </row>
    <row r="124" spans="1:11" ht="13">
      <c r="A124" s="17"/>
      <c r="B124" s="17"/>
      <c r="C124" s="17"/>
      <c r="D124" s="17"/>
      <c r="E124" s="17"/>
      <c r="F124" s="62"/>
      <c r="G124" s="17"/>
      <c r="H124" s="17"/>
      <c r="I124" s="17"/>
      <c r="J124" s="17"/>
      <c r="K124" s="17"/>
    </row>
    <row r="125" spans="1:11" ht="13">
      <c r="A125" s="17"/>
      <c r="B125" s="17"/>
      <c r="C125" s="17"/>
      <c r="D125" s="17"/>
      <c r="E125" s="17"/>
      <c r="F125" s="62"/>
      <c r="G125" s="17"/>
      <c r="H125" s="17"/>
      <c r="I125" s="17"/>
      <c r="J125" s="17"/>
      <c r="K125" s="17"/>
    </row>
    <row r="126" spans="1:11" ht="13">
      <c r="A126" s="17"/>
      <c r="B126" s="17"/>
      <c r="C126" s="17"/>
      <c r="D126" s="17"/>
      <c r="E126" s="17"/>
      <c r="F126" s="62"/>
      <c r="G126" s="17"/>
      <c r="H126" s="17"/>
      <c r="I126" s="17"/>
      <c r="J126" s="17"/>
      <c r="K126" s="17"/>
    </row>
    <row r="127" spans="1:11" ht="13">
      <c r="A127" s="17"/>
      <c r="B127" s="17"/>
      <c r="C127" s="17"/>
      <c r="D127" s="17"/>
      <c r="E127" s="17"/>
      <c r="F127" s="62"/>
      <c r="G127" s="17"/>
      <c r="H127" s="17"/>
      <c r="I127" s="17"/>
      <c r="J127" s="17"/>
      <c r="K127" s="17"/>
    </row>
    <row r="128" spans="1:11" ht="13">
      <c r="A128" s="17"/>
      <c r="B128" s="17"/>
      <c r="C128" s="17"/>
      <c r="D128" s="17"/>
      <c r="E128" s="17"/>
      <c r="F128" s="62"/>
      <c r="G128" s="17"/>
      <c r="H128" s="17"/>
      <c r="I128" s="17"/>
      <c r="J128" s="17"/>
      <c r="K128" s="17"/>
    </row>
    <row r="129" spans="1:11" ht="13">
      <c r="A129" s="17"/>
      <c r="B129" s="17"/>
      <c r="C129" s="17"/>
      <c r="D129" s="17"/>
      <c r="E129" s="17"/>
      <c r="F129" s="62"/>
      <c r="G129" s="17"/>
      <c r="H129" s="17"/>
      <c r="I129" s="17"/>
      <c r="J129" s="17"/>
      <c r="K129" s="17"/>
    </row>
    <row r="130" spans="1:11" ht="13">
      <c r="A130" s="17"/>
      <c r="B130" s="17"/>
      <c r="C130" s="17"/>
      <c r="D130" s="17"/>
      <c r="E130" s="17"/>
      <c r="F130" s="62"/>
      <c r="G130" s="17"/>
      <c r="H130" s="17"/>
      <c r="I130" s="17"/>
      <c r="J130" s="17"/>
      <c r="K130" s="17"/>
    </row>
    <row r="131" spans="1:11" ht="13">
      <c r="A131" s="17"/>
      <c r="B131" s="17"/>
      <c r="C131" s="17"/>
      <c r="D131" s="17"/>
      <c r="E131" s="17"/>
      <c r="F131" s="62"/>
      <c r="G131" s="17"/>
      <c r="H131" s="17"/>
      <c r="I131" s="17"/>
      <c r="J131" s="17"/>
      <c r="K131" s="17"/>
    </row>
    <row r="132" spans="1:11" ht="13">
      <c r="A132" s="17"/>
      <c r="B132" s="17"/>
      <c r="C132" s="17"/>
      <c r="D132" s="17"/>
      <c r="E132" s="17"/>
      <c r="F132" s="62"/>
      <c r="G132" s="17"/>
      <c r="H132" s="17"/>
      <c r="I132" s="17"/>
      <c r="J132" s="17"/>
      <c r="K132" s="17"/>
    </row>
    <row r="133" spans="1:11" ht="13">
      <c r="A133" s="17"/>
      <c r="B133" s="17"/>
      <c r="C133" s="17"/>
      <c r="D133" s="17"/>
      <c r="E133" s="17"/>
      <c r="F133" s="62"/>
      <c r="G133" s="17"/>
      <c r="H133" s="17"/>
      <c r="I133" s="17"/>
      <c r="J133" s="17"/>
      <c r="K133" s="17"/>
    </row>
    <row r="134" spans="1:11" ht="13">
      <c r="A134" s="17"/>
      <c r="B134" s="17"/>
      <c r="C134" s="17"/>
      <c r="D134" s="17"/>
      <c r="E134" s="17"/>
      <c r="F134" s="62"/>
      <c r="G134" s="17"/>
      <c r="H134" s="17"/>
      <c r="I134" s="17"/>
      <c r="J134" s="17"/>
      <c r="K134" s="17"/>
    </row>
    <row r="135" spans="1:11" ht="13">
      <c r="A135" s="17"/>
      <c r="B135" s="17"/>
      <c r="C135" s="17"/>
      <c r="D135" s="17"/>
      <c r="E135" s="17"/>
      <c r="F135" s="62"/>
      <c r="G135" s="17"/>
      <c r="H135" s="17"/>
      <c r="I135" s="17"/>
      <c r="J135" s="17"/>
      <c r="K135" s="17"/>
    </row>
    <row r="136" spans="1:11" ht="13">
      <c r="A136" s="17"/>
      <c r="B136" s="17"/>
      <c r="C136" s="17"/>
      <c r="D136" s="17"/>
      <c r="E136" s="17"/>
      <c r="F136" s="62"/>
      <c r="G136" s="17"/>
      <c r="H136" s="17"/>
      <c r="I136" s="17"/>
      <c r="J136" s="17"/>
      <c r="K136" s="17"/>
    </row>
    <row r="137" spans="1:11" ht="13">
      <c r="A137" s="17"/>
      <c r="B137" s="17"/>
      <c r="C137" s="17"/>
      <c r="D137" s="17"/>
      <c r="E137" s="17"/>
      <c r="F137" s="62"/>
      <c r="G137" s="17"/>
      <c r="H137" s="17"/>
      <c r="I137" s="17"/>
      <c r="J137" s="17"/>
      <c r="K137" s="17"/>
    </row>
    <row r="138" spans="1:11" ht="13">
      <c r="A138" s="17"/>
      <c r="B138" s="17"/>
      <c r="C138" s="17"/>
      <c r="D138" s="17"/>
      <c r="E138" s="17"/>
      <c r="F138" s="62"/>
      <c r="G138" s="17"/>
      <c r="H138" s="17"/>
      <c r="I138" s="17"/>
      <c r="J138" s="17"/>
      <c r="K138" s="17"/>
    </row>
    <row r="139" spans="1:11" ht="13">
      <c r="A139" s="17"/>
      <c r="B139" s="17"/>
      <c r="C139" s="17"/>
      <c r="D139" s="17"/>
      <c r="E139" s="17"/>
      <c r="F139" s="62"/>
      <c r="G139" s="17"/>
      <c r="H139" s="17"/>
      <c r="I139" s="17"/>
      <c r="J139" s="17"/>
      <c r="K139" s="17"/>
    </row>
    <row r="140" spans="1:11" ht="13">
      <c r="A140" s="17"/>
      <c r="B140" s="17"/>
      <c r="C140" s="17"/>
      <c r="D140" s="17"/>
      <c r="E140" s="17"/>
      <c r="F140" s="62"/>
      <c r="G140" s="17"/>
      <c r="H140" s="17"/>
      <c r="I140" s="17"/>
      <c r="J140" s="17"/>
      <c r="K140" s="17"/>
    </row>
    <row r="141" spans="1:11" ht="13">
      <c r="A141" s="17"/>
      <c r="B141" s="17"/>
      <c r="C141" s="17"/>
      <c r="D141" s="17"/>
      <c r="E141" s="17"/>
      <c r="F141" s="62"/>
      <c r="G141" s="17"/>
      <c r="H141" s="17"/>
      <c r="I141" s="17"/>
      <c r="J141" s="17"/>
      <c r="K141" s="17"/>
    </row>
    <row r="142" spans="1:11" ht="13">
      <c r="A142" s="17"/>
      <c r="B142" s="17"/>
      <c r="C142" s="17"/>
      <c r="D142" s="17"/>
      <c r="E142" s="17"/>
      <c r="F142" s="62"/>
      <c r="G142" s="17"/>
      <c r="H142" s="17"/>
      <c r="I142" s="17"/>
      <c r="J142" s="17"/>
      <c r="K142" s="17"/>
    </row>
    <row r="143" spans="1:11" ht="13">
      <c r="A143" s="17"/>
      <c r="B143" s="17"/>
      <c r="C143" s="17"/>
      <c r="D143" s="17"/>
      <c r="E143" s="17"/>
      <c r="F143" s="62"/>
      <c r="G143" s="17"/>
      <c r="H143" s="17"/>
      <c r="I143" s="17"/>
      <c r="J143" s="17"/>
      <c r="K143" s="17"/>
    </row>
    <row r="144" spans="1:11" ht="13">
      <c r="A144" s="17"/>
      <c r="B144" s="17"/>
      <c r="C144" s="17"/>
      <c r="D144" s="17"/>
      <c r="E144" s="17"/>
      <c r="F144" s="62"/>
      <c r="G144" s="17"/>
      <c r="H144" s="17"/>
      <c r="I144" s="17"/>
      <c r="J144" s="17"/>
      <c r="K144" s="17"/>
    </row>
    <row r="145" spans="1:11" ht="13">
      <c r="A145" s="17"/>
      <c r="B145" s="17"/>
      <c r="C145" s="17"/>
      <c r="D145" s="17"/>
      <c r="E145" s="17"/>
      <c r="F145" s="62"/>
      <c r="G145" s="17"/>
      <c r="H145" s="17"/>
      <c r="I145" s="17"/>
      <c r="J145" s="17"/>
      <c r="K145" s="17"/>
    </row>
    <row r="146" spans="1:11" ht="13">
      <c r="A146" s="17"/>
      <c r="B146" s="17"/>
      <c r="C146" s="17"/>
      <c r="D146" s="17"/>
      <c r="E146" s="17"/>
      <c r="F146" s="62"/>
      <c r="G146" s="17"/>
      <c r="H146" s="17"/>
      <c r="I146" s="17"/>
      <c r="J146" s="17"/>
      <c r="K146" s="17"/>
    </row>
    <row r="147" spans="1:11" ht="13">
      <c r="A147" s="17"/>
      <c r="B147" s="17"/>
      <c r="C147" s="17"/>
      <c r="D147" s="17"/>
      <c r="E147" s="17"/>
      <c r="F147" s="62"/>
      <c r="G147" s="17"/>
      <c r="H147" s="17"/>
      <c r="I147" s="17"/>
      <c r="J147" s="17"/>
      <c r="K147" s="17"/>
    </row>
    <row r="148" spans="1:11" ht="13">
      <c r="A148" s="17"/>
      <c r="B148" s="17"/>
      <c r="C148" s="17"/>
      <c r="D148" s="17"/>
      <c r="E148" s="17"/>
      <c r="F148" s="62"/>
      <c r="G148" s="17"/>
      <c r="H148" s="17"/>
      <c r="I148" s="17"/>
      <c r="J148" s="17"/>
      <c r="K148" s="17"/>
    </row>
    <row r="149" spans="1:11" ht="13">
      <c r="A149" s="17"/>
      <c r="B149" s="17"/>
      <c r="C149" s="17"/>
      <c r="D149" s="17"/>
      <c r="E149" s="17"/>
      <c r="F149" s="62"/>
      <c r="G149" s="17"/>
      <c r="H149" s="17"/>
      <c r="I149" s="17"/>
      <c r="J149" s="17"/>
      <c r="K149" s="17"/>
    </row>
    <row r="150" spans="1:11" ht="13">
      <c r="A150" s="17"/>
      <c r="B150" s="17"/>
      <c r="C150" s="17"/>
      <c r="D150" s="17"/>
      <c r="E150" s="17"/>
      <c r="F150" s="62"/>
      <c r="G150" s="17"/>
      <c r="H150" s="17"/>
      <c r="I150" s="17"/>
      <c r="J150" s="17"/>
      <c r="K150" s="17"/>
    </row>
    <row r="151" spans="1:11" ht="13">
      <c r="A151" s="17"/>
      <c r="B151" s="17"/>
      <c r="C151" s="17"/>
      <c r="D151" s="17"/>
      <c r="E151" s="17"/>
      <c r="F151" s="62"/>
      <c r="G151" s="17"/>
      <c r="H151" s="17"/>
      <c r="I151" s="17"/>
      <c r="J151" s="17"/>
      <c r="K151" s="17"/>
    </row>
    <row r="152" spans="1:11" ht="13">
      <c r="A152" s="17"/>
      <c r="B152" s="17"/>
      <c r="C152" s="17"/>
      <c r="D152" s="17"/>
      <c r="E152" s="17"/>
      <c r="F152" s="62"/>
      <c r="G152" s="17"/>
      <c r="H152" s="17"/>
      <c r="I152" s="17"/>
      <c r="J152" s="17"/>
      <c r="K152" s="17"/>
    </row>
    <row r="153" spans="1:11" ht="13">
      <c r="A153" s="17"/>
      <c r="B153" s="17"/>
      <c r="C153" s="17"/>
      <c r="D153" s="17"/>
      <c r="E153" s="17"/>
      <c r="F153" s="62"/>
      <c r="G153" s="17"/>
      <c r="H153" s="17"/>
      <c r="I153" s="17"/>
      <c r="J153" s="17"/>
      <c r="K153" s="17"/>
    </row>
    <row r="154" spans="1:11" ht="13">
      <c r="A154" s="17"/>
      <c r="B154" s="17"/>
      <c r="C154" s="17"/>
      <c r="D154" s="17"/>
      <c r="E154" s="17"/>
      <c r="F154" s="62"/>
      <c r="G154" s="17"/>
      <c r="H154" s="17"/>
      <c r="I154" s="17"/>
      <c r="J154" s="17"/>
      <c r="K154" s="17"/>
    </row>
    <row r="155" spans="1:11" ht="13">
      <c r="A155" s="17"/>
      <c r="B155" s="17"/>
      <c r="C155" s="17"/>
      <c r="D155" s="17"/>
      <c r="E155" s="17"/>
      <c r="F155" s="62"/>
      <c r="G155" s="17"/>
      <c r="H155" s="17"/>
      <c r="I155" s="17"/>
      <c r="J155" s="17"/>
      <c r="K155" s="17"/>
    </row>
    <row r="156" spans="1:11" ht="13">
      <c r="A156" s="17"/>
      <c r="B156" s="17"/>
      <c r="C156" s="17"/>
      <c r="D156" s="17"/>
      <c r="E156" s="17"/>
      <c r="F156" s="62"/>
      <c r="G156" s="17"/>
      <c r="H156" s="17"/>
      <c r="I156" s="17"/>
      <c r="J156" s="17"/>
      <c r="K156" s="17"/>
    </row>
    <row r="157" spans="1:11" ht="13">
      <c r="A157" s="17"/>
      <c r="B157" s="17"/>
      <c r="C157" s="17"/>
      <c r="D157" s="17"/>
      <c r="E157" s="17"/>
      <c r="F157" s="62"/>
      <c r="G157" s="17"/>
      <c r="H157" s="17"/>
      <c r="I157" s="17"/>
      <c r="J157" s="17"/>
      <c r="K157" s="17"/>
    </row>
    <row r="158" spans="1:11" ht="13">
      <c r="A158" s="17"/>
      <c r="B158" s="17"/>
      <c r="C158" s="17"/>
      <c r="D158" s="17"/>
      <c r="E158" s="17"/>
      <c r="F158" s="62"/>
      <c r="G158" s="17"/>
      <c r="H158" s="17"/>
      <c r="I158" s="17"/>
      <c r="J158" s="17"/>
      <c r="K158" s="17"/>
    </row>
    <row r="159" spans="1:11" ht="13">
      <c r="A159" s="17"/>
      <c r="B159" s="17"/>
      <c r="C159" s="17"/>
      <c r="D159" s="17"/>
      <c r="E159" s="17"/>
      <c r="F159" s="62"/>
      <c r="G159" s="17"/>
      <c r="H159" s="17"/>
      <c r="I159" s="17"/>
      <c r="J159" s="17"/>
      <c r="K159" s="17"/>
    </row>
    <row r="160" spans="1:11" ht="13">
      <c r="A160" s="17"/>
      <c r="B160" s="17"/>
      <c r="C160" s="17"/>
      <c r="D160" s="17"/>
      <c r="E160" s="17"/>
      <c r="F160" s="62"/>
      <c r="G160" s="17"/>
      <c r="H160" s="17"/>
      <c r="I160" s="17"/>
      <c r="J160" s="17"/>
      <c r="K160" s="17"/>
    </row>
    <row r="161" spans="1:11" ht="13">
      <c r="A161" s="17"/>
      <c r="B161" s="17"/>
      <c r="C161" s="17"/>
      <c r="D161" s="17"/>
      <c r="E161" s="17"/>
      <c r="F161" s="62"/>
      <c r="G161" s="17"/>
      <c r="H161" s="17"/>
      <c r="I161" s="17"/>
      <c r="J161" s="17"/>
      <c r="K161" s="17"/>
    </row>
    <row r="162" spans="1:11" ht="13">
      <c r="A162" s="17"/>
      <c r="B162" s="17"/>
      <c r="C162" s="17"/>
      <c r="D162" s="17"/>
      <c r="E162" s="17"/>
      <c r="F162" s="62"/>
      <c r="G162" s="17"/>
      <c r="H162" s="17"/>
      <c r="I162" s="17"/>
      <c r="J162" s="17"/>
      <c r="K162" s="17"/>
    </row>
    <row r="163" spans="1:11" ht="13">
      <c r="A163" s="17"/>
      <c r="B163" s="17"/>
      <c r="C163" s="17"/>
      <c r="D163" s="17"/>
      <c r="E163" s="17"/>
      <c r="F163" s="62"/>
      <c r="G163" s="17"/>
      <c r="H163" s="17"/>
      <c r="I163" s="17"/>
      <c r="J163" s="17"/>
      <c r="K163" s="17"/>
    </row>
    <row r="164" spans="1:11" ht="13">
      <c r="A164" s="17"/>
      <c r="B164" s="17"/>
      <c r="C164" s="17"/>
      <c r="D164" s="17"/>
      <c r="E164" s="17"/>
      <c r="F164" s="62"/>
      <c r="G164" s="17"/>
      <c r="H164" s="17"/>
      <c r="I164" s="17"/>
      <c r="J164" s="17"/>
      <c r="K164" s="17"/>
    </row>
    <row r="165" spans="1:11" ht="13">
      <c r="A165" s="17"/>
      <c r="B165" s="17"/>
      <c r="C165" s="17"/>
      <c r="D165" s="17"/>
      <c r="E165" s="17"/>
      <c r="F165" s="62"/>
      <c r="G165" s="17"/>
      <c r="H165" s="17"/>
      <c r="I165" s="17"/>
      <c r="J165" s="17"/>
      <c r="K165" s="17"/>
    </row>
    <row r="166" spans="1:11" ht="13">
      <c r="A166" s="17"/>
      <c r="B166" s="17"/>
      <c r="C166" s="17"/>
      <c r="D166" s="17"/>
      <c r="E166" s="17"/>
      <c r="F166" s="62"/>
      <c r="G166" s="17"/>
      <c r="H166" s="17"/>
      <c r="I166" s="17"/>
      <c r="J166" s="17"/>
      <c r="K166" s="17"/>
    </row>
    <row r="167" spans="1:11" ht="13">
      <c r="A167" s="17"/>
      <c r="B167" s="17"/>
      <c r="C167" s="17"/>
      <c r="D167" s="17"/>
      <c r="E167" s="17"/>
      <c r="F167" s="62"/>
      <c r="G167" s="17"/>
      <c r="H167" s="17"/>
      <c r="I167" s="17"/>
      <c r="J167" s="17"/>
      <c r="K167" s="17"/>
    </row>
    <row r="168" spans="1:11" ht="13">
      <c r="A168" s="17"/>
      <c r="B168" s="17"/>
      <c r="C168" s="17"/>
      <c r="D168" s="17"/>
      <c r="E168" s="17"/>
      <c r="F168" s="62"/>
      <c r="G168" s="17"/>
      <c r="H168" s="17"/>
      <c r="I168" s="17"/>
      <c r="J168" s="17"/>
      <c r="K168" s="17"/>
    </row>
    <row r="169" spans="1:11" ht="13">
      <c r="A169" s="17"/>
      <c r="B169" s="17"/>
      <c r="C169" s="17"/>
      <c r="D169" s="17"/>
      <c r="E169" s="17"/>
      <c r="F169" s="62"/>
      <c r="G169" s="17"/>
      <c r="H169" s="17"/>
      <c r="I169" s="17"/>
      <c r="J169" s="17"/>
      <c r="K169" s="17"/>
    </row>
    <row r="170" spans="1:11" ht="13">
      <c r="A170" s="17"/>
      <c r="B170" s="17"/>
      <c r="C170" s="17"/>
      <c r="D170" s="17"/>
      <c r="E170" s="17"/>
      <c r="F170" s="62"/>
      <c r="G170" s="17"/>
      <c r="H170" s="17"/>
      <c r="I170" s="17"/>
      <c r="J170" s="17"/>
      <c r="K170" s="17"/>
    </row>
    <row r="171" spans="1:11" ht="13">
      <c r="A171" s="17"/>
      <c r="B171" s="17"/>
      <c r="C171" s="17"/>
      <c r="D171" s="17"/>
      <c r="E171" s="17"/>
      <c r="F171" s="62"/>
      <c r="G171" s="17"/>
      <c r="H171" s="17"/>
      <c r="I171" s="17"/>
      <c r="J171" s="17"/>
      <c r="K171" s="17"/>
    </row>
    <row r="172" spans="1:11" ht="13">
      <c r="A172" s="17"/>
      <c r="B172" s="17"/>
      <c r="C172" s="17"/>
      <c r="D172" s="17"/>
      <c r="E172" s="17"/>
      <c r="F172" s="62"/>
      <c r="G172" s="17"/>
      <c r="H172" s="17"/>
      <c r="I172" s="17"/>
      <c r="J172" s="17"/>
      <c r="K172" s="17"/>
    </row>
    <row r="173" spans="1:11" ht="13">
      <c r="A173" s="17"/>
      <c r="B173" s="17"/>
      <c r="C173" s="17"/>
      <c r="D173" s="17"/>
      <c r="E173" s="17"/>
      <c r="F173" s="62"/>
      <c r="G173" s="17"/>
      <c r="H173" s="17"/>
      <c r="I173" s="17"/>
      <c r="J173" s="17"/>
      <c r="K173" s="17"/>
    </row>
    <row r="174" spans="1:11" ht="13">
      <c r="A174" s="17"/>
      <c r="B174" s="17"/>
      <c r="C174" s="17"/>
      <c r="D174" s="17"/>
      <c r="E174" s="17"/>
      <c r="F174" s="62"/>
      <c r="G174" s="17"/>
      <c r="H174" s="17"/>
      <c r="I174" s="17"/>
      <c r="J174" s="17"/>
      <c r="K174" s="17"/>
    </row>
    <row r="175" spans="1:11" ht="13">
      <c r="A175" s="17"/>
      <c r="B175" s="17"/>
      <c r="C175" s="17"/>
      <c r="D175" s="17"/>
      <c r="E175" s="17"/>
      <c r="F175" s="62"/>
      <c r="G175" s="17"/>
      <c r="H175" s="17"/>
      <c r="I175" s="17"/>
      <c r="J175" s="17"/>
      <c r="K175" s="17"/>
    </row>
    <row r="176" spans="1:11" ht="13">
      <c r="A176" s="17"/>
      <c r="B176" s="17"/>
      <c r="C176" s="17"/>
      <c r="D176" s="17"/>
      <c r="E176" s="17"/>
      <c r="F176" s="62"/>
      <c r="G176" s="17"/>
      <c r="H176" s="17"/>
      <c r="I176" s="17"/>
      <c r="J176" s="17"/>
      <c r="K176" s="17"/>
    </row>
    <row r="177" spans="1:11" ht="13">
      <c r="A177" s="17"/>
      <c r="B177" s="17"/>
      <c r="C177" s="17"/>
      <c r="D177" s="17"/>
      <c r="E177" s="17"/>
      <c r="F177" s="62"/>
      <c r="G177" s="17"/>
      <c r="H177" s="17"/>
      <c r="I177" s="17"/>
      <c r="J177" s="17"/>
      <c r="K177" s="17"/>
    </row>
    <row r="178" spans="1:11" ht="13">
      <c r="A178" s="17"/>
      <c r="B178" s="17"/>
      <c r="C178" s="17"/>
      <c r="D178" s="17"/>
      <c r="E178" s="17"/>
      <c r="F178" s="62"/>
      <c r="G178" s="17"/>
      <c r="H178" s="17"/>
      <c r="I178" s="17"/>
      <c r="J178" s="17"/>
      <c r="K178" s="17"/>
    </row>
    <row r="179" spans="1:11" ht="13">
      <c r="A179" s="17"/>
      <c r="B179" s="17"/>
      <c r="C179" s="17"/>
      <c r="D179" s="17"/>
      <c r="E179" s="17"/>
      <c r="F179" s="62"/>
      <c r="G179" s="17"/>
      <c r="H179" s="17"/>
      <c r="I179" s="17"/>
      <c r="J179" s="17"/>
      <c r="K179" s="17"/>
    </row>
    <row r="180" spans="1:11" ht="13">
      <c r="A180" s="17"/>
      <c r="B180" s="17"/>
      <c r="C180" s="17"/>
      <c r="D180" s="17"/>
      <c r="E180" s="17"/>
      <c r="F180" s="62"/>
      <c r="G180" s="17"/>
      <c r="H180" s="17"/>
      <c r="I180" s="17"/>
      <c r="J180" s="17"/>
      <c r="K180" s="17"/>
    </row>
    <row r="181" spans="1:11" ht="13">
      <c r="A181" s="17"/>
      <c r="B181" s="17"/>
      <c r="C181" s="17"/>
      <c r="D181" s="17"/>
      <c r="E181" s="17"/>
      <c r="F181" s="62"/>
      <c r="G181" s="17"/>
      <c r="H181" s="17"/>
      <c r="I181" s="17"/>
      <c r="J181" s="17"/>
      <c r="K181" s="17"/>
    </row>
    <row r="182" spans="1:11" ht="13">
      <c r="A182" s="17"/>
      <c r="B182" s="17"/>
      <c r="C182" s="17"/>
      <c r="D182" s="17"/>
      <c r="E182" s="17"/>
      <c r="F182" s="62"/>
      <c r="G182" s="17"/>
      <c r="H182" s="17"/>
      <c r="I182" s="17"/>
      <c r="J182" s="17"/>
      <c r="K182" s="17"/>
    </row>
    <row r="183" spans="1:11" ht="13">
      <c r="A183" s="17"/>
      <c r="B183" s="17"/>
      <c r="C183" s="17"/>
      <c r="D183" s="17"/>
      <c r="E183" s="17"/>
      <c r="F183" s="62"/>
      <c r="G183" s="17"/>
      <c r="H183" s="17"/>
      <c r="I183" s="17"/>
      <c r="J183" s="17"/>
      <c r="K183" s="17"/>
    </row>
    <row r="184" spans="1:11" ht="13">
      <c r="A184" s="17"/>
      <c r="B184" s="17"/>
      <c r="C184" s="17"/>
      <c r="D184" s="17"/>
      <c r="E184" s="17"/>
      <c r="F184" s="62"/>
      <c r="G184" s="17"/>
      <c r="H184" s="17"/>
      <c r="I184" s="17"/>
      <c r="J184" s="17"/>
      <c r="K184" s="17"/>
    </row>
    <row r="185" spans="1:11" ht="13">
      <c r="A185" s="17"/>
      <c r="B185" s="17"/>
      <c r="C185" s="17"/>
      <c r="D185" s="17"/>
      <c r="E185" s="17"/>
      <c r="F185" s="62"/>
      <c r="G185" s="17"/>
      <c r="H185" s="17"/>
      <c r="I185" s="17"/>
      <c r="J185" s="17"/>
      <c r="K185" s="17"/>
    </row>
    <row r="186" spans="1:11" ht="13">
      <c r="A186" s="17"/>
      <c r="B186" s="17"/>
      <c r="C186" s="17"/>
      <c r="D186" s="17"/>
      <c r="E186" s="17"/>
      <c r="F186" s="62"/>
      <c r="G186" s="17"/>
      <c r="H186" s="17"/>
      <c r="I186" s="17"/>
      <c r="J186" s="17"/>
      <c r="K186" s="17"/>
    </row>
    <row r="187" spans="1:11" ht="13">
      <c r="A187" s="17"/>
      <c r="B187" s="17"/>
      <c r="C187" s="17"/>
      <c r="D187" s="17"/>
      <c r="E187" s="17"/>
      <c r="F187" s="62"/>
      <c r="G187" s="17"/>
      <c r="H187" s="17"/>
      <c r="I187" s="17"/>
      <c r="J187" s="17"/>
      <c r="K187" s="17"/>
    </row>
    <row r="188" spans="1:11" ht="13">
      <c r="A188" s="17"/>
      <c r="B188" s="17"/>
      <c r="C188" s="17"/>
      <c r="D188" s="17"/>
      <c r="E188" s="17"/>
      <c r="F188" s="62"/>
      <c r="G188" s="17"/>
      <c r="H188" s="17"/>
      <c r="I188" s="17"/>
      <c r="J188" s="17"/>
      <c r="K188" s="17"/>
    </row>
    <row r="189" spans="1:11" ht="13">
      <c r="A189" s="17"/>
      <c r="B189" s="17"/>
      <c r="C189" s="17"/>
      <c r="D189" s="17"/>
      <c r="E189" s="17"/>
      <c r="F189" s="62"/>
      <c r="G189" s="17"/>
      <c r="H189" s="17"/>
      <c r="I189" s="17"/>
      <c r="J189" s="17"/>
      <c r="K189" s="17"/>
    </row>
    <row r="190" spans="1:11" ht="13">
      <c r="A190" s="17"/>
      <c r="B190" s="17"/>
      <c r="C190" s="17"/>
      <c r="D190" s="17"/>
      <c r="E190" s="17"/>
      <c r="F190" s="62"/>
      <c r="G190" s="17"/>
      <c r="H190" s="17"/>
      <c r="I190" s="17"/>
      <c r="J190" s="17"/>
      <c r="K190" s="17"/>
    </row>
    <row r="191" spans="1:11" ht="13">
      <c r="A191" s="17"/>
      <c r="B191" s="17"/>
      <c r="C191" s="17"/>
      <c r="D191" s="17"/>
      <c r="E191" s="17"/>
      <c r="F191" s="62"/>
      <c r="G191" s="17"/>
      <c r="H191" s="17"/>
      <c r="I191" s="17"/>
      <c r="J191" s="17"/>
      <c r="K191" s="17"/>
    </row>
    <row r="192" spans="1:11" ht="13">
      <c r="A192" s="17"/>
      <c r="B192" s="17"/>
      <c r="C192" s="17"/>
      <c r="D192" s="17"/>
      <c r="E192" s="17"/>
      <c r="F192" s="62"/>
      <c r="G192" s="17"/>
      <c r="H192" s="17"/>
      <c r="I192" s="17"/>
      <c r="J192" s="17"/>
      <c r="K192" s="17"/>
    </row>
    <row r="193" spans="1:11" ht="13">
      <c r="A193" s="17"/>
      <c r="B193" s="17"/>
      <c r="C193" s="17"/>
      <c r="D193" s="17"/>
      <c r="E193" s="17"/>
      <c r="F193" s="62"/>
      <c r="G193" s="17"/>
      <c r="H193" s="17"/>
      <c r="I193" s="17"/>
      <c r="J193" s="17"/>
      <c r="K193" s="17"/>
    </row>
    <row r="194" spans="1:11" ht="13">
      <c r="A194" s="17"/>
      <c r="B194" s="17"/>
      <c r="C194" s="17"/>
      <c r="D194" s="17"/>
      <c r="E194" s="17"/>
      <c r="F194" s="62"/>
      <c r="G194" s="17"/>
      <c r="H194" s="17"/>
      <c r="I194" s="17"/>
      <c r="J194" s="17"/>
      <c r="K194" s="17"/>
    </row>
    <row r="195" spans="1:11" ht="13">
      <c r="A195" s="17"/>
      <c r="B195" s="17"/>
      <c r="C195" s="17"/>
      <c r="D195" s="17"/>
      <c r="E195" s="17"/>
      <c r="F195" s="62"/>
      <c r="G195" s="17"/>
      <c r="H195" s="17"/>
      <c r="I195" s="17"/>
      <c r="J195" s="17"/>
      <c r="K195" s="17"/>
    </row>
    <row r="196" spans="1:11" ht="13">
      <c r="A196" s="17"/>
      <c r="B196" s="17"/>
      <c r="C196" s="17"/>
      <c r="D196" s="17"/>
      <c r="E196" s="17"/>
      <c r="F196" s="62"/>
      <c r="G196" s="17"/>
      <c r="H196" s="17"/>
      <c r="I196" s="17"/>
      <c r="J196" s="17"/>
      <c r="K196" s="17"/>
    </row>
    <row r="197" spans="1:11" ht="13">
      <c r="A197" s="17"/>
      <c r="B197" s="17"/>
      <c r="C197" s="17"/>
      <c r="D197" s="17"/>
      <c r="E197" s="17"/>
      <c r="F197" s="62"/>
      <c r="G197" s="17"/>
      <c r="H197" s="17"/>
      <c r="I197" s="17"/>
      <c r="J197" s="17"/>
      <c r="K197" s="17"/>
    </row>
    <row r="198" spans="1:11" ht="13">
      <c r="A198" s="17"/>
      <c r="B198" s="17"/>
      <c r="C198" s="17"/>
      <c r="D198" s="17"/>
      <c r="E198" s="17"/>
      <c r="F198" s="62"/>
      <c r="G198" s="17"/>
      <c r="H198" s="17"/>
      <c r="I198" s="17"/>
      <c r="J198" s="17"/>
      <c r="K198" s="17"/>
    </row>
    <row r="199" spans="1:11" ht="13">
      <c r="A199" s="17"/>
      <c r="B199" s="17"/>
      <c r="C199" s="17"/>
      <c r="D199" s="17"/>
      <c r="E199" s="17"/>
      <c r="F199" s="62"/>
      <c r="G199" s="17"/>
      <c r="H199" s="17"/>
      <c r="I199" s="17"/>
      <c r="J199" s="17"/>
      <c r="K199" s="17"/>
    </row>
    <row r="200" spans="1:11" ht="13">
      <c r="A200" s="17"/>
      <c r="B200" s="17"/>
      <c r="C200" s="17"/>
      <c r="D200" s="17"/>
      <c r="E200" s="17"/>
      <c r="F200" s="62"/>
      <c r="G200" s="17"/>
      <c r="H200" s="17"/>
      <c r="I200" s="17"/>
      <c r="J200" s="17"/>
      <c r="K200" s="17"/>
    </row>
    <row r="201" spans="1:11" ht="13">
      <c r="A201" s="17"/>
      <c r="B201" s="17"/>
      <c r="C201" s="17"/>
      <c r="D201" s="17"/>
      <c r="E201" s="17"/>
      <c r="F201" s="62"/>
      <c r="G201" s="17"/>
      <c r="H201" s="17"/>
      <c r="I201" s="17"/>
      <c r="J201" s="17"/>
      <c r="K201" s="17"/>
    </row>
    <row r="202" spans="1:11" ht="13">
      <c r="A202" s="17"/>
      <c r="B202" s="17"/>
      <c r="C202" s="17"/>
      <c r="D202" s="17"/>
      <c r="E202" s="17"/>
      <c r="F202" s="62"/>
      <c r="G202" s="17"/>
      <c r="H202" s="17"/>
      <c r="I202" s="17"/>
      <c r="J202" s="17"/>
      <c r="K202" s="17"/>
    </row>
    <row r="203" spans="1:11" ht="13">
      <c r="A203" s="17"/>
      <c r="B203" s="17"/>
      <c r="C203" s="17"/>
      <c r="D203" s="17"/>
      <c r="E203" s="17"/>
      <c r="F203" s="62"/>
      <c r="G203" s="17"/>
      <c r="H203" s="17"/>
      <c r="I203" s="17"/>
      <c r="J203" s="17"/>
      <c r="K203" s="17"/>
    </row>
    <row r="204" spans="1:11" ht="13">
      <c r="A204" s="17"/>
      <c r="B204" s="17"/>
      <c r="C204" s="17"/>
      <c r="D204" s="17"/>
      <c r="E204" s="17"/>
      <c r="F204" s="62"/>
      <c r="G204" s="17"/>
      <c r="H204" s="17"/>
      <c r="I204" s="17"/>
      <c r="J204" s="17"/>
      <c r="K204" s="17"/>
    </row>
    <row r="205" spans="1:11" ht="13">
      <c r="A205" s="17"/>
      <c r="B205" s="17"/>
      <c r="C205" s="17"/>
      <c r="D205" s="17"/>
      <c r="E205" s="17"/>
      <c r="F205" s="62"/>
      <c r="G205" s="17"/>
      <c r="H205" s="17"/>
      <c r="I205" s="17"/>
      <c r="J205" s="17"/>
      <c r="K205" s="17"/>
    </row>
    <row r="206" spans="1:11" ht="13">
      <c r="A206" s="17"/>
      <c r="B206" s="17"/>
      <c r="C206" s="17"/>
      <c r="D206" s="17"/>
      <c r="E206" s="17"/>
      <c r="F206" s="62"/>
      <c r="G206" s="17"/>
      <c r="H206" s="17"/>
      <c r="I206" s="17"/>
      <c r="J206" s="17"/>
      <c r="K206" s="17"/>
    </row>
    <row r="207" spans="1:11" ht="13">
      <c r="A207" s="17"/>
      <c r="B207" s="17"/>
      <c r="C207" s="17"/>
      <c r="D207" s="17"/>
      <c r="E207" s="17"/>
      <c r="F207" s="62"/>
      <c r="G207" s="17"/>
      <c r="H207" s="17"/>
      <c r="I207" s="17"/>
      <c r="J207" s="17"/>
      <c r="K207" s="17"/>
    </row>
    <row r="208" spans="1:11" ht="13">
      <c r="A208" s="17"/>
      <c r="B208" s="17"/>
      <c r="C208" s="17"/>
      <c r="D208" s="17"/>
      <c r="E208" s="17"/>
      <c r="F208" s="62"/>
      <c r="G208" s="17"/>
      <c r="H208" s="17"/>
      <c r="I208" s="17"/>
      <c r="J208" s="17"/>
      <c r="K208" s="17"/>
    </row>
    <row r="209" spans="1:11" ht="13">
      <c r="A209" s="17"/>
      <c r="B209" s="17"/>
      <c r="C209" s="17"/>
      <c r="D209" s="17"/>
      <c r="E209" s="17"/>
      <c r="F209" s="62"/>
      <c r="G209" s="17"/>
      <c r="H209" s="17"/>
      <c r="I209" s="17"/>
      <c r="J209" s="17"/>
      <c r="K209" s="17"/>
    </row>
    <row r="210" spans="1:11" ht="13">
      <c r="A210" s="17"/>
      <c r="B210" s="17"/>
      <c r="C210" s="17"/>
      <c r="D210" s="17"/>
      <c r="E210" s="17"/>
      <c r="F210" s="62"/>
      <c r="G210" s="17"/>
      <c r="H210" s="17"/>
      <c r="I210" s="17"/>
      <c r="J210" s="17"/>
      <c r="K210" s="17"/>
    </row>
    <row r="211" spans="1:11" ht="13">
      <c r="A211" s="17"/>
      <c r="B211" s="17"/>
      <c r="C211" s="17"/>
      <c r="D211" s="17"/>
      <c r="E211" s="17"/>
      <c r="F211" s="62"/>
      <c r="G211" s="17"/>
      <c r="H211" s="17"/>
      <c r="I211" s="17"/>
      <c r="J211" s="17"/>
      <c r="K211" s="17"/>
    </row>
    <row r="212" spans="1:11" ht="13">
      <c r="A212" s="17"/>
      <c r="B212" s="17"/>
      <c r="C212" s="17"/>
      <c r="D212" s="17"/>
      <c r="E212" s="17"/>
      <c r="F212" s="62"/>
      <c r="G212" s="17"/>
      <c r="H212" s="17"/>
      <c r="I212" s="17"/>
      <c r="J212" s="17"/>
      <c r="K212" s="17"/>
    </row>
    <row r="213" spans="1:11" ht="13">
      <c r="A213" s="17"/>
      <c r="B213" s="17"/>
      <c r="C213" s="17"/>
      <c r="D213" s="17"/>
      <c r="E213" s="17"/>
      <c r="F213" s="62"/>
      <c r="G213" s="17"/>
      <c r="H213" s="17"/>
      <c r="I213" s="17"/>
      <c r="J213" s="17"/>
      <c r="K213" s="17"/>
    </row>
    <row r="214" spans="1:11" ht="13">
      <c r="A214" s="17"/>
      <c r="B214" s="17"/>
      <c r="C214" s="17"/>
      <c r="D214" s="17"/>
      <c r="E214" s="17"/>
      <c r="F214" s="62"/>
      <c r="G214" s="17"/>
      <c r="H214" s="17"/>
      <c r="I214" s="17"/>
      <c r="J214" s="17"/>
      <c r="K214" s="17"/>
    </row>
    <row r="215" spans="1:11" ht="13">
      <c r="A215" s="17"/>
      <c r="B215" s="17"/>
      <c r="C215" s="17"/>
      <c r="D215" s="17"/>
      <c r="E215" s="17"/>
      <c r="F215" s="62"/>
      <c r="G215" s="17"/>
      <c r="H215" s="17"/>
      <c r="I215" s="17"/>
      <c r="J215" s="17"/>
      <c r="K215" s="17"/>
    </row>
    <row r="216" spans="1:11" ht="13">
      <c r="A216" s="17"/>
      <c r="B216" s="17"/>
      <c r="C216" s="17"/>
      <c r="D216" s="17"/>
      <c r="E216" s="17"/>
      <c r="F216" s="62"/>
      <c r="G216" s="17"/>
      <c r="H216" s="17"/>
      <c r="I216" s="17"/>
      <c r="J216" s="17"/>
      <c r="K216" s="17"/>
    </row>
    <row r="217" spans="1:11" ht="13">
      <c r="A217" s="17"/>
      <c r="B217" s="17"/>
      <c r="C217" s="17"/>
      <c r="D217" s="17"/>
      <c r="E217" s="17"/>
      <c r="F217" s="62"/>
      <c r="G217" s="17"/>
      <c r="H217" s="17"/>
      <c r="I217" s="17"/>
      <c r="J217" s="17"/>
      <c r="K217" s="17"/>
    </row>
    <row r="218" spans="1:11" ht="13">
      <c r="A218" s="17"/>
      <c r="B218" s="17"/>
      <c r="C218" s="17"/>
      <c r="D218" s="17"/>
      <c r="E218" s="17"/>
      <c r="F218" s="62"/>
      <c r="G218" s="17"/>
      <c r="H218" s="17"/>
      <c r="I218" s="17"/>
      <c r="J218" s="17"/>
      <c r="K218" s="17"/>
    </row>
    <row r="219" spans="1:11" ht="13">
      <c r="A219" s="17"/>
      <c r="B219" s="17"/>
      <c r="C219" s="17"/>
      <c r="D219" s="17"/>
      <c r="E219" s="17"/>
      <c r="F219" s="62"/>
      <c r="G219" s="17"/>
      <c r="H219" s="17"/>
      <c r="I219" s="17"/>
      <c r="J219" s="17"/>
      <c r="K219" s="17"/>
    </row>
    <row r="220" spans="1:11" ht="13">
      <c r="A220" s="17"/>
      <c r="B220" s="17"/>
      <c r="C220" s="17"/>
      <c r="D220" s="17"/>
      <c r="E220" s="17"/>
      <c r="F220" s="62"/>
      <c r="G220" s="17"/>
      <c r="H220" s="17"/>
      <c r="I220" s="17"/>
      <c r="J220" s="17"/>
      <c r="K220" s="17"/>
    </row>
    <row r="221" spans="1:11" ht="13">
      <c r="A221" s="17"/>
      <c r="B221" s="17"/>
      <c r="C221" s="17"/>
      <c r="D221" s="17"/>
      <c r="E221" s="17"/>
      <c r="F221" s="62"/>
      <c r="G221" s="17"/>
      <c r="H221" s="17"/>
      <c r="I221" s="17"/>
      <c r="J221" s="17"/>
      <c r="K221" s="17"/>
    </row>
    <row r="222" spans="1:11" ht="13">
      <c r="A222" s="17"/>
      <c r="B222" s="17"/>
      <c r="C222" s="17"/>
      <c r="D222" s="17"/>
      <c r="E222" s="17"/>
      <c r="F222" s="62"/>
      <c r="G222" s="17"/>
      <c r="H222" s="17"/>
      <c r="I222" s="17"/>
      <c r="J222" s="17"/>
      <c r="K222" s="17"/>
    </row>
    <row r="223" spans="1:11" ht="13">
      <c r="A223" s="17"/>
      <c r="B223" s="17"/>
      <c r="C223" s="17"/>
      <c r="D223" s="17"/>
      <c r="E223" s="17"/>
      <c r="F223" s="62"/>
      <c r="G223" s="17"/>
      <c r="H223" s="17"/>
      <c r="I223" s="17"/>
      <c r="J223" s="17"/>
      <c r="K223" s="17"/>
    </row>
    <row r="224" spans="1:11" ht="13">
      <c r="A224" s="17"/>
      <c r="B224" s="17"/>
      <c r="C224" s="17"/>
      <c r="D224" s="17"/>
      <c r="E224" s="17"/>
      <c r="F224" s="62"/>
      <c r="G224" s="17"/>
      <c r="H224" s="17"/>
      <c r="I224" s="17"/>
      <c r="J224" s="17"/>
      <c r="K224" s="17"/>
    </row>
    <row r="225" spans="1:11" ht="13">
      <c r="A225" s="17"/>
      <c r="B225" s="17"/>
      <c r="C225" s="17"/>
      <c r="D225" s="17"/>
      <c r="E225" s="17"/>
      <c r="F225" s="62"/>
      <c r="G225" s="17"/>
      <c r="H225" s="17"/>
      <c r="I225" s="17"/>
      <c r="J225" s="17"/>
      <c r="K225" s="17"/>
    </row>
    <row r="226" spans="1:11" ht="13">
      <c r="A226" s="17"/>
      <c r="B226" s="17"/>
      <c r="C226" s="17"/>
      <c r="D226" s="17"/>
      <c r="E226" s="17"/>
      <c r="F226" s="62"/>
      <c r="G226" s="17"/>
      <c r="H226" s="17"/>
      <c r="I226" s="17"/>
      <c r="J226" s="17"/>
      <c r="K226" s="17"/>
    </row>
    <row r="227" spans="1:11" ht="13">
      <c r="A227" s="17"/>
      <c r="B227" s="17"/>
      <c r="C227" s="17"/>
      <c r="D227" s="17"/>
      <c r="E227" s="17"/>
      <c r="F227" s="62"/>
      <c r="G227" s="17"/>
      <c r="H227" s="17"/>
      <c r="I227" s="17"/>
      <c r="J227" s="17"/>
      <c r="K227" s="17"/>
    </row>
    <row r="228" spans="1:11" ht="13">
      <c r="A228" s="17"/>
      <c r="B228" s="17"/>
      <c r="C228" s="17"/>
      <c r="D228" s="17"/>
      <c r="E228" s="17"/>
      <c r="F228" s="62"/>
      <c r="G228" s="17"/>
      <c r="H228" s="17"/>
      <c r="I228" s="17"/>
      <c r="J228" s="17"/>
      <c r="K228" s="17"/>
    </row>
    <row r="229" spans="1:11" ht="13">
      <c r="A229" s="17"/>
      <c r="B229" s="17"/>
      <c r="C229" s="17"/>
      <c r="D229" s="17"/>
      <c r="E229" s="17"/>
      <c r="F229" s="62"/>
      <c r="G229" s="17"/>
      <c r="H229" s="17"/>
      <c r="I229" s="17"/>
      <c r="J229" s="17"/>
      <c r="K229" s="17"/>
    </row>
    <row r="230" spans="1:11" ht="13">
      <c r="A230" s="17"/>
      <c r="B230" s="17"/>
      <c r="C230" s="17"/>
      <c r="D230" s="17"/>
      <c r="E230" s="17"/>
      <c r="F230" s="62"/>
      <c r="G230" s="17"/>
      <c r="H230" s="17"/>
      <c r="I230" s="17"/>
      <c r="J230" s="17"/>
      <c r="K230" s="17"/>
    </row>
    <row r="231" spans="1:11" ht="13">
      <c r="A231" s="17"/>
      <c r="B231" s="17"/>
      <c r="C231" s="17"/>
      <c r="D231" s="17"/>
      <c r="E231" s="17"/>
      <c r="F231" s="62"/>
      <c r="G231" s="17"/>
      <c r="H231" s="17"/>
      <c r="I231" s="17"/>
      <c r="J231" s="17"/>
      <c r="K231" s="17"/>
    </row>
    <row r="232" spans="1:11" ht="13">
      <c r="A232" s="17"/>
      <c r="B232" s="17"/>
      <c r="C232" s="17"/>
      <c r="D232" s="17"/>
      <c r="E232" s="17"/>
      <c r="F232" s="62"/>
      <c r="G232" s="17"/>
      <c r="H232" s="17"/>
      <c r="I232" s="17"/>
      <c r="J232" s="17"/>
      <c r="K232" s="17"/>
    </row>
    <row r="233" spans="1:11" ht="13">
      <c r="A233" s="17"/>
      <c r="B233" s="17"/>
      <c r="C233" s="17"/>
      <c r="D233" s="17"/>
      <c r="E233" s="17"/>
      <c r="F233" s="62"/>
      <c r="G233" s="17"/>
      <c r="H233" s="17"/>
      <c r="I233" s="17"/>
      <c r="J233" s="17"/>
      <c r="K233" s="17"/>
    </row>
    <row r="234" spans="1:11" ht="13">
      <c r="A234" s="17"/>
      <c r="B234" s="17"/>
      <c r="C234" s="17"/>
      <c r="D234" s="17"/>
      <c r="E234" s="17"/>
      <c r="F234" s="62"/>
      <c r="G234" s="17"/>
      <c r="H234" s="17"/>
      <c r="I234" s="17"/>
      <c r="J234" s="17"/>
      <c r="K234" s="17"/>
    </row>
    <row r="235" spans="1:11" ht="13">
      <c r="A235" s="17"/>
      <c r="B235" s="17"/>
      <c r="C235" s="17"/>
      <c r="D235" s="17"/>
      <c r="E235" s="17"/>
      <c r="F235" s="62"/>
      <c r="G235" s="17"/>
      <c r="H235" s="17"/>
      <c r="I235" s="17"/>
      <c r="J235" s="17"/>
      <c r="K235" s="17"/>
    </row>
    <row r="236" spans="1:11" ht="13">
      <c r="A236" s="17"/>
      <c r="B236" s="17"/>
      <c r="C236" s="17"/>
      <c r="D236" s="17"/>
      <c r="E236" s="17"/>
      <c r="F236" s="62"/>
      <c r="G236" s="17"/>
      <c r="H236" s="17"/>
      <c r="I236" s="17"/>
      <c r="J236" s="17"/>
      <c r="K236" s="17"/>
    </row>
    <row r="237" spans="1:11" ht="13">
      <c r="A237" s="17"/>
      <c r="B237" s="17"/>
      <c r="C237" s="17"/>
      <c r="D237" s="17"/>
      <c r="E237" s="17"/>
      <c r="F237" s="62"/>
      <c r="G237" s="17"/>
      <c r="H237" s="17"/>
      <c r="I237" s="17"/>
      <c r="J237" s="17"/>
      <c r="K237" s="17"/>
    </row>
    <row r="238" spans="1:11" ht="13">
      <c r="A238" s="17"/>
      <c r="B238" s="17"/>
      <c r="C238" s="17"/>
      <c r="D238" s="17"/>
      <c r="E238" s="17"/>
      <c r="F238" s="62"/>
      <c r="G238" s="17"/>
      <c r="H238" s="17"/>
      <c r="I238" s="17"/>
      <c r="J238" s="17"/>
      <c r="K238" s="17"/>
    </row>
    <row r="239" spans="1:11" ht="13">
      <c r="A239" s="17"/>
      <c r="B239" s="17"/>
      <c r="C239" s="17"/>
      <c r="D239" s="17"/>
      <c r="E239" s="17"/>
      <c r="F239" s="62"/>
      <c r="G239" s="17"/>
      <c r="H239" s="17"/>
      <c r="I239" s="17"/>
      <c r="J239" s="17"/>
      <c r="K239" s="17"/>
    </row>
    <row r="240" spans="1:11" ht="13">
      <c r="A240" s="17"/>
      <c r="B240" s="17"/>
      <c r="C240" s="17"/>
      <c r="D240" s="17"/>
      <c r="E240" s="17"/>
      <c r="F240" s="62"/>
      <c r="G240" s="17"/>
      <c r="H240" s="17"/>
      <c r="I240" s="17"/>
      <c r="J240" s="17"/>
      <c r="K240" s="17"/>
    </row>
    <row r="241" spans="1:11" ht="13">
      <c r="A241" s="17"/>
      <c r="B241" s="17"/>
      <c r="C241" s="17"/>
      <c r="D241" s="17"/>
      <c r="E241" s="17"/>
      <c r="F241" s="62"/>
      <c r="G241" s="17"/>
      <c r="H241" s="17"/>
      <c r="I241" s="17"/>
      <c r="J241" s="17"/>
      <c r="K241" s="17"/>
    </row>
    <row r="242" spans="1:11" ht="13">
      <c r="A242" s="17"/>
      <c r="B242" s="17"/>
      <c r="C242" s="17"/>
      <c r="D242" s="17"/>
      <c r="E242" s="17"/>
      <c r="F242" s="62"/>
      <c r="G242" s="17"/>
      <c r="H242" s="17"/>
      <c r="I242" s="17"/>
      <c r="J242" s="17"/>
      <c r="K242" s="17"/>
    </row>
    <row r="243" spans="1:11" ht="13">
      <c r="A243" s="17"/>
      <c r="B243" s="17"/>
      <c r="C243" s="17"/>
      <c r="D243" s="17"/>
      <c r="E243" s="17"/>
      <c r="F243" s="62"/>
      <c r="G243" s="17"/>
      <c r="H243" s="17"/>
      <c r="I243" s="17"/>
      <c r="J243" s="17"/>
      <c r="K243" s="17"/>
    </row>
    <row r="244" spans="1:11" ht="13">
      <c r="A244" s="17"/>
      <c r="B244" s="17"/>
      <c r="C244" s="17"/>
      <c r="D244" s="17"/>
      <c r="E244" s="17"/>
      <c r="F244" s="62"/>
      <c r="G244" s="17"/>
      <c r="H244" s="17"/>
      <c r="I244" s="17"/>
      <c r="J244" s="17"/>
      <c r="K244" s="17"/>
    </row>
    <row r="245" spans="1:11" ht="13">
      <c r="A245" s="17"/>
      <c r="B245" s="17"/>
      <c r="C245" s="17"/>
      <c r="D245" s="17"/>
      <c r="E245" s="17"/>
      <c r="F245" s="62"/>
      <c r="G245" s="17"/>
      <c r="H245" s="17"/>
      <c r="I245" s="17"/>
      <c r="J245" s="17"/>
      <c r="K245" s="17"/>
    </row>
    <row r="246" spans="1:11" ht="13">
      <c r="A246" s="17"/>
      <c r="B246" s="17"/>
      <c r="C246" s="17"/>
      <c r="D246" s="17"/>
      <c r="E246" s="17"/>
      <c r="F246" s="62"/>
      <c r="G246" s="17"/>
      <c r="H246" s="17"/>
      <c r="I246" s="17"/>
      <c r="J246" s="17"/>
      <c r="K246" s="17"/>
    </row>
    <row r="247" spans="1:11" ht="13">
      <c r="A247" s="17"/>
      <c r="B247" s="17"/>
      <c r="C247" s="17"/>
      <c r="D247" s="17"/>
      <c r="E247" s="17"/>
      <c r="F247" s="62"/>
      <c r="G247" s="17"/>
      <c r="H247" s="17"/>
      <c r="I247" s="17"/>
      <c r="J247" s="17"/>
      <c r="K247" s="17"/>
    </row>
    <row r="248" spans="1:11" ht="13">
      <c r="A248" s="17"/>
      <c r="B248" s="17"/>
      <c r="C248" s="17"/>
      <c r="D248" s="17"/>
      <c r="E248" s="17"/>
      <c r="F248" s="62"/>
      <c r="G248" s="17"/>
      <c r="H248" s="17"/>
      <c r="I248" s="17"/>
      <c r="J248" s="17"/>
      <c r="K248" s="17"/>
    </row>
    <row r="249" spans="1:11" ht="13">
      <c r="A249" s="17"/>
      <c r="B249" s="17"/>
      <c r="C249" s="17"/>
      <c r="D249" s="17"/>
      <c r="E249" s="17"/>
      <c r="F249" s="62"/>
      <c r="G249" s="17"/>
      <c r="H249" s="17"/>
      <c r="I249" s="17"/>
      <c r="J249" s="17"/>
      <c r="K249" s="17"/>
    </row>
    <row r="250" spans="1:11" ht="13">
      <c r="A250" s="17"/>
      <c r="B250" s="17"/>
      <c r="C250" s="17"/>
      <c r="D250" s="17"/>
      <c r="E250" s="17"/>
      <c r="F250" s="62"/>
      <c r="G250" s="17"/>
      <c r="H250" s="17"/>
      <c r="I250" s="17"/>
      <c r="J250" s="17"/>
      <c r="K250" s="17"/>
    </row>
    <row r="251" spans="1:11" ht="13">
      <c r="A251" s="17"/>
      <c r="B251" s="17"/>
      <c r="C251" s="17"/>
      <c r="D251" s="17"/>
      <c r="E251" s="17"/>
      <c r="F251" s="62"/>
      <c r="G251" s="17"/>
      <c r="H251" s="17"/>
      <c r="I251" s="17"/>
      <c r="J251" s="17"/>
      <c r="K251" s="17"/>
    </row>
    <row r="252" spans="1:11" ht="13">
      <c r="A252" s="17"/>
      <c r="B252" s="17"/>
      <c r="C252" s="17"/>
      <c r="D252" s="17"/>
      <c r="E252" s="17"/>
      <c r="F252" s="62"/>
      <c r="G252" s="17"/>
      <c r="H252" s="17"/>
      <c r="I252" s="17"/>
      <c r="J252" s="17"/>
      <c r="K252" s="17"/>
    </row>
    <row r="253" spans="1:11" ht="13">
      <c r="A253" s="17"/>
      <c r="B253" s="17"/>
      <c r="C253" s="17"/>
      <c r="D253" s="17"/>
      <c r="E253" s="17"/>
      <c r="F253" s="62"/>
      <c r="G253" s="17"/>
      <c r="H253" s="17"/>
      <c r="I253" s="17"/>
      <c r="J253" s="17"/>
      <c r="K253" s="17"/>
    </row>
    <row r="254" spans="1:11" ht="13">
      <c r="A254" s="17"/>
      <c r="B254" s="17"/>
      <c r="C254" s="17"/>
      <c r="D254" s="17"/>
      <c r="E254" s="17"/>
      <c r="F254" s="62"/>
      <c r="G254" s="17"/>
      <c r="H254" s="17"/>
      <c r="I254" s="17"/>
      <c r="J254" s="17"/>
      <c r="K254" s="17"/>
    </row>
    <row r="255" spans="1:11" ht="13">
      <c r="A255" s="17"/>
      <c r="B255" s="17"/>
      <c r="C255" s="17"/>
      <c r="D255" s="17"/>
      <c r="E255" s="17"/>
      <c r="F255" s="62"/>
      <c r="G255" s="17"/>
      <c r="H255" s="17"/>
      <c r="I255" s="17"/>
      <c r="J255" s="17"/>
      <c r="K255" s="17"/>
    </row>
    <row r="256" spans="1:11" ht="13">
      <c r="A256" s="17"/>
      <c r="B256" s="17"/>
      <c r="C256" s="17"/>
      <c r="D256" s="17"/>
      <c r="E256" s="17"/>
      <c r="F256" s="62"/>
      <c r="G256" s="17"/>
      <c r="H256" s="17"/>
      <c r="I256" s="17"/>
      <c r="J256" s="17"/>
      <c r="K256" s="17"/>
    </row>
    <row r="257" spans="1:11" ht="13">
      <c r="A257" s="17"/>
      <c r="B257" s="17"/>
      <c r="C257" s="17"/>
      <c r="D257" s="17"/>
      <c r="E257" s="17"/>
      <c r="F257" s="62"/>
      <c r="G257" s="17"/>
      <c r="H257" s="17"/>
      <c r="I257" s="17"/>
      <c r="J257" s="17"/>
      <c r="K257" s="17"/>
    </row>
    <row r="258" spans="1:11" ht="13">
      <c r="A258" s="17"/>
      <c r="B258" s="17"/>
      <c r="C258" s="17"/>
      <c r="D258" s="17"/>
      <c r="E258" s="17"/>
      <c r="F258" s="62"/>
      <c r="G258" s="17"/>
      <c r="H258" s="17"/>
      <c r="I258" s="17"/>
      <c r="J258" s="17"/>
      <c r="K258" s="17"/>
    </row>
    <row r="259" spans="1:11" ht="13">
      <c r="A259" s="17"/>
      <c r="B259" s="17"/>
      <c r="C259" s="17"/>
      <c r="D259" s="17"/>
      <c r="E259" s="17"/>
      <c r="F259" s="62"/>
      <c r="G259" s="17"/>
      <c r="H259" s="17"/>
      <c r="I259" s="17"/>
      <c r="J259" s="17"/>
      <c r="K259" s="17"/>
    </row>
    <row r="260" spans="1:11" ht="13">
      <c r="A260" s="17"/>
      <c r="B260" s="17"/>
      <c r="C260" s="17"/>
      <c r="D260" s="17"/>
      <c r="E260" s="17"/>
      <c r="F260" s="62"/>
      <c r="G260" s="17"/>
      <c r="H260" s="17"/>
      <c r="I260" s="17"/>
      <c r="J260" s="17"/>
      <c r="K260" s="17"/>
    </row>
    <row r="261" spans="1:11" ht="13">
      <c r="A261" s="17"/>
      <c r="B261" s="17"/>
      <c r="C261" s="17"/>
      <c r="D261" s="17"/>
      <c r="E261" s="17"/>
      <c r="F261" s="62"/>
      <c r="G261" s="17"/>
      <c r="H261" s="17"/>
      <c r="I261" s="17"/>
      <c r="J261" s="17"/>
      <c r="K261" s="17"/>
    </row>
    <row r="262" spans="1:11" ht="13">
      <c r="A262" s="17"/>
      <c r="B262" s="17"/>
      <c r="C262" s="17"/>
      <c r="D262" s="17"/>
      <c r="E262" s="17"/>
      <c r="F262" s="62"/>
      <c r="G262" s="17"/>
      <c r="H262" s="17"/>
      <c r="I262" s="17"/>
      <c r="J262" s="17"/>
      <c r="K262" s="17"/>
    </row>
    <row r="263" spans="1:11" ht="13">
      <c r="A263" s="17"/>
      <c r="B263" s="17"/>
      <c r="C263" s="17"/>
      <c r="D263" s="17"/>
      <c r="E263" s="17"/>
      <c r="F263" s="62"/>
      <c r="G263" s="17"/>
      <c r="H263" s="17"/>
      <c r="I263" s="17"/>
      <c r="J263" s="17"/>
      <c r="K263" s="17"/>
    </row>
    <row r="264" spans="1:11" ht="13">
      <c r="A264" s="17"/>
      <c r="B264" s="17"/>
      <c r="C264" s="17"/>
      <c r="D264" s="17"/>
      <c r="E264" s="17"/>
      <c r="F264" s="62"/>
      <c r="G264" s="17"/>
      <c r="H264" s="17"/>
      <c r="I264" s="17"/>
      <c r="J264" s="17"/>
      <c r="K264" s="17"/>
    </row>
    <row r="265" spans="1:11" ht="13">
      <c r="A265" s="17"/>
      <c r="B265" s="17"/>
      <c r="C265" s="17"/>
      <c r="D265" s="17"/>
      <c r="E265" s="17"/>
      <c r="F265" s="62"/>
      <c r="G265" s="17"/>
      <c r="H265" s="17"/>
      <c r="I265" s="17"/>
      <c r="J265" s="17"/>
      <c r="K265" s="17"/>
    </row>
    <row r="266" spans="1:11" ht="13">
      <c r="A266" s="17"/>
      <c r="B266" s="17"/>
      <c r="C266" s="17"/>
      <c r="D266" s="17"/>
      <c r="E266" s="17"/>
      <c r="F266" s="62"/>
      <c r="G266" s="17"/>
      <c r="H266" s="17"/>
      <c r="I266" s="17"/>
      <c r="J266" s="17"/>
      <c r="K266" s="17"/>
    </row>
    <row r="267" spans="1:11" ht="13">
      <c r="A267" s="17"/>
      <c r="B267" s="17"/>
      <c r="C267" s="17"/>
      <c r="D267" s="17"/>
      <c r="E267" s="17"/>
      <c r="F267" s="62"/>
      <c r="G267" s="17"/>
      <c r="H267" s="17"/>
      <c r="I267" s="17"/>
      <c r="J267" s="17"/>
      <c r="K267" s="17"/>
    </row>
    <row r="268" spans="1:11" ht="13">
      <c r="A268" s="17"/>
      <c r="B268" s="17"/>
      <c r="C268" s="17"/>
      <c r="D268" s="17"/>
      <c r="E268" s="17"/>
      <c r="F268" s="62"/>
      <c r="G268" s="17"/>
      <c r="H268" s="17"/>
      <c r="I268" s="17"/>
      <c r="J268" s="17"/>
      <c r="K268" s="17"/>
    </row>
    <row r="269" spans="1:11" ht="13">
      <c r="A269" s="17"/>
      <c r="B269" s="17"/>
      <c r="C269" s="17"/>
      <c r="D269" s="17"/>
      <c r="E269" s="17"/>
      <c r="F269" s="62"/>
      <c r="G269" s="17"/>
      <c r="H269" s="17"/>
      <c r="I269" s="17"/>
      <c r="J269" s="17"/>
      <c r="K269" s="17"/>
    </row>
    <row r="270" spans="1:11" ht="13">
      <c r="A270" s="17"/>
      <c r="B270" s="17"/>
      <c r="C270" s="17"/>
      <c r="D270" s="17"/>
      <c r="E270" s="17"/>
      <c r="F270" s="62"/>
      <c r="G270" s="17"/>
      <c r="H270" s="17"/>
      <c r="I270" s="17"/>
      <c r="J270" s="17"/>
      <c r="K270" s="17"/>
    </row>
    <row r="271" spans="1:11" ht="13">
      <c r="A271" s="17"/>
      <c r="B271" s="17"/>
      <c r="C271" s="17"/>
      <c r="D271" s="17"/>
      <c r="E271" s="17"/>
      <c r="F271" s="62"/>
      <c r="G271" s="17"/>
      <c r="H271" s="17"/>
      <c r="I271" s="17"/>
      <c r="J271" s="17"/>
      <c r="K271" s="17"/>
    </row>
    <row r="272" spans="1:11" ht="13">
      <c r="A272" s="17"/>
      <c r="B272" s="17"/>
      <c r="C272" s="17"/>
      <c r="D272" s="17"/>
      <c r="E272" s="17"/>
      <c r="F272" s="62"/>
      <c r="G272" s="17"/>
      <c r="H272" s="17"/>
      <c r="I272" s="17"/>
      <c r="J272" s="17"/>
      <c r="K272" s="17"/>
    </row>
    <row r="273" spans="1:11" ht="13">
      <c r="A273" s="17"/>
      <c r="B273" s="17"/>
      <c r="C273" s="17"/>
      <c r="D273" s="17"/>
      <c r="E273" s="17"/>
      <c r="F273" s="62"/>
      <c r="G273" s="17"/>
      <c r="H273" s="17"/>
      <c r="I273" s="17"/>
      <c r="J273" s="17"/>
      <c r="K273" s="17"/>
    </row>
    <row r="274" spans="1:11" ht="13">
      <c r="A274" s="17"/>
      <c r="B274" s="17"/>
      <c r="C274" s="17"/>
      <c r="D274" s="17"/>
      <c r="E274" s="17"/>
      <c r="F274" s="62"/>
      <c r="G274" s="17"/>
      <c r="H274" s="17"/>
      <c r="I274" s="17"/>
      <c r="J274" s="17"/>
      <c r="K274" s="17"/>
    </row>
    <row r="275" spans="1:11" ht="13">
      <c r="A275" s="17"/>
      <c r="B275" s="17"/>
      <c r="C275" s="17"/>
      <c r="D275" s="17"/>
      <c r="E275" s="17"/>
      <c r="F275" s="62"/>
      <c r="G275" s="17"/>
      <c r="H275" s="17"/>
      <c r="I275" s="17"/>
      <c r="J275" s="17"/>
      <c r="K275" s="17"/>
    </row>
    <row r="276" spans="1:11" ht="13">
      <c r="A276" s="17"/>
      <c r="B276" s="17"/>
      <c r="C276" s="17"/>
      <c r="D276" s="17"/>
      <c r="E276" s="17"/>
      <c r="F276" s="62"/>
      <c r="G276" s="17"/>
      <c r="H276" s="17"/>
      <c r="I276" s="17"/>
      <c r="J276" s="17"/>
      <c r="K276" s="17"/>
    </row>
    <row r="277" spans="1:11" ht="13">
      <c r="A277" s="17"/>
      <c r="B277" s="17"/>
      <c r="C277" s="17"/>
      <c r="D277" s="17"/>
      <c r="E277" s="17"/>
      <c r="F277" s="62"/>
      <c r="G277" s="17"/>
      <c r="H277" s="17"/>
      <c r="I277" s="17"/>
      <c r="J277" s="17"/>
      <c r="K277" s="17"/>
    </row>
    <row r="278" spans="1:11" ht="13">
      <c r="A278" s="17"/>
      <c r="B278" s="17"/>
      <c r="C278" s="17"/>
      <c r="D278" s="17"/>
      <c r="E278" s="17"/>
      <c r="F278" s="62"/>
      <c r="G278" s="17"/>
      <c r="H278" s="17"/>
      <c r="I278" s="17"/>
      <c r="J278" s="17"/>
      <c r="K278" s="17"/>
    </row>
    <row r="279" spans="1:11" ht="13">
      <c r="A279" s="17"/>
      <c r="B279" s="17"/>
      <c r="C279" s="17"/>
      <c r="D279" s="17"/>
      <c r="E279" s="17"/>
      <c r="F279" s="62"/>
      <c r="G279" s="17"/>
      <c r="H279" s="17"/>
      <c r="I279" s="17"/>
      <c r="J279" s="17"/>
      <c r="K279" s="17"/>
    </row>
    <row r="280" spans="1:11" ht="13">
      <c r="A280" s="17"/>
      <c r="B280" s="17"/>
      <c r="C280" s="17"/>
      <c r="D280" s="17"/>
      <c r="E280" s="17"/>
      <c r="F280" s="62"/>
      <c r="G280" s="17"/>
      <c r="H280" s="17"/>
      <c r="I280" s="17"/>
      <c r="J280" s="17"/>
      <c r="K280" s="17"/>
    </row>
    <row r="281" spans="1:11" ht="13">
      <c r="A281" s="17"/>
      <c r="B281" s="17"/>
      <c r="C281" s="17"/>
      <c r="D281" s="17"/>
      <c r="E281" s="17"/>
      <c r="F281" s="62"/>
      <c r="G281" s="17"/>
      <c r="H281" s="17"/>
      <c r="I281" s="17"/>
      <c r="J281" s="17"/>
      <c r="K281" s="17"/>
    </row>
    <row r="282" spans="1:11" ht="13">
      <c r="A282" s="17"/>
      <c r="B282" s="17"/>
      <c r="C282" s="17"/>
      <c r="D282" s="17"/>
      <c r="E282" s="17"/>
      <c r="F282" s="62"/>
      <c r="G282" s="17"/>
      <c r="H282" s="17"/>
      <c r="I282" s="17"/>
      <c r="J282" s="17"/>
      <c r="K282" s="17"/>
    </row>
    <row r="283" spans="1:11" ht="13">
      <c r="A283" s="17"/>
      <c r="B283" s="17"/>
      <c r="C283" s="17"/>
      <c r="D283" s="17"/>
      <c r="E283" s="17"/>
      <c r="F283" s="62"/>
      <c r="G283" s="17"/>
      <c r="H283" s="17"/>
      <c r="I283" s="17"/>
      <c r="J283" s="17"/>
      <c r="K283" s="17"/>
    </row>
    <row r="284" spans="1:11" ht="13">
      <c r="A284" s="17"/>
      <c r="B284" s="17"/>
      <c r="C284" s="17"/>
      <c r="D284" s="17"/>
      <c r="E284" s="17"/>
      <c r="F284" s="62"/>
      <c r="G284" s="17"/>
      <c r="H284" s="17"/>
      <c r="I284" s="17"/>
      <c r="J284" s="17"/>
      <c r="K284" s="17"/>
    </row>
    <row r="285" spans="1:11" ht="13">
      <c r="A285" s="17"/>
      <c r="B285" s="17"/>
      <c r="C285" s="17"/>
      <c r="D285" s="17"/>
      <c r="E285" s="17"/>
      <c r="F285" s="62"/>
      <c r="G285" s="17"/>
      <c r="H285" s="17"/>
      <c r="I285" s="17"/>
      <c r="J285" s="17"/>
      <c r="K285" s="17"/>
    </row>
    <row r="286" spans="1:11" ht="13">
      <c r="A286" s="17"/>
      <c r="B286" s="17"/>
      <c r="C286" s="17"/>
      <c r="D286" s="17"/>
      <c r="E286" s="17"/>
      <c r="F286" s="62"/>
      <c r="G286" s="17"/>
      <c r="H286" s="17"/>
      <c r="I286" s="17"/>
      <c r="J286" s="17"/>
      <c r="K286" s="17"/>
    </row>
    <row r="287" spans="1:11" ht="13">
      <c r="A287" s="17"/>
      <c r="B287" s="17"/>
      <c r="C287" s="17"/>
      <c r="D287" s="17"/>
      <c r="E287" s="17"/>
      <c r="F287" s="62"/>
      <c r="G287" s="17"/>
      <c r="H287" s="17"/>
      <c r="I287" s="17"/>
      <c r="J287" s="17"/>
      <c r="K287" s="17"/>
    </row>
    <row r="288" spans="1:11" ht="13">
      <c r="A288" s="17"/>
      <c r="B288" s="17"/>
      <c r="C288" s="17"/>
      <c r="D288" s="17"/>
      <c r="E288" s="17"/>
      <c r="F288" s="62"/>
      <c r="G288" s="17"/>
      <c r="H288" s="17"/>
      <c r="I288" s="17"/>
      <c r="J288" s="17"/>
      <c r="K288" s="17"/>
    </row>
    <row r="289" spans="1:11" ht="13">
      <c r="A289" s="17"/>
      <c r="B289" s="17"/>
      <c r="C289" s="17"/>
      <c r="D289" s="17"/>
      <c r="E289" s="17"/>
      <c r="F289" s="62"/>
      <c r="G289" s="17"/>
      <c r="H289" s="17"/>
      <c r="I289" s="17"/>
      <c r="J289" s="17"/>
      <c r="K289" s="17"/>
    </row>
    <row r="290" spans="1:11" ht="13">
      <c r="A290" s="17"/>
      <c r="B290" s="17"/>
      <c r="C290" s="17"/>
      <c r="D290" s="17"/>
      <c r="E290" s="17"/>
      <c r="F290" s="62"/>
      <c r="G290" s="17"/>
      <c r="H290" s="17"/>
      <c r="I290" s="17"/>
      <c r="J290" s="17"/>
      <c r="K290" s="17"/>
    </row>
    <row r="291" spans="1:11" ht="13">
      <c r="A291" s="17"/>
      <c r="B291" s="17"/>
      <c r="C291" s="17"/>
      <c r="D291" s="17"/>
      <c r="E291" s="17"/>
      <c r="F291" s="62"/>
      <c r="G291" s="17"/>
      <c r="H291" s="17"/>
      <c r="I291" s="17"/>
      <c r="J291" s="17"/>
      <c r="K291" s="17"/>
    </row>
    <row r="292" spans="1:11" ht="13">
      <c r="A292" s="17"/>
      <c r="B292" s="17"/>
      <c r="C292" s="17"/>
      <c r="D292" s="17"/>
      <c r="E292" s="17"/>
      <c r="F292" s="62"/>
      <c r="G292" s="17"/>
      <c r="H292" s="17"/>
      <c r="I292" s="17"/>
      <c r="J292" s="17"/>
      <c r="K292" s="17"/>
    </row>
    <row r="293" spans="1:11" ht="13">
      <c r="A293" s="17"/>
      <c r="B293" s="17"/>
      <c r="C293" s="17"/>
      <c r="D293" s="17"/>
      <c r="E293" s="17"/>
      <c r="F293" s="62"/>
      <c r="G293" s="17"/>
      <c r="H293" s="17"/>
      <c r="I293" s="17"/>
      <c r="J293" s="17"/>
      <c r="K293" s="17"/>
    </row>
    <row r="294" spans="1:11" ht="13">
      <c r="A294" s="17"/>
      <c r="B294" s="17"/>
      <c r="C294" s="17"/>
      <c r="D294" s="17"/>
      <c r="E294" s="17"/>
      <c r="F294" s="62"/>
      <c r="G294" s="17"/>
      <c r="H294" s="17"/>
      <c r="I294" s="17"/>
      <c r="J294" s="17"/>
      <c r="K294" s="17"/>
    </row>
    <row r="295" spans="1:11" ht="13">
      <c r="A295" s="17"/>
      <c r="B295" s="17"/>
      <c r="C295" s="17"/>
      <c r="D295" s="17"/>
      <c r="E295" s="17"/>
      <c r="F295" s="62"/>
      <c r="G295" s="17"/>
      <c r="H295" s="17"/>
      <c r="I295" s="17"/>
      <c r="J295" s="17"/>
      <c r="K295" s="17"/>
    </row>
    <row r="296" spans="1:11" ht="13">
      <c r="A296" s="17"/>
      <c r="B296" s="17"/>
      <c r="C296" s="17"/>
      <c r="D296" s="17"/>
      <c r="E296" s="17"/>
      <c r="F296" s="62"/>
      <c r="G296" s="17"/>
      <c r="H296" s="17"/>
      <c r="I296" s="17"/>
      <c r="J296" s="17"/>
      <c r="K296" s="17"/>
    </row>
    <row r="297" spans="1:11" ht="13">
      <c r="A297" s="17"/>
      <c r="B297" s="17"/>
      <c r="C297" s="17"/>
      <c r="D297" s="17"/>
      <c r="E297" s="17"/>
      <c r="F297" s="62"/>
      <c r="G297" s="17"/>
      <c r="H297" s="17"/>
      <c r="I297" s="17"/>
      <c r="J297" s="17"/>
      <c r="K297" s="17"/>
    </row>
    <row r="298" spans="1:11" ht="13">
      <c r="A298" s="17"/>
      <c r="B298" s="17"/>
      <c r="C298" s="17"/>
      <c r="D298" s="17"/>
      <c r="E298" s="17"/>
      <c r="F298" s="62"/>
      <c r="G298" s="17"/>
      <c r="H298" s="17"/>
      <c r="I298" s="17"/>
      <c r="J298" s="17"/>
      <c r="K298" s="17"/>
    </row>
    <row r="299" spans="1:11" ht="13">
      <c r="A299" s="17"/>
      <c r="B299" s="17"/>
      <c r="C299" s="17"/>
      <c r="D299" s="17"/>
      <c r="E299" s="17"/>
      <c r="F299" s="62"/>
      <c r="G299" s="17"/>
      <c r="H299" s="17"/>
      <c r="I299" s="17"/>
      <c r="J299" s="17"/>
      <c r="K299" s="17"/>
    </row>
    <row r="300" spans="1:11" ht="13">
      <c r="A300" s="17"/>
      <c r="B300" s="17"/>
      <c r="C300" s="17"/>
      <c r="D300" s="17"/>
      <c r="E300" s="17"/>
      <c r="F300" s="62"/>
      <c r="G300" s="17"/>
      <c r="H300" s="17"/>
      <c r="I300" s="17"/>
      <c r="J300" s="17"/>
      <c r="K300" s="17"/>
    </row>
    <row r="301" spans="1:11" ht="13">
      <c r="A301" s="17"/>
      <c r="B301" s="17"/>
      <c r="C301" s="17"/>
      <c r="D301" s="17"/>
      <c r="E301" s="17"/>
      <c r="F301" s="62"/>
      <c r="G301" s="17"/>
      <c r="H301" s="17"/>
      <c r="I301" s="17"/>
      <c r="J301" s="17"/>
      <c r="K301" s="17"/>
    </row>
    <row r="302" spans="1:11" ht="13">
      <c r="A302" s="17"/>
      <c r="B302" s="17"/>
      <c r="C302" s="17"/>
      <c r="D302" s="17"/>
      <c r="E302" s="17"/>
      <c r="F302" s="62"/>
      <c r="G302" s="17"/>
      <c r="H302" s="17"/>
      <c r="I302" s="17"/>
      <c r="J302" s="17"/>
      <c r="K302" s="17"/>
    </row>
    <row r="303" spans="1:11" ht="13">
      <c r="A303" s="17"/>
      <c r="B303" s="17"/>
      <c r="C303" s="17"/>
      <c r="D303" s="17"/>
      <c r="E303" s="17"/>
      <c r="F303" s="62"/>
      <c r="G303" s="17"/>
      <c r="H303" s="17"/>
      <c r="I303" s="17"/>
      <c r="J303" s="17"/>
      <c r="K303" s="17"/>
    </row>
    <row r="304" spans="1:11" ht="13">
      <c r="A304" s="17"/>
      <c r="B304" s="17"/>
      <c r="C304" s="17"/>
      <c r="D304" s="17"/>
      <c r="E304" s="17"/>
      <c r="F304" s="62"/>
      <c r="G304" s="17"/>
      <c r="H304" s="17"/>
      <c r="I304" s="17"/>
      <c r="J304" s="17"/>
      <c r="K304" s="17"/>
    </row>
    <row r="305" spans="1:11" ht="13">
      <c r="A305" s="17"/>
      <c r="B305" s="17"/>
      <c r="C305" s="17"/>
      <c r="D305" s="17"/>
      <c r="E305" s="17"/>
      <c r="F305" s="62"/>
      <c r="G305" s="17"/>
      <c r="H305" s="17"/>
      <c r="I305" s="17"/>
      <c r="J305" s="17"/>
      <c r="K305" s="17"/>
    </row>
    <row r="306" spans="1:11" ht="13">
      <c r="A306" s="17"/>
      <c r="B306" s="17"/>
      <c r="C306" s="17"/>
      <c r="D306" s="17"/>
      <c r="E306" s="17"/>
      <c r="F306" s="62"/>
      <c r="G306" s="17"/>
      <c r="H306" s="17"/>
      <c r="I306" s="17"/>
      <c r="J306" s="17"/>
      <c r="K306" s="17"/>
    </row>
    <row r="307" spans="1:11" ht="13">
      <c r="A307" s="17"/>
      <c r="B307" s="17"/>
      <c r="C307" s="17"/>
      <c r="D307" s="17"/>
      <c r="E307" s="17"/>
      <c r="F307" s="62"/>
      <c r="G307" s="17"/>
      <c r="H307" s="17"/>
      <c r="I307" s="17"/>
      <c r="J307" s="17"/>
      <c r="K307" s="17"/>
    </row>
    <row r="308" spans="1:11" ht="13">
      <c r="A308" s="17"/>
      <c r="B308" s="17"/>
      <c r="C308" s="17"/>
      <c r="D308" s="17"/>
      <c r="E308" s="17"/>
      <c r="F308" s="62"/>
      <c r="G308" s="17"/>
      <c r="H308" s="17"/>
      <c r="I308" s="17"/>
      <c r="J308" s="17"/>
      <c r="K308" s="17"/>
    </row>
    <row r="309" spans="1:11" ht="13">
      <c r="A309" s="17"/>
      <c r="B309" s="17"/>
      <c r="C309" s="17"/>
      <c r="D309" s="17"/>
      <c r="E309" s="17"/>
      <c r="F309" s="62"/>
      <c r="G309" s="17"/>
      <c r="H309" s="17"/>
      <c r="I309" s="17"/>
      <c r="J309" s="17"/>
      <c r="K309" s="17"/>
    </row>
    <row r="310" spans="1:11" ht="13">
      <c r="A310" s="17"/>
      <c r="B310" s="17"/>
      <c r="C310" s="17"/>
      <c r="D310" s="17"/>
      <c r="E310" s="17"/>
      <c r="F310" s="62"/>
      <c r="G310" s="17"/>
      <c r="H310" s="17"/>
      <c r="I310" s="17"/>
      <c r="J310" s="17"/>
      <c r="K310" s="17"/>
    </row>
    <row r="311" spans="1:11" ht="13">
      <c r="A311" s="17"/>
      <c r="B311" s="17"/>
      <c r="C311" s="17"/>
      <c r="D311" s="17"/>
      <c r="E311" s="17"/>
      <c r="F311" s="62"/>
      <c r="G311" s="17"/>
      <c r="H311" s="17"/>
      <c r="I311" s="17"/>
      <c r="J311" s="17"/>
      <c r="K311" s="17"/>
    </row>
    <row r="312" spans="1:11" ht="13">
      <c r="A312" s="17"/>
      <c r="B312" s="17"/>
      <c r="C312" s="17"/>
      <c r="D312" s="17"/>
      <c r="E312" s="17"/>
      <c r="F312" s="62"/>
      <c r="G312" s="17"/>
      <c r="H312" s="17"/>
      <c r="I312" s="17"/>
      <c r="J312" s="17"/>
      <c r="K312" s="17"/>
    </row>
    <row r="313" spans="1:11" ht="13">
      <c r="A313" s="17"/>
      <c r="B313" s="17"/>
      <c r="C313" s="17"/>
      <c r="D313" s="17"/>
      <c r="E313" s="17"/>
      <c r="F313" s="62"/>
      <c r="G313" s="17"/>
      <c r="H313" s="17"/>
      <c r="I313" s="17"/>
      <c r="J313" s="17"/>
      <c r="K313" s="17"/>
    </row>
    <row r="314" spans="1:11" ht="13">
      <c r="A314" s="17"/>
      <c r="B314" s="17"/>
      <c r="C314" s="17"/>
      <c r="D314" s="17"/>
      <c r="E314" s="17"/>
      <c r="F314" s="62"/>
      <c r="G314" s="17"/>
      <c r="H314" s="17"/>
      <c r="I314" s="17"/>
      <c r="J314" s="17"/>
      <c r="K314" s="17"/>
    </row>
    <row r="315" spans="1:11" ht="13">
      <c r="A315" s="17"/>
      <c r="B315" s="17"/>
      <c r="C315" s="17"/>
      <c r="D315" s="17"/>
      <c r="E315" s="17"/>
      <c r="F315" s="62"/>
      <c r="G315" s="17"/>
      <c r="H315" s="17"/>
      <c r="I315" s="17"/>
      <c r="J315" s="17"/>
      <c r="K315" s="17"/>
    </row>
    <row r="316" spans="1:11" ht="13">
      <c r="A316" s="17"/>
      <c r="B316" s="17"/>
      <c r="C316" s="17"/>
      <c r="D316" s="17"/>
      <c r="E316" s="17"/>
      <c r="F316" s="62"/>
      <c r="G316" s="17"/>
      <c r="H316" s="17"/>
      <c r="I316" s="17"/>
      <c r="J316" s="17"/>
      <c r="K316" s="17"/>
    </row>
    <row r="317" spans="1:11" ht="13">
      <c r="A317" s="17"/>
      <c r="B317" s="17"/>
      <c r="C317" s="17"/>
      <c r="D317" s="17"/>
      <c r="E317" s="17"/>
      <c r="F317" s="62"/>
      <c r="G317" s="17"/>
      <c r="H317" s="17"/>
      <c r="I317" s="17"/>
      <c r="J317" s="17"/>
      <c r="K317" s="17"/>
    </row>
    <row r="318" spans="1:11" ht="13">
      <c r="A318" s="17"/>
      <c r="B318" s="17"/>
      <c r="C318" s="17"/>
      <c r="D318" s="17"/>
      <c r="E318" s="17"/>
      <c r="F318" s="62"/>
      <c r="G318" s="17"/>
      <c r="H318" s="17"/>
      <c r="I318" s="17"/>
      <c r="J318" s="17"/>
      <c r="K318" s="17"/>
    </row>
    <row r="319" spans="1:11" ht="13">
      <c r="A319" s="17"/>
      <c r="B319" s="17"/>
      <c r="C319" s="17"/>
      <c r="D319" s="17"/>
      <c r="E319" s="17"/>
      <c r="F319" s="62"/>
      <c r="G319" s="17"/>
      <c r="H319" s="17"/>
      <c r="I319" s="17"/>
      <c r="J319" s="17"/>
      <c r="K319" s="17"/>
    </row>
    <row r="320" spans="1:11" ht="13">
      <c r="A320" s="17"/>
      <c r="B320" s="17"/>
      <c r="C320" s="17"/>
      <c r="D320" s="17"/>
      <c r="E320" s="17"/>
      <c r="F320" s="62"/>
      <c r="G320" s="17"/>
      <c r="H320" s="17"/>
      <c r="I320" s="17"/>
      <c r="J320" s="17"/>
      <c r="K320" s="17"/>
    </row>
    <row r="321" spans="1:11" ht="13">
      <c r="A321" s="17"/>
      <c r="B321" s="17"/>
      <c r="C321" s="17"/>
      <c r="D321" s="17"/>
      <c r="E321" s="17"/>
      <c r="F321" s="62"/>
      <c r="G321" s="17"/>
      <c r="H321" s="17"/>
      <c r="I321" s="17"/>
      <c r="J321" s="17"/>
      <c r="K321" s="17"/>
    </row>
    <row r="322" spans="1:11" ht="13">
      <c r="A322" s="17"/>
      <c r="B322" s="17"/>
      <c r="C322" s="17"/>
      <c r="D322" s="17"/>
      <c r="E322" s="17"/>
      <c r="F322" s="62"/>
      <c r="G322" s="17"/>
      <c r="H322" s="17"/>
      <c r="I322" s="17"/>
      <c r="J322" s="17"/>
      <c r="K322" s="17"/>
    </row>
    <row r="323" spans="1:11" ht="13">
      <c r="A323" s="17"/>
      <c r="B323" s="17"/>
      <c r="C323" s="17"/>
      <c r="D323" s="17"/>
      <c r="E323" s="17"/>
      <c r="F323" s="62"/>
      <c r="G323" s="17"/>
      <c r="H323" s="17"/>
      <c r="I323" s="17"/>
      <c r="J323" s="17"/>
      <c r="K323" s="17"/>
    </row>
    <row r="324" spans="1:11" ht="13">
      <c r="A324" s="17"/>
      <c r="B324" s="17"/>
      <c r="C324" s="17"/>
      <c r="D324" s="17"/>
      <c r="E324" s="17"/>
      <c r="F324" s="62"/>
      <c r="G324" s="17"/>
      <c r="H324" s="17"/>
      <c r="I324" s="17"/>
      <c r="J324" s="17"/>
      <c r="K324" s="17"/>
    </row>
    <row r="325" spans="1:11" ht="13">
      <c r="A325" s="17"/>
      <c r="B325" s="17"/>
      <c r="C325" s="17"/>
      <c r="D325" s="17"/>
      <c r="E325" s="17"/>
      <c r="F325" s="62"/>
      <c r="G325" s="17"/>
      <c r="H325" s="17"/>
      <c r="I325" s="17"/>
      <c r="J325" s="17"/>
      <c r="K325" s="17"/>
    </row>
    <row r="326" spans="1:11" ht="13">
      <c r="A326" s="17"/>
      <c r="B326" s="17"/>
      <c r="C326" s="17"/>
      <c r="D326" s="17"/>
      <c r="E326" s="17"/>
      <c r="F326" s="62"/>
      <c r="G326" s="17"/>
      <c r="H326" s="17"/>
      <c r="I326" s="17"/>
      <c r="J326" s="17"/>
      <c r="K326" s="17"/>
    </row>
    <row r="327" spans="1:11" ht="13">
      <c r="A327" s="17"/>
      <c r="B327" s="17"/>
      <c r="C327" s="17"/>
      <c r="D327" s="17"/>
      <c r="E327" s="17"/>
      <c r="F327" s="62"/>
      <c r="G327" s="17"/>
      <c r="H327" s="17"/>
      <c r="I327" s="17"/>
      <c r="J327" s="17"/>
      <c r="K327" s="17"/>
    </row>
    <row r="328" spans="1:11" ht="13">
      <c r="A328" s="17"/>
      <c r="B328" s="17"/>
      <c r="C328" s="17"/>
      <c r="D328" s="17"/>
      <c r="E328" s="17"/>
      <c r="F328" s="62"/>
      <c r="G328" s="17"/>
      <c r="H328" s="17"/>
      <c r="I328" s="17"/>
      <c r="J328" s="17"/>
      <c r="K328" s="17"/>
    </row>
    <row r="329" spans="1:11" ht="13">
      <c r="A329" s="17"/>
      <c r="B329" s="17"/>
      <c r="C329" s="17"/>
      <c r="D329" s="17"/>
      <c r="E329" s="17"/>
      <c r="F329" s="62"/>
      <c r="G329" s="17"/>
      <c r="H329" s="17"/>
      <c r="I329" s="17"/>
      <c r="J329" s="17"/>
      <c r="K329" s="17"/>
    </row>
    <row r="330" spans="1:11" ht="13">
      <c r="A330" s="17"/>
      <c r="B330" s="17"/>
      <c r="C330" s="17"/>
      <c r="D330" s="17"/>
      <c r="E330" s="17"/>
      <c r="F330" s="62"/>
      <c r="G330" s="17"/>
      <c r="H330" s="17"/>
      <c r="I330" s="17"/>
      <c r="J330" s="17"/>
      <c r="K330" s="17"/>
    </row>
    <row r="331" spans="1:11" ht="13">
      <c r="A331" s="17"/>
      <c r="B331" s="17"/>
      <c r="C331" s="17"/>
      <c r="D331" s="17"/>
      <c r="E331" s="17"/>
      <c r="F331" s="62"/>
      <c r="G331" s="17"/>
      <c r="H331" s="17"/>
      <c r="I331" s="17"/>
      <c r="J331" s="17"/>
      <c r="K331" s="17"/>
    </row>
    <row r="332" spans="1:11" ht="13">
      <c r="A332" s="17"/>
      <c r="B332" s="17"/>
      <c r="C332" s="17"/>
      <c r="D332" s="17"/>
      <c r="E332" s="17"/>
      <c r="F332" s="62"/>
      <c r="G332" s="17"/>
      <c r="H332" s="17"/>
      <c r="I332" s="17"/>
      <c r="J332" s="17"/>
      <c r="K332" s="17"/>
    </row>
    <row r="333" spans="1:11" ht="13">
      <c r="A333" s="17"/>
      <c r="B333" s="17"/>
      <c r="C333" s="17"/>
      <c r="D333" s="17"/>
      <c r="E333" s="17"/>
      <c r="F333" s="62"/>
      <c r="G333" s="17"/>
      <c r="H333" s="17"/>
      <c r="I333" s="17"/>
      <c r="J333" s="17"/>
      <c r="K333" s="17"/>
    </row>
    <row r="334" spans="1:11" ht="13">
      <c r="A334" s="17"/>
      <c r="B334" s="17"/>
      <c r="C334" s="17"/>
      <c r="D334" s="17"/>
      <c r="E334" s="17"/>
      <c r="F334" s="62"/>
      <c r="G334" s="17"/>
      <c r="H334" s="17"/>
      <c r="I334" s="17"/>
      <c r="J334" s="17"/>
      <c r="K334" s="17"/>
    </row>
    <row r="335" spans="1:11" ht="13">
      <c r="A335" s="17"/>
      <c r="B335" s="17"/>
      <c r="C335" s="17"/>
      <c r="D335" s="17"/>
      <c r="E335" s="17"/>
      <c r="F335" s="62"/>
      <c r="G335" s="17"/>
      <c r="H335" s="17"/>
      <c r="I335" s="17"/>
      <c r="J335" s="17"/>
      <c r="K335" s="17"/>
    </row>
    <row r="336" spans="1:11" ht="13">
      <c r="A336" s="17"/>
      <c r="B336" s="17"/>
      <c r="C336" s="17"/>
      <c r="D336" s="17"/>
      <c r="E336" s="17"/>
      <c r="F336" s="62"/>
      <c r="G336" s="17"/>
      <c r="H336" s="17"/>
      <c r="I336" s="17"/>
      <c r="J336" s="17"/>
      <c r="K336" s="17"/>
    </row>
    <row r="337" spans="1:11" ht="13">
      <c r="A337" s="17"/>
      <c r="B337" s="17"/>
      <c r="C337" s="17"/>
      <c r="D337" s="17"/>
      <c r="E337" s="17"/>
      <c r="F337" s="62"/>
      <c r="G337" s="17"/>
      <c r="H337" s="17"/>
      <c r="I337" s="17"/>
      <c r="J337" s="17"/>
      <c r="K337" s="17"/>
    </row>
    <row r="338" spans="1:11" ht="13">
      <c r="A338" s="17"/>
      <c r="B338" s="17"/>
      <c r="C338" s="17"/>
      <c r="D338" s="17"/>
      <c r="E338" s="17"/>
      <c r="F338" s="62"/>
      <c r="G338" s="17"/>
      <c r="H338" s="17"/>
      <c r="I338" s="17"/>
      <c r="J338" s="17"/>
      <c r="K338" s="17"/>
    </row>
    <row r="339" spans="1:11" ht="13">
      <c r="A339" s="17"/>
      <c r="B339" s="17"/>
      <c r="C339" s="17"/>
      <c r="D339" s="17"/>
      <c r="E339" s="17"/>
      <c r="F339" s="62"/>
      <c r="G339" s="17"/>
      <c r="H339" s="17"/>
      <c r="I339" s="17"/>
      <c r="J339" s="17"/>
      <c r="K339" s="17"/>
    </row>
    <row r="340" spans="1:11" ht="13">
      <c r="A340" s="17"/>
      <c r="B340" s="17"/>
      <c r="C340" s="17"/>
      <c r="D340" s="17"/>
      <c r="E340" s="17"/>
      <c r="F340" s="62"/>
      <c r="G340" s="17"/>
      <c r="H340" s="17"/>
      <c r="I340" s="17"/>
      <c r="J340" s="17"/>
      <c r="K340" s="17"/>
    </row>
    <row r="341" spans="1:11" ht="13">
      <c r="A341" s="17"/>
      <c r="B341" s="17"/>
      <c r="C341" s="17"/>
      <c r="D341" s="17"/>
      <c r="E341" s="17"/>
      <c r="F341" s="62"/>
      <c r="G341" s="17"/>
      <c r="H341" s="17"/>
      <c r="I341" s="17"/>
      <c r="J341" s="17"/>
      <c r="K341" s="17"/>
    </row>
    <row r="342" spans="1:11" ht="13">
      <c r="A342" s="17"/>
      <c r="B342" s="17"/>
      <c r="C342" s="17"/>
      <c r="D342" s="17"/>
      <c r="E342" s="17"/>
      <c r="F342" s="62"/>
      <c r="G342" s="17"/>
      <c r="H342" s="17"/>
      <c r="I342" s="17"/>
      <c r="J342" s="17"/>
      <c r="K342" s="17"/>
    </row>
    <row r="343" spans="1:11" ht="13">
      <c r="A343" s="17"/>
      <c r="B343" s="17"/>
      <c r="C343" s="17"/>
      <c r="D343" s="17"/>
      <c r="E343" s="17"/>
      <c r="F343" s="62"/>
      <c r="G343" s="17"/>
      <c r="H343" s="17"/>
      <c r="I343" s="17"/>
      <c r="J343" s="17"/>
      <c r="K343" s="17"/>
    </row>
    <row r="344" spans="1:11" ht="13">
      <c r="A344" s="17"/>
      <c r="B344" s="17"/>
      <c r="C344" s="17"/>
      <c r="D344" s="17"/>
      <c r="E344" s="17"/>
      <c r="F344" s="62"/>
      <c r="G344" s="17"/>
      <c r="H344" s="17"/>
      <c r="I344" s="17"/>
      <c r="J344" s="17"/>
      <c r="K344" s="17"/>
    </row>
    <row r="345" spans="1:11" ht="13">
      <c r="A345" s="17"/>
      <c r="B345" s="17"/>
      <c r="C345" s="17"/>
      <c r="D345" s="17"/>
      <c r="E345" s="17"/>
      <c r="F345" s="62"/>
      <c r="G345" s="17"/>
      <c r="H345" s="17"/>
      <c r="I345" s="17"/>
      <c r="J345" s="17"/>
      <c r="K345" s="17"/>
    </row>
    <row r="346" spans="1:11" ht="13">
      <c r="A346" s="17"/>
      <c r="B346" s="17"/>
      <c r="C346" s="17"/>
      <c r="D346" s="17"/>
      <c r="E346" s="17"/>
      <c r="F346" s="62"/>
      <c r="G346" s="17"/>
      <c r="H346" s="17"/>
      <c r="I346" s="17"/>
      <c r="J346" s="17"/>
      <c r="K346" s="17"/>
    </row>
    <row r="347" spans="1:11" ht="13">
      <c r="A347" s="17"/>
      <c r="B347" s="17"/>
      <c r="C347" s="17"/>
      <c r="D347" s="17"/>
      <c r="E347" s="17"/>
      <c r="F347" s="62"/>
      <c r="G347" s="17"/>
      <c r="H347" s="17"/>
      <c r="I347" s="17"/>
      <c r="J347" s="17"/>
      <c r="K347" s="17"/>
    </row>
    <row r="348" spans="1:11" ht="13">
      <c r="A348" s="17"/>
      <c r="B348" s="17"/>
      <c r="C348" s="17"/>
      <c r="D348" s="17"/>
      <c r="E348" s="17"/>
      <c r="F348" s="62"/>
      <c r="G348" s="17"/>
      <c r="H348" s="17"/>
      <c r="I348" s="17"/>
      <c r="J348" s="17"/>
      <c r="K348" s="17"/>
    </row>
    <row r="349" spans="1:11" ht="13">
      <c r="A349" s="17"/>
      <c r="B349" s="17"/>
      <c r="C349" s="17"/>
      <c r="D349" s="17"/>
      <c r="E349" s="17"/>
      <c r="F349" s="62"/>
      <c r="G349" s="17"/>
      <c r="H349" s="17"/>
      <c r="I349" s="17"/>
      <c r="J349" s="17"/>
      <c r="K349" s="17"/>
    </row>
    <row r="350" spans="1:11" ht="13">
      <c r="A350" s="17"/>
      <c r="B350" s="17"/>
      <c r="C350" s="17"/>
      <c r="D350" s="17"/>
      <c r="E350" s="17"/>
      <c r="F350" s="62"/>
      <c r="G350" s="17"/>
      <c r="H350" s="17"/>
      <c r="I350" s="17"/>
      <c r="J350" s="17"/>
      <c r="K350" s="17"/>
    </row>
    <row r="351" spans="1:11" ht="13">
      <c r="A351" s="17"/>
      <c r="B351" s="17"/>
      <c r="C351" s="17"/>
      <c r="D351" s="17"/>
      <c r="E351" s="17"/>
      <c r="F351" s="62"/>
      <c r="G351" s="17"/>
      <c r="H351" s="17"/>
      <c r="I351" s="17"/>
      <c r="J351" s="17"/>
      <c r="K351" s="17"/>
    </row>
    <row r="352" spans="1:11" ht="13">
      <c r="A352" s="17"/>
      <c r="B352" s="17"/>
      <c r="C352" s="17"/>
      <c r="D352" s="17"/>
      <c r="E352" s="17"/>
      <c r="F352" s="62"/>
      <c r="G352" s="17"/>
      <c r="H352" s="17"/>
      <c r="I352" s="17"/>
      <c r="J352" s="17"/>
      <c r="K352" s="17"/>
    </row>
    <row r="353" spans="1:11" ht="13">
      <c r="A353" s="17"/>
      <c r="B353" s="17"/>
      <c r="C353" s="17"/>
      <c r="D353" s="17"/>
      <c r="E353" s="17"/>
      <c r="F353" s="62"/>
      <c r="G353" s="17"/>
      <c r="H353" s="17"/>
      <c r="I353" s="17"/>
      <c r="J353" s="17"/>
      <c r="K353" s="17"/>
    </row>
    <row r="354" spans="1:11" ht="13">
      <c r="A354" s="17"/>
      <c r="B354" s="17"/>
      <c r="C354" s="17"/>
      <c r="D354" s="17"/>
      <c r="E354" s="17"/>
      <c r="F354" s="62"/>
      <c r="G354" s="17"/>
      <c r="H354" s="17"/>
      <c r="I354" s="17"/>
      <c r="J354" s="17"/>
      <c r="K354" s="17"/>
    </row>
    <row r="355" spans="1:11" ht="13">
      <c r="A355" s="17"/>
      <c r="B355" s="17"/>
      <c r="C355" s="17"/>
      <c r="D355" s="17"/>
      <c r="E355" s="17"/>
      <c r="F355" s="62"/>
      <c r="G355" s="17"/>
      <c r="H355" s="17"/>
      <c r="I355" s="17"/>
      <c r="J355" s="17"/>
      <c r="K355" s="17"/>
    </row>
    <row r="356" spans="1:11" ht="13">
      <c r="A356" s="17"/>
      <c r="B356" s="17"/>
      <c r="C356" s="17"/>
      <c r="D356" s="17"/>
      <c r="E356" s="17"/>
      <c r="F356" s="62"/>
      <c r="G356" s="17"/>
      <c r="H356" s="17"/>
      <c r="I356" s="17"/>
      <c r="J356" s="17"/>
      <c r="K356" s="17"/>
    </row>
    <row r="357" spans="1:11" ht="13">
      <c r="A357" s="17"/>
      <c r="B357" s="17"/>
      <c r="C357" s="17"/>
      <c r="D357" s="17"/>
      <c r="E357" s="17"/>
      <c r="F357" s="62"/>
      <c r="G357" s="17"/>
      <c r="H357" s="17"/>
      <c r="I357" s="17"/>
      <c r="J357" s="17"/>
      <c r="K357" s="17"/>
    </row>
    <row r="358" spans="1:11" ht="13">
      <c r="A358" s="17"/>
      <c r="B358" s="17"/>
      <c r="C358" s="17"/>
      <c r="D358" s="17"/>
      <c r="E358" s="17"/>
      <c r="F358" s="62"/>
      <c r="G358" s="17"/>
      <c r="H358" s="17"/>
      <c r="I358" s="17"/>
      <c r="J358" s="17"/>
      <c r="K358" s="17"/>
    </row>
    <row r="359" spans="1:11" ht="13">
      <c r="A359" s="17"/>
      <c r="B359" s="17"/>
      <c r="C359" s="17"/>
      <c r="D359" s="17"/>
      <c r="E359" s="17"/>
      <c r="F359" s="62"/>
      <c r="G359" s="17"/>
      <c r="H359" s="17"/>
      <c r="I359" s="17"/>
      <c r="J359" s="17"/>
      <c r="K359" s="17"/>
    </row>
    <row r="360" spans="1:11" ht="13">
      <c r="A360" s="17"/>
      <c r="B360" s="17"/>
      <c r="C360" s="17"/>
      <c r="D360" s="17"/>
      <c r="E360" s="17"/>
      <c r="F360" s="62"/>
      <c r="G360" s="17"/>
      <c r="H360" s="17"/>
      <c r="I360" s="17"/>
      <c r="J360" s="17"/>
      <c r="K360" s="17"/>
    </row>
    <row r="361" spans="1:11" ht="13">
      <c r="A361" s="17"/>
      <c r="B361" s="17"/>
      <c r="C361" s="17"/>
      <c r="D361" s="17"/>
      <c r="E361" s="17"/>
      <c r="F361" s="62"/>
      <c r="G361" s="17"/>
      <c r="H361" s="17"/>
      <c r="I361" s="17"/>
      <c r="J361" s="17"/>
      <c r="K361" s="17"/>
    </row>
    <row r="362" spans="1:11" ht="13">
      <c r="A362" s="17"/>
      <c r="B362" s="17"/>
      <c r="C362" s="17"/>
      <c r="D362" s="17"/>
      <c r="E362" s="17"/>
      <c r="F362" s="62"/>
      <c r="G362" s="17"/>
      <c r="H362" s="17"/>
      <c r="I362" s="17"/>
      <c r="J362" s="17"/>
      <c r="K362" s="17"/>
    </row>
    <row r="363" spans="1:11" ht="13">
      <c r="A363" s="17"/>
      <c r="B363" s="17"/>
      <c r="C363" s="17"/>
      <c r="D363" s="17"/>
      <c r="E363" s="17"/>
      <c r="F363" s="62"/>
      <c r="G363" s="17"/>
      <c r="H363" s="17"/>
      <c r="I363" s="17"/>
      <c r="J363" s="17"/>
      <c r="K363" s="17"/>
    </row>
    <row r="364" spans="1:11" ht="13">
      <c r="A364" s="17"/>
      <c r="B364" s="17"/>
      <c r="C364" s="17"/>
      <c r="D364" s="17"/>
      <c r="E364" s="17"/>
      <c r="F364" s="62"/>
      <c r="G364" s="17"/>
      <c r="H364" s="17"/>
      <c r="I364" s="17"/>
      <c r="J364" s="17"/>
      <c r="K364" s="17"/>
    </row>
    <row r="365" spans="1:11" ht="13">
      <c r="A365" s="17"/>
      <c r="B365" s="17"/>
      <c r="C365" s="17"/>
      <c r="D365" s="17"/>
      <c r="E365" s="17"/>
      <c r="F365" s="62"/>
      <c r="G365" s="17"/>
      <c r="H365" s="17"/>
      <c r="I365" s="17"/>
      <c r="J365" s="17"/>
      <c r="K365" s="17"/>
    </row>
    <row r="366" spans="1:11" ht="13">
      <c r="A366" s="17"/>
      <c r="B366" s="17"/>
      <c r="C366" s="17"/>
      <c r="D366" s="17"/>
      <c r="E366" s="17"/>
      <c r="F366" s="62"/>
      <c r="G366" s="17"/>
      <c r="H366" s="17"/>
      <c r="I366" s="17"/>
      <c r="J366" s="17"/>
      <c r="K366" s="17"/>
    </row>
    <row r="367" spans="1:11" ht="13">
      <c r="A367" s="17"/>
      <c r="B367" s="17"/>
      <c r="C367" s="17"/>
      <c r="D367" s="17"/>
      <c r="E367" s="17"/>
      <c r="F367" s="62"/>
      <c r="G367" s="17"/>
      <c r="H367" s="17"/>
      <c r="I367" s="17"/>
      <c r="J367" s="17"/>
      <c r="K367" s="17"/>
    </row>
    <row r="368" spans="1:11" ht="13">
      <c r="A368" s="17"/>
      <c r="B368" s="17"/>
      <c r="C368" s="17"/>
      <c r="D368" s="17"/>
      <c r="E368" s="17"/>
      <c r="F368" s="62"/>
      <c r="G368" s="17"/>
      <c r="H368" s="17"/>
      <c r="I368" s="17"/>
      <c r="J368" s="17"/>
      <c r="K368" s="17"/>
    </row>
    <row r="369" spans="1:11" ht="13">
      <c r="A369" s="17"/>
      <c r="B369" s="17"/>
      <c r="C369" s="17"/>
      <c r="D369" s="17"/>
      <c r="E369" s="17"/>
      <c r="F369" s="62"/>
      <c r="G369" s="17"/>
      <c r="H369" s="17"/>
      <c r="I369" s="17"/>
      <c r="J369" s="17"/>
      <c r="K369" s="17"/>
    </row>
    <row r="370" spans="1:11" ht="13">
      <c r="A370" s="17"/>
      <c r="B370" s="17"/>
      <c r="C370" s="17"/>
      <c r="D370" s="17"/>
      <c r="E370" s="17"/>
      <c r="F370" s="62"/>
      <c r="G370" s="17"/>
      <c r="H370" s="17"/>
      <c r="I370" s="17"/>
      <c r="J370" s="17"/>
      <c r="K370" s="17"/>
    </row>
    <row r="371" spans="1:11" ht="13">
      <c r="A371" s="17"/>
      <c r="B371" s="17"/>
      <c r="C371" s="17"/>
      <c r="D371" s="17"/>
      <c r="E371" s="17"/>
      <c r="F371" s="62"/>
      <c r="G371" s="17"/>
      <c r="H371" s="17"/>
      <c r="I371" s="17"/>
      <c r="J371" s="17"/>
      <c r="K371" s="17"/>
    </row>
    <row r="372" spans="1:11" ht="13">
      <c r="A372" s="17"/>
      <c r="B372" s="17"/>
      <c r="C372" s="17"/>
      <c r="D372" s="17"/>
      <c r="E372" s="17"/>
      <c r="F372" s="62"/>
      <c r="G372" s="17"/>
      <c r="H372" s="17"/>
      <c r="I372" s="17"/>
      <c r="J372" s="17"/>
      <c r="K372" s="17"/>
    </row>
    <row r="373" spans="1:11" ht="13">
      <c r="A373" s="17"/>
      <c r="B373" s="17"/>
      <c r="C373" s="17"/>
      <c r="D373" s="17"/>
      <c r="E373" s="17"/>
      <c r="F373" s="62"/>
      <c r="G373" s="17"/>
      <c r="H373" s="17"/>
      <c r="I373" s="17"/>
      <c r="J373" s="17"/>
      <c r="K373" s="17"/>
    </row>
    <row r="374" spans="1:11" ht="13">
      <c r="A374" s="17"/>
      <c r="B374" s="17"/>
      <c r="C374" s="17"/>
      <c r="D374" s="17"/>
      <c r="E374" s="17"/>
      <c r="F374" s="62"/>
      <c r="G374" s="17"/>
      <c r="H374" s="17"/>
      <c r="I374" s="17"/>
      <c r="J374" s="17"/>
      <c r="K374" s="17"/>
    </row>
    <row r="375" spans="1:11" ht="13">
      <c r="A375" s="17"/>
      <c r="B375" s="17"/>
      <c r="C375" s="17"/>
      <c r="D375" s="17"/>
      <c r="E375" s="17"/>
      <c r="F375" s="62"/>
      <c r="G375" s="17"/>
      <c r="H375" s="17"/>
      <c r="I375" s="17"/>
      <c r="J375" s="17"/>
      <c r="K375" s="17"/>
    </row>
    <row r="376" spans="1:11" ht="13">
      <c r="A376" s="17"/>
      <c r="B376" s="17"/>
      <c r="C376" s="17"/>
      <c r="D376" s="17"/>
      <c r="E376" s="17"/>
      <c r="F376" s="62"/>
      <c r="G376" s="17"/>
      <c r="H376" s="17"/>
      <c r="I376" s="17"/>
      <c r="J376" s="17"/>
      <c r="K376" s="17"/>
    </row>
    <row r="377" spans="1:11" ht="13">
      <c r="A377" s="17"/>
      <c r="B377" s="17"/>
      <c r="C377" s="17"/>
      <c r="D377" s="17"/>
      <c r="E377" s="17"/>
      <c r="F377" s="62"/>
      <c r="G377" s="17"/>
      <c r="H377" s="17"/>
      <c r="I377" s="17"/>
      <c r="J377" s="17"/>
      <c r="K377" s="17"/>
    </row>
    <row r="378" spans="1:11" ht="13">
      <c r="A378" s="17"/>
      <c r="B378" s="17"/>
      <c r="C378" s="17"/>
      <c r="D378" s="17"/>
      <c r="E378" s="17"/>
      <c r="F378" s="62"/>
      <c r="G378" s="17"/>
      <c r="H378" s="17"/>
      <c r="I378" s="17"/>
      <c r="J378" s="17"/>
      <c r="K378" s="17"/>
    </row>
    <row r="379" spans="1:11" ht="13">
      <c r="A379" s="17"/>
      <c r="B379" s="17"/>
      <c r="C379" s="17"/>
      <c r="D379" s="17"/>
      <c r="E379" s="17"/>
      <c r="F379" s="62"/>
      <c r="G379" s="17"/>
      <c r="H379" s="17"/>
      <c r="I379" s="17"/>
      <c r="J379" s="17"/>
      <c r="K379" s="17"/>
    </row>
    <row r="380" spans="1:11" ht="13">
      <c r="A380" s="17"/>
      <c r="B380" s="17"/>
      <c r="C380" s="17"/>
      <c r="D380" s="17"/>
      <c r="E380" s="17"/>
      <c r="F380" s="62"/>
      <c r="G380" s="17"/>
      <c r="H380" s="17"/>
      <c r="I380" s="17"/>
      <c r="J380" s="17"/>
      <c r="K380" s="17"/>
    </row>
    <row r="381" spans="1:11" ht="13">
      <c r="A381" s="17"/>
      <c r="B381" s="17"/>
      <c r="C381" s="17"/>
      <c r="D381" s="17"/>
      <c r="E381" s="17"/>
      <c r="F381" s="62"/>
      <c r="G381" s="17"/>
      <c r="H381" s="17"/>
      <c r="I381" s="17"/>
      <c r="J381" s="17"/>
      <c r="K381" s="17"/>
    </row>
    <row r="382" spans="1:11" ht="13">
      <c r="A382" s="17"/>
      <c r="B382" s="17"/>
      <c r="C382" s="17"/>
      <c r="D382" s="17"/>
      <c r="E382" s="17"/>
      <c r="F382" s="62"/>
      <c r="G382" s="17"/>
      <c r="H382" s="17"/>
      <c r="I382" s="17"/>
      <c r="J382" s="17"/>
      <c r="K382" s="17"/>
    </row>
    <row r="383" spans="1:11" ht="13">
      <c r="A383" s="17"/>
      <c r="B383" s="17"/>
      <c r="C383" s="17"/>
      <c r="D383" s="17"/>
      <c r="E383" s="17"/>
      <c r="F383" s="62"/>
      <c r="G383" s="17"/>
      <c r="H383" s="17"/>
      <c r="I383" s="17"/>
      <c r="J383" s="17"/>
      <c r="K383" s="17"/>
    </row>
    <row r="384" spans="1:11" ht="13">
      <c r="A384" s="17"/>
      <c r="B384" s="17"/>
      <c r="C384" s="17"/>
      <c r="D384" s="17"/>
      <c r="E384" s="17"/>
      <c r="F384" s="62"/>
      <c r="G384" s="17"/>
      <c r="H384" s="17"/>
      <c r="I384" s="17"/>
      <c r="J384" s="17"/>
      <c r="K384" s="17"/>
    </row>
    <row r="385" spans="1:11" ht="13">
      <c r="A385" s="17"/>
      <c r="B385" s="17"/>
      <c r="C385" s="17"/>
      <c r="D385" s="17"/>
      <c r="E385" s="17"/>
      <c r="F385" s="62"/>
      <c r="G385" s="17"/>
      <c r="H385" s="17"/>
      <c r="I385" s="17"/>
      <c r="J385" s="17"/>
      <c r="K385" s="17"/>
    </row>
    <row r="386" spans="1:11" ht="13">
      <c r="A386" s="17"/>
      <c r="B386" s="17"/>
      <c r="C386" s="17"/>
      <c r="D386" s="17"/>
      <c r="E386" s="17"/>
      <c r="F386" s="62"/>
      <c r="G386" s="17"/>
      <c r="H386" s="17"/>
      <c r="I386" s="17"/>
      <c r="J386" s="17"/>
      <c r="K386" s="17"/>
    </row>
    <row r="387" spans="1:11" ht="13">
      <c r="A387" s="17"/>
      <c r="B387" s="17"/>
      <c r="C387" s="17"/>
      <c r="D387" s="17"/>
      <c r="E387" s="17"/>
      <c r="F387" s="62"/>
      <c r="G387" s="17"/>
      <c r="H387" s="17"/>
      <c r="I387" s="17"/>
      <c r="J387" s="17"/>
      <c r="K387" s="17"/>
    </row>
    <row r="388" spans="1:11" ht="13">
      <c r="A388" s="17"/>
      <c r="B388" s="17"/>
      <c r="C388" s="17"/>
      <c r="D388" s="17"/>
      <c r="E388" s="17"/>
      <c r="F388" s="62"/>
      <c r="G388" s="17"/>
      <c r="H388" s="17"/>
      <c r="I388" s="17"/>
      <c r="J388" s="17"/>
      <c r="K388" s="17"/>
    </row>
    <row r="389" spans="1:11" ht="13">
      <c r="A389" s="17"/>
      <c r="B389" s="17"/>
      <c r="C389" s="17"/>
      <c r="D389" s="17"/>
      <c r="E389" s="17"/>
      <c r="F389" s="62"/>
      <c r="G389" s="17"/>
      <c r="H389" s="17"/>
      <c r="I389" s="17"/>
      <c r="J389" s="17"/>
      <c r="K389" s="17"/>
    </row>
    <row r="390" spans="1:11" ht="13">
      <c r="A390" s="17"/>
      <c r="B390" s="17"/>
      <c r="C390" s="17"/>
      <c r="D390" s="17"/>
      <c r="E390" s="17"/>
      <c r="F390" s="62"/>
      <c r="G390" s="17"/>
      <c r="H390" s="17"/>
      <c r="I390" s="17"/>
      <c r="J390" s="17"/>
      <c r="K390" s="17"/>
    </row>
    <row r="391" spans="1:11" ht="13">
      <c r="A391" s="17"/>
      <c r="B391" s="17"/>
      <c r="C391" s="17"/>
      <c r="D391" s="17"/>
      <c r="E391" s="17"/>
      <c r="F391" s="62"/>
      <c r="G391" s="17"/>
      <c r="H391" s="17"/>
      <c r="I391" s="17"/>
      <c r="J391" s="17"/>
      <c r="K391" s="17"/>
    </row>
    <row r="392" spans="1:11" ht="13">
      <c r="A392" s="17"/>
      <c r="B392" s="17"/>
      <c r="C392" s="17"/>
      <c r="D392" s="17"/>
      <c r="E392" s="17"/>
      <c r="F392" s="62"/>
      <c r="G392" s="17"/>
      <c r="H392" s="17"/>
      <c r="I392" s="17"/>
      <c r="J392" s="17"/>
      <c r="K392" s="17"/>
    </row>
    <row r="393" spans="1:11" ht="13">
      <c r="A393" s="17"/>
      <c r="B393" s="17"/>
      <c r="C393" s="17"/>
      <c r="D393" s="17"/>
      <c r="E393" s="17"/>
      <c r="F393" s="62"/>
      <c r="G393" s="17"/>
      <c r="H393" s="17"/>
      <c r="I393" s="17"/>
      <c r="J393" s="17"/>
      <c r="K393" s="17"/>
    </row>
    <row r="394" spans="1:11" ht="13">
      <c r="A394" s="17"/>
      <c r="B394" s="17"/>
      <c r="C394" s="17"/>
      <c r="D394" s="17"/>
      <c r="E394" s="17"/>
      <c r="F394" s="62"/>
      <c r="G394" s="17"/>
      <c r="H394" s="17"/>
      <c r="I394" s="17"/>
      <c r="J394" s="17"/>
      <c r="K394" s="17"/>
    </row>
    <row r="395" spans="1:11" ht="13">
      <c r="A395" s="17"/>
      <c r="B395" s="17"/>
      <c r="C395" s="17"/>
      <c r="D395" s="17"/>
      <c r="E395" s="17"/>
      <c r="F395" s="62"/>
      <c r="G395" s="17"/>
      <c r="H395" s="17"/>
      <c r="I395" s="17"/>
      <c r="J395" s="17"/>
      <c r="K395" s="17"/>
    </row>
    <row r="396" spans="1:11" ht="13">
      <c r="A396" s="17"/>
      <c r="B396" s="17"/>
      <c r="C396" s="17"/>
      <c r="D396" s="17"/>
      <c r="E396" s="17"/>
      <c r="F396" s="62"/>
      <c r="G396" s="17"/>
      <c r="H396" s="17"/>
      <c r="I396" s="17"/>
      <c r="J396" s="17"/>
      <c r="K396" s="17"/>
    </row>
    <row r="397" spans="1:11" ht="13">
      <c r="A397" s="17"/>
      <c r="B397" s="17"/>
      <c r="C397" s="17"/>
      <c r="D397" s="17"/>
      <c r="E397" s="17"/>
      <c r="F397" s="62"/>
      <c r="G397" s="17"/>
      <c r="H397" s="17"/>
      <c r="I397" s="17"/>
      <c r="J397" s="17"/>
      <c r="K397" s="17"/>
    </row>
    <row r="398" spans="1:11" ht="13">
      <c r="A398" s="17"/>
      <c r="B398" s="17"/>
      <c r="C398" s="17"/>
      <c r="D398" s="17"/>
      <c r="E398" s="17"/>
      <c r="F398" s="62"/>
      <c r="G398" s="17"/>
      <c r="H398" s="17"/>
      <c r="I398" s="17"/>
      <c r="J398" s="17"/>
      <c r="K398" s="17"/>
    </row>
    <row r="399" spans="1:11" ht="13">
      <c r="A399" s="17"/>
      <c r="B399" s="17"/>
      <c r="C399" s="17"/>
      <c r="D399" s="17"/>
      <c r="E399" s="17"/>
      <c r="F399" s="62"/>
      <c r="G399" s="17"/>
      <c r="H399" s="17"/>
      <c r="I399" s="17"/>
      <c r="J399" s="17"/>
      <c r="K399" s="17"/>
    </row>
    <row r="400" spans="1:11" ht="13">
      <c r="A400" s="17"/>
      <c r="B400" s="17"/>
      <c r="C400" s="17"/>
      <c r="D400" s="17"/>
      <c r="E400" s="17"/>
      <c r="F400" s="62"/>
      <c r="G400" s="17"/>
      <c r="H400" s="17"/>
      <c r="I400" s="17"/>
      <c r="J400" s="17"/>
      <c r="K400" s="17"/>
    </row>
    <row r="401" spans="1:11" ht="13">
      <c r="A401" s="17"/>
      <c r="B401" s="17"/>
      <c r="C401" s="17"/>
      <c r="D401" s="17"/>
      <c r="E401" s="17"/>
      <c r="F401" s="62"/>
      <c r="G401" s="17"/>
      <c r="H401" s="17"/>
      <c r="I401" s="17"/>
      <c r="J401" s="17"/>
      <c r="K401" s="17"/>
    </row>
    <row r="402" spans="1:11" ht="13">
      <c r="A402" s="17"/>
      <c r="B402" s="17"/>
      <c r="C402" s="17"/>
      <c r="D402" s="17"/>
      <c r="E402" s="17"/>
      <c r="F402" s="62"/>
      <c r="G402" s="17"/>
      <c r="H402" s="17"/>
      <c r="I402" s="17"/>
      <c r="J402" s="17"/>
      <c r="K402" s="17"/>
    </row>
    <row r="403" spans="1:11" ht="13">
      <c r="A403" s="17"/>
      <c r="B403" s="17"/>
      <c r="C403" s="17"/>
      <c r="D403" s="17"/>
      <c r="E403" s="17"/>
      <c r="F403" s="62"/>
      <c r="G403" s="17"/>
      <c r="H403" s="17"/>
      <c r="I403" s="17"/>
      <c r="J403" s="17"/>
      <c r="K403" s="17"/>
    </row>
    <row r="404" spans="1:11" ht="13">
      <c r="A404" s="17"/>
      <c r="B404" s="17"/>
      <c r="C404" s="17"/>
      <c r="D404" s="17"/>
      <c r="E404" s="17"/>
      <c r="F404" s="62"/>
      <c r="G404" s="17"/>
      <c r="H404" s="17"/>
      <c r="I404" s="17"/>
      <c r="J404" s="17"/>
      <c r="K404" s="17"/>
    </row>
    <row r="405" spans="1:11" ht="13">
      <c r="A405" s="17"/>
      <c r="B405" s="17"/>
      <c r="C405" s="17"/>
      <c r="D405" s="17"/>
      <c r="E405" s="17"/>
      <c r="F405" s="62"/>
      <c r="G405" s="17"/>
      <c r="H405" s="17"/>
      <c r="I405" s="17"/>
      <c r="J405" s="17"/>
      <c r="K405" s="17"/>
    </row>
    <row r="406" spans="1:11" ht="13">
      <c r="A406" s="17"/>
      <c r="B406" s="17"/>
      <c r="C406" s="17"/>
      <c r="D406" s="17"/>
      <c r="E406" s="17"/>
      <c r="F406" s="62"/>
      <c r="G406" s="17"/>
      <c r="H406" s="17"/>
      <c r="I406" s="17"/>
      <c r="J406" s="17"/>
      <c r="K406" s="17"/>
    </row>
    <row r="407" spans="1:11" ht="13">
      <c r="A407" s="17"/>
      <c r="B407" s="17"/>
      <c r="C407" s="17"/>
      <c r="D407" s="17"/>
      <c r="E407" s="17"/>
      <c r="F407" s="62"/>
      <c r="G407" s="17"/>
      <c r="H407" s="17"/>
      <c r="I407" s="17"/>
      <c r="J407" s="17"/>
      <c r="K407" s="17"/>
    </row>
    <row r="408" spans="1:11" ht="13">
      <c r="A408" s="17"/>
      <c r="B408" s="17"/>
      <c r="C408" s="17"/>
      <c r="D408" s="17"/>
      <c r="E408" s="17"/>
      <c r="F408" s="62"/>
      <c r="G408" s="17"/>
      <c r="H408" s="17"/>
      <c r="I408" s="17"/>
      <c r="J408" s="17"/>
      <c r="K408" s="17"/>
    </row>
    <row r="409" spans="1:11" ht="13">
      <c r="A409" s="17"/>
      <c r="B409" s="17"/>
      <c r="C409" s="17"/>
      <c r="D409" s="17"/>
      <c r="E409" s="17"/>
      <c r="F409" s="62"/>
      <c r="G409" s="17"/>
      <c r="H409" s="17"/>
      <c r="I409" s="17"/>
      <c r="J409" s="17"/>
      <c r="K409" s="17"/>
    </row>
    <row r="410" spans="1:11" ht="13">
      <c r="A410" s="17"/>
      <c r="B410" s="17"/>
      <c r="C410" s="17"/>
      <c r="D410" s="17"/>
      <c r="E410" s="17"/>
      <c r="F410" s="62"/>
      <c r="G410" s="17"/>
      <c r="H410" s="17"/>
      <c r="I410" s="17"/>
      <c r="J410" s="17"/>
      <c r="K410" s="17"/>
    </row>
    <row r="411" spans="1:11" ht="13">
      <c r="A411" s="17"/>
      <c r="B411" s="17"/>
      <c r="C411" s="17"/>
      <c r="D411" s="17"/>
      <c r="E411" s="17"/>
      <c r="F411" s="62"/>
      <c r="G411" s="17"/>
      <c r="H411" s="17"/>
      <c r="I411" s="17"/>
      <c r="J411" s="17"/>
      <c r="K411" s="17"/>
    </row>
    <row r="412" spans="1:11" ht="13">
      <c r="A412" s="17"/>
      <c r="B412" s="17"/>
      <c r="C412" s="17"/>
      <c r="D412" s="17"/>
      <c r="E412" s="17"/>
      <c r="F412" s="62"/>
      <c r="G412" s="17"/>
      <c r="H412" s="17"/>
      <c r="I412" s="17"/>
      <c r="J412" s="17"/>
      <c r="K412" s="17"/>
    </row>
    <row r="413" spans="1:11" ht="13">
      <c r="A413" s="17"/>
      <c r="B413" s="17"/>
      <c r="C413" s="17"/>
      <c r="D413" s="17"/>
      <c r="E413" s="17"/>
      <c r="F413" s="62"/>
      <c r="G413" s="17"/>
      <c r="H413" s="17"/>
      <c r="I413" s="17"/>
      <c r="J413" s="17"/>
      <c r="K413" s="17"/>
    </row>
    <row r="414" spans="1:11" ht="13">
      <c r="A414" s="17"/>
      <c r="B414" s="17"/>
      <c r="C414" s="17"/>
      <c r="D414" s="17"/>
      <c r="E414" s="17"/>
      <c r="F414" s="62"/>
      <c r="G414" s="17"/>
      <c r="H414" s="17"/>
      <c r="I414" s="17"/>
      <c r="J414" s="17"/>
      <c r="K414" s="17"/>
    </row>
    <row r="415" spans="1:11" ht="13">
      <c r="A415" s="17"/>
      <c r="B415" s="17"/>
      <c r="C415" s="17"/>
      <c r="D415" s="17"/>
      <c r="E415" s="17"/>
      <c r="F415" s="62"/>
      <c r="G415" s="17"/>
      <c r="H415" s="17"/>
      <c r="I415" s="17"/>
      <c r="J415" s="17"/>
      <c r="K415" s="17"/>
    </row>
    <row r="416" spans="1:11" ht="13">
      <c r="A416" s="17"/>
      <c r="B416" s="17"/>
      <c r="C416" s="17"/>
      <c r="D416" s="17"/>
      <c r="E416" s="17"/>
      <c r="F416" s="62"/>
      <c r="G416" s="17"/>
      <c r="H416" s="17"/>
      <c r="I416" s="17"/>
      <c r="J416" s="17"/>
      <c r="K416" s="17"/>
    </row>
    <row r="417" spans="1:11" ht="13">
      <c r="A417" s="17"/>
      <c r="B417" s="17"/>
      <c r="C417" s="17"/>
      <c r="D417" s="17"/>
      <c r="E417" s="17"/>
      <c r="F417" s="62"/>
      <c r="G417" s="17"/>
      <c r="H417" s="17"/>
      <c r="I417" s="17"/>
      <c r="J417" s="17"/>
      <c r="K417" s="17"/>
    </row>
    <row r="418" spans="1:11" ht="13">
      <c r="A418" s="17"/>
      <c r="B418" s="17"/>
      <c r="C418" s="17"/>
      <c r="D418" s="17"/>
      <c r="E418" s="17"/>
      <c r="F418" s="62"/>
      <c r="G418" s="17"/>
      <c r="H418" s="17"/>
      <c r="I418" s="17"/>
      <c r="J418" s="17"/>
      <c r="K418" s="17"/>
    </row>
    <row r="419" spans="1:11" ht="13">
      <c r="A419" s="17"/>
      <c r="B419" s="17"/>
      <c r="C419" s="17"/>
      <c r="D419" s="17"/>
      <c r="E419" s="17"/>
      <c r="F419" s="62"/>
      <c r="G419" s="17"/>
      <c r="H419" s="17"/>
      <c r="I419" s="17"/>
      <c r="J419" s="17"/>
      <c r="K419" s="17"/>
    </row>
    <row r="420" spans="1:11" ht="13">
      <c r="A420" s="17"/>
      <c r="B420" s="17"/>
      <c r="C420" s="17"/>
      <c r="D420" s="17"/>
      <c r="E420" s="17"/>
      <c r="F420" s="62"/>
      <c r="G420" s="17"/>
      <c r="H420" s="17"/>
      <c r="I420" s="17"/>
      <c r="J420" s="17"/>
      <c r="K420" s="17"/>
    </row>
    <row r="421" spans="1:11" ht="13">
      <c r="A421" s="17"/>
      <c r="B421" s="17"/>
      <c r="C421" s="17"/>
      <c r="D421" s="17"/>
      <c r="E421" s="17"/>
      <c r="F421" s="62"/>
      <c r="G421" s="17"/>
      <c r="H421" s="17"/>
      <c r="I421" s="17"/>
      <c r="J421" s="17"/>
      <c r="K421" s="17"/>
    </row>
    <row r="422" spans="1:11" ht="13">
      <c r="A422" s="17"/>
      <c r="B422" s="17"/>
      <c r="C422" s="17"/>
      <c r="D422" s="17"/>
      <c r="E422" s="17"/>
      <c r="F422" s="62"/>
      <c r="G422" s="17"/>
      <c r="H422" s="17"/>
      <c r="I422" s="17"/>
      <c r="J422" s="17"/>
      <c r="K422" s="17"/>
    </row>
    <row r="423" spans="1:11" ht="13">
      <c r="A423" s="17"/>
      <c r="B423" s="17"/>
      <c r="C423" s="17"/>
      <c r="D423" s="17"/>
      <c r="E423" s="17"/>
      <c r="F423" s="62"/>
      <c r="G423" s="17"/>
      <c r="H423" s="17"/>
      <c r="I423" s="17"/>
      <c r="J423" s="17"/>
      <c r="K423" s="17"/>
    </row>
    <row r="424" spans="1:11" ht="13">
      <c r="A424" s="17"/>
      <c r="B424" s="17"/>
      <c r="C424" s="17"/>
      <c r="D424" s="17"/>
      <c r="E424" s="17"/>
      <c r="F424" s="62"/>
      <c r="G424" s="17"/>
      <c r="H424" s="17"/>
      <c r="I424" s="17"/>
      <c r="J424" s="17"/>
      <c r="K424" s="17"/>
    </row>
    <row r="425" spans="1:11" ht="13">
      <c r="A425" s="17"/>
      <c r="B425" s="17"/>
      <c r="C425" s="17"/>
      <c r="D425" s="17"/>
      <c r="E425" s="17"/>
      <c r="F425" s="62"/>
      <c r="G425" s="17"/>
      <c r="H425" s="17"/>
      <c r="I425" s="17"/>
      <c r="J425" s="17"/>
      <c r="K425" s="17"/>
    </row>
    <row r="426" spans="1:11" ht="13">
      <c r="A426" s="17"/>
      <c r="B426" s="17"/>
      <c r="C426" s="17"/>
      <c r="D426" s="17"/>
      <c r="E426" s="17"/>
      <c r="F426" s="62"/>
      <c r="G426" s="17"/>
      <c r="H426" s="17"/>
      <c r="I426" s="17"/>
      <c r="J426" s="17"/>
      <c r="K426" s="17"/>
    </row>
    <row r="427" spans="1:11" ht="13">
      <c r="A427" s="17"/>
      <c r="B427" s="17"/>
      <c r="C427" s="17"/>
      <c r="D427" s="17"/>
      <c r="E427" s="17"/>
      <c r="F427" s="62"/>
      <c r="G427" s="17"/>
      <c r="H427" s="17"/>
      <c r="I427" s="17"/>
      <c r="J427" s="17"/>
      <c r="K427" s="17"/>
    </row>
    <row r="428" spans="1:11" ht="13">
      <c r="A428" s="17"/>
      <c r="B428" s="17"/>
      <c r="C428" s="17"/>
      <c r="D428" s="17"/>
      <c r="E428" s="17"/>
      <c r="F428" s="62"/>
      <c r="G428" s="17"/>
      <c r="H428" s="17"/>
      <c r="I428" s="17"/>
      <c r="J428" s="17"/>
      <c r="K428" s="17"/>
    </row>
    <row r="429" spans="1:11" ht="13">
      <c r="A429" s="17"/>
      <c r="B429" s="17"/>
      <c r="C429" s="17"/>
      <c r="D429" s="17"/>
      <c r="E429" s="17"/>
      <c r="F429" s="62"/>
      <c r="G429" s="17"/>
      <c r="H429" s="17"/>
      <c r="I429" s="17"/>
      <c r="J429" s="17"/>
      <c r="K429" s="17"/>
    </row>
    <row r="430" spans="1:11" ht="13">
      <c r="A430" s="17"/>
      <c r="B430" s="17"/>
      <c r="C430" s="17"/>
      <c r="D430" s="17"/>
      <c r="E430" s="17"/>
      <c r="F430" s="62"/>
      <c r="G430" s="17"/>
      <c r="H430" s="17"/>
      <c r="I430" s="17"/>
      <c r="J430" s="17"/>
      <c r="K430" s="17"/>
    </row>
    <row r="431" spans="1:11" ht="13">
      <c r="A431" s="17"/>
      <c r="B431" s="17"/>
      <c r="C431" s="17"/>
      <c r="D431" s="17"/>
      <c r="E431" s="17"/>
      <c r="F431" s="62"/>
      <c r="G431" s="17"/>
      <c r="H431" s="17"/>
      <c r="I431" s="17"/>
      <c r="J431" s="17"/>
      <c r="K431" s="17"/>
    </row>
    <row r="432" spans="1:11" ht="13">
      <c r="A432" s="17"/>
      <c r="B432" s="17"/>
      <c r="C432" s="17"/>
      <c r="D432" s="17"/>
      <c r="E432" s="17"/>
      <c r="F432" s="62"/>
      <c r="G432" s="17"/>
      <c r="H432" s="17"/>
      <c r="I432" s="17"/>
      <c r="J432" s="17"/>
      <c r="K432" s="17"/>
    </row>
    <row r="433" spans="1:11" ht="13">
      <c r="A433" s="17"/>
      <c r="B433" s="17"/>
      <c r="C433" s="17"/>
      <c r="D433" s="17"/>
      <c r="E433" s="17"/>
      <c r="F433" s="62"/>
      <c r="G433" s="17"/>
      <c r="H433" s="17"/>
      <c r="I433" s="17"/>
      <c r="J433" s="17"/>
      <c r="K433" s="17"/>
    </row>
    <row r="434" spans="1:11" ht="13">
      <c r="A434" s="17"/>
      <c r="B434" s="17"/>
      <c r="C434" s="17"/>
      <c r="D434" s="17"/>
      <c r="E434" s="17"/>
      <c r="F434" s="62"/>
      <c r="G434" s="17"/>
      <c r="H434" s="17"/>
      <c r="I434" s="17"/>
      <c r="J434" s="17"/>
      <c r="K434" s="17"/>
    </row>
    <row r="435" spans="1:11" ht="13">
      <c r="A435" s="17"/>
      <c r="B435" s="17"/>
      <c r="C435" s="17"/>
      <c r="D435" s="17"/>
      <c r="E435" s="17"/>
      <c r="F435" s="62"/>
      <c r="G435" s="17"/>
      <c r="H435" s="17"/>
      <c r="I435" s="17"/>
      <c r="J435" s="17"/>
      <c r="K435" s="17"/>
    </row>
    <row r="436" spans="1:11" ht="13">
      <c r="A436" s="17"/>
      <c r="B436" s="17"/>
      <c r="C436" s="17"/>
      <c r="D436" s="17"/>
      <c r="E436" s="17"/>
      <c r="F436" s="62"/>
      <c r="G436" s="17"/>
      <c r="H436" s="17"/>
      <c r="I436" s="17"/>
      <c r="J436" s="17"/>
      <c r="K436" s="17"/>
    </row>
    <row r="437" spans="1:11" ht="13">
      <c r="A437" s="17"/>
      <c r="B437" s="17"/>
      <c r="C437" s="17"/>
      <c r="D437" s="17"/>
      <c r="E437" s="17"/>
      <c r="F437" s="62"/>
      <c r="G437" s="17"/>
      <c r="H437" s="17"/>
      <c r="I437" s="17"/>
      <c r="J437" s="17"/>
      <c r="K437" s="17"/>
    </row>
    <row r="438" spans="1:11" ht="13">
      <c r="A438" s="17"/>
      <c r="B438" s="17"/>
      <c r="C438" s="17"/>
      <c r="D438" s="17"/>
      <c r="E438" s="17"/>
      <c r="F438" s="62"/>
      <c r="G438" s="17"/>
      <c r="H438" s="17"/>
      <c r="I438" s="17"/>
      <c r="J438" s="17"/>
      <c r="K438" s="17"/>
    </row>
    <row r="439" spans="1:11" ht="13">
      <c r="A439" s="17"/>
      <c r="B439" s="17"/>
      <c r="C439" s="17"/>
      <c r="D439" s="17"/>
      <c r="E439" s="17"/>
      <c r="F439" s="62"/>
      <c r="G439" s="17"/>
      <c r="H439" s="17"/>
      <c r="I439" s="17"/>
      <c r="J439" s="17"/>
      <c r="K439" s="17"/>
    </row>
    <row r="440" spans="1:11" ht="13">
      <c r="A440" s="17"/>
      <c r="B440" s="17"/>
      <c r="C440" s="17"/>
      <c r="D440" s="17"/>
      <c r="E440" s="17"/>
      <c r="F440" s="62"/>
      <c r="G440" s="17"/>
      <c r="H440" s="17"/>
      <c r="I440" s="17"/>
      <c r="J440" s="17"/>
      <c r="K440" s="17"/>
    </row>
    <row r="441" spans="1:11" ht="13">
      <c r="A441" s="17"/>
      <c r="B441" s="17"/>
      <c r="C441" s="17"/>
      <c r="D441" s="17"/>
      <c r="E441" s="17"/>
      <c r="F441" s="62"/>
      <c r="G441" s="17"/>
      <c r="H441" s="17"/>
      <c r="I441" s="17"/>
      <c r="J441" s="17"/>
      <c r="K441" s="17"/>
    </row>
    <row r="442" spans="1:11" ht="13">
      <c r="A442" s="17"/>
      <c r="B442" s="17"/>
      <c r="C442" s="17"/>
      <c r="D442" s="17"/>
      <c r="E442" s="17"/>
      <c r="F442" s="62"/>
      <c r="G442" s="17"/>
      <c r="H442" s="17"/>
      <c r="I442" s="17"/>
      <c r="J442" s="17"/>
      <c r="K442" s="17"/>
    </row>
    <row r="443" spans="1:11" ht="13">
      <c r="A443" s="17"/>
      <c r="B443" s="17"/>
      <c r="C443" s="17"/>
      <c r="D443" s="17"/>
      <c r="E443" s="17"/>
      <c r="F443" s="62"/>
      <c r="G443" s="17"/>
      <c r="H443" s="17"/>
      <c r="I443" s="17"/>
      <c r="J443" s="17"/>
      <c r="K443" s="17"/>
    </row>
    <row r="444" spans="1:11" ht="13">
      <c r="A444" s="17"/>
      <c r="B444" s="17"/>
      <c r="C444" s="17"/>
      <c r="D444" s="17"/>
      <c r="E444" s="17"/>
      <c r="F444" s="62"/>
      <c r="G444" s="17"/>
      <c r="H444" s="17"/>
      <c r="I444" s="17"/>
      <c r="J444" s="17"/>
      <c r="K444" s="17"/>
    </row>
    <row r="445" spans="1:11" ht="13">
      <c r="A445" s="17"/>
      <c r="B445" s="17"/>
      <c r="C445" s="17"/>
      <c r="D445" s="17"/>
      <c r="E445" s="17"/>
      <c r="F445" s="62"/>
      <c r="G445" s="17"/>
      <c r="H445" s="17"/>
      <c r="I445" s="17"/>
      <c r="J445" s="17"/>
      <c r="K445" s="17"/>
    </row>
    <row r="446" spans="1:11" ht="13">
      <c r="A446" s="17"/>
      <c r="B446" s="17"/>
      <c r="C446" s="17"/>
      <c r="D446" s="17"/>
      <c r="E446" s="17"/>
      <c r="F446" s="62"/>
      <c r="G446" s="17"/>
      <c r="H446" s="17"/>
      <c r="I446" s="17"/>
      <c r="J446" s="17"/>
      <c r="K446" s="17"/>
    </row>
    <row r="447" spans="1:11" ht="13">
      <c r="A447" s="17"/>
      <c r="B447" s="17"/>
      <c r="C447" s="17"/>
      <c r="D447" s="17"/>
      <c r="E447" s="17"/>
      <c r="F447" s="62"/>
      <c r="G447" s="17"/>
      <c r="H447" s="17"/>
      <c r="I447" s="17"/>
      <c r="J447" s="17"/>
      <c r="K447" s="17"/>
    </row>
    <row r="448" spans="1:11" ht="13">
      <c r="A448" s="17"/>
      <c r="B448" s="17"/>
      <c r="C448" s="17"/>
      <c r="D448" s="17"/>
      <c r="E448" s="17"/>
      <c r="F448" s="62"/>
      <c r="G448" s="17"/>
      <c r="H448" s="17"/>
      <c r="I448" s="17"/>
      <c r="J448" s="17"/>
      <c r="K448" s="17"/>
    </row>
    <row r="449" spans="1:11" ht="13">
      <c r="A449" s="17"/>
      <c r="B449" s="17"/>
      <c r="C449" s="17"/>
      <c r="D449" s="17"/>
      <c r="E449" s="17"/>
      <c r="F449" s="62"/>
      <c r="G449" s="17"/>
      <c r="H449" s="17"/>
      <c r="I449" s="17"/>
      <c r="J449" s="17"/>
      <c r="K449" s="17"/>
    </row>
    <row r="450" spans="1:11" ht="13">
      <c r="A450" s="17"/>
      <c r="B450" s="17"/>
      <c r="C450" s="17"/>
      <c r="D450" s="17"/>
      <c r="E450" s="17"/>
      <c r="F450" s="62"/>
      <c r="G450" s="17"/>
      <c r="H450" s="17"/>
      <c r="I450" s="17"/>
      <c r="J450" s="17"/>
      <c r="K450" s="17"/>
    </row>
    <row r="451" spans="1:11" ht="13">
      <c r="A451" s="17"/>
      <c r="B451" s="17"/>
      <c r="C451" s="17"/>
      <c r="D451" s="17"/>
      <c r="E451" s="17"/>
      <c r="F451" s="62"/>
      <c r="G451" s="17"/>
      <c r="H451" s="17"/>
      <c r="I451" s="17"/>
      <c r="J451" s="17"/>
      <c r="K451" s="17"/>
    </row>
    <row r="452" spans="1:11" ht="13">
      <c r="A452" s="17"/>
      <c r="B452" s="17"/>
      <c r="C452" s="17"/>
      <c r="D452" s="17"/>
      <c r="E452" s="17"/>
      <c r="F452" s="62"/>
      <c r="G452" s="17"/>
      <c r="H452" s="17"/>
      <c r="I452" s="17"/>
      <c r="J452" s="17"/>
      <c r="K452" s="17"/>
    </row>
    <row r="453" spans="1:11" ht="13">
      <c r="A453" s="17"/>
      <c r="B453" s="17"/>
      <c r="C453" s="17"/>
      <c r="D453" s="17"/>
      <c r="E453" s="17"/>
      <c r="F453" s="62"/>
      <c r="G453" s="17"/>
      <c r="H453" s="17"/>
      <c r="I453" s="17"/>
      <c r="J453" s="17"/>
      <c r="K453" s="17"/>
    </row>
    <row r="454" spans="1:11" ht="13">
      <c r="A454" s="17"/>
      <c r="B454" s="17"/>
      <c r="C454" s="17"/>
      <c r="D454" s="17"/>
      <c r="E454" s="17"/>
      <c r="F454" s="62"/>
      <c r="G454" s="17"/>
      <c r="H454" s="17"/>
      <c r="I454" s="17"/>
      <c r="J454" s="17"/>
      <c r="K454" s="17"/>
    </row>
    <row r="455" spans="1:11" ht="13">
      <c r="A455" s="17"/>
      <c r="B455" s="17"/>
      <c r="C455" s="17"/>
      <c r="D455" s="17"/>
      <c r="E455" s="17"/>
      <c r="F455" s="62"/>
      <c r="G455" s="17"/>
      <c r="H455" s="17"/>
      <c r="I455" s="17"/>
      <c r="J455" s="17"/>
      <c r="K455" s="17"/>
    </row>
    <row r="456" spans="1:11" ht="13">
      <c r="A456" s="17"/>
      <c r="B456" s="17"/>
      <c r="C456" s="17"/>
      <c r="D456" s="17"/>
      <c r="E456" s="17"/>
      <c r="F456" s="62"/>
      <c r="G456" s="17"/>
      <c r="H456" s="17"/>
      <c r="I456" s="17"/>
      <c r="J456" s="17"/>
      <c r="K456" s="17"/>
    </row>
    <row r="457" spans="1:11" ht="13">
      <c r="A457" s="17"/>
      <c r="B457" s="17"/>
      <c r="C457" s="17"/>
      <c r="D457" s="17"/>
      <c r="E457" s="17"/>
      <c r="F457" s="62"/>
      <c r="G457" s="17"/>
      <c r="H457" s="17"/>
      <c r="I457" s="17"/>
      <c r="J457" s="17"/>
      <c r="K457" s="17"/>
    </row>
    <row r="458" spans="1:11" ht="13">
      <c r="A458" s="17"/>
      <c r="B458" s="17"/>
      <c r="C458" s="17"/>
      <c r="D458" s="17"/>
      <c r="E458" s="17"/>
      <c r="F458" s="62"/>
      <c r="G458" s="17"/>
      <c r="H458" s="17"/>
      <c r="I458" s="17"/>
      <c r="J458" s="17"/>
      <c r="K458" s="17"/>
    </row>
    <row r="459" spans="1:11" ht="13">
      <c r="A459" s="17"/>
      <c r="B459" s="17"/>
      <c r="C459" s="17"/>
      <c r="D459" s="17"/>
      <c r="E459" s="17"/>
      <c r="F459" s="62"/>
      <c r="G459" s="17"/>
      <c r="H459" s="17"/>
      <c r="I459" s="17"/>
      <c r="J459" s="17"/>
      <c r="K459" s="17"/>
    </row>
    <row r="460" spans="1:11" ht="13">
      <c r="A460" s="17"/>
      <c r="B460" s="17"/>
      <c r="C460" s="17"/>
      <c r="D460" s="17"/>
      <c r="E460" s="17"/>
      <c r="F460" s="62"/>
      <c r="G460" s="17"/>
      <c r="H460" s="17"/>
      <c r="I460" s="17"/>
      <c r="J460" s="17"/>
      <c r="K460" s="17"/>
    </row>
    <row r="461" spans="1:11" ht="13">
      <c r="A461" s="17"/>
      <c r="B461" s="17"/>
      <c r="C461" s="17"/>
      <c r="D461" s="17"/>
      <c r="E461" s="17"/>
      <c r="F461" s="62"/>
      <c r="G461" s="17"/>
      <c r="H461" s="17"/>
      <c r="I461" s="17"/>
      <c r="J461" s="17"/>
      <c r="K461" s="17"/>
    </row>
    <row r="462" spans="1:11" ht="13">
      <c r="A462" s="17"/>
      <c r="B462" s="17"/>
      <c r="C462" s="17"/>
      <c r="D462" s="17"/>
      <c r="E462" s="17"/>
      <c r="F462" s="62"/>
      <c r="G462" s="17"/>
      <c r="H462" s="17"/>
      <c r="I462" s="17"/>
      <c r="J462" s="17"/>
      <c r="K462" s="17"/>
    </row>
    <row r="463" spans="1:11" ht="13">
      <c r="A463" s="17"/>
      <c r="B463" s="17"/>
      <c r="C463" s="17"/>
      <c r="D463" s="17"/>
      <c r="E463" s="17"/>
      <c r="F463" s="62"/>
      <c r="G463" s="17"/>
      <c r="H463" s="17"/>
      <c r="I463" s="17"/>
      <c r="J463" s="17"/>
      <c r="K463" s="17"/>
    </row>
    <row r="464" spans="1:11" ht="13">
      <c r="A464" s="17"/>
      <c r="B464" s="17"/>
      <c r="C464" s="17"/>
      <c r="D464" s="17"/>
      <c r="E464" s="17"/>
      <c r="F464" s="62"/>
      <c r="G464" s="17"/>
      <c r="H464" s="17"/>
      <c r="I464" s="17"/>
      <c r="J464" s="17"/>
      <c r="K464" s="17"/>
    </row>
    <row r="465" spans="1:11" ht="13">
      <c r="A465" s="17"/>
      <c r="B465" s="17"/>
      <c r="C465" s="17"/>
      <c r="D465" s="17"/>
      <c r="E465" s="17"/>
      <c r="F465" s="62"/>
      <c r="G465" s="17"/>
      <c r="H465" s="17"/>
      <c r="I465" s="17"/>
      <c r="J465" s="17"/>
      <c r="K465" s="17"/>
    </row>
    <row r="466" spans="1:11" ht="13">
      <c r="A466" s="17"/>
      <c r="B466" s="17"/>
      <c r="C466" s="17"/>
      <c r="D466" s="17"/>
      <c r="E466" s="17"/>
      <c r="F466" s="62"/>
      <c r="G466" s="17"/>
      <c r="H466" s="17"/>
      <c r="I466" s="17"/>
      <c r="J466" s="17"/>
      <c r="K466" s="17"/>
    </row>
    <row r="467" spans="1:11" ht="13">
      <c r="A467" s="17"/>
      <c r="B467" s="17"/>
      <c r="C467" s="17"/>
      <c r="D467" s="17"/>
      <c r="E467" s="17"/>
      <c r="F467" s="62"/>
      <c r="G467" s="17"/>
      <c r="H467" s="17"/>
      <c r="I467" s="17"/>
      <c r="J467" s="17"/>
      <c r="K467" s="17"/>
    </row>
    <row r="468" spans="1:11" ht="13">
      <c r="A468" s="17"/>
      <c r="B468" s="17"/>
      <c r="C468" s="17"/>
      <c r="D468" s="17"/>
      <c r="E468" s="17"/>
      <c r="F468" s="62"/>
      <c r="G468" s="17"/>
      <c r="H468" s="17"/>
      <c r="I468" s="17"/>
      <c r="J468" s="17"/>
      <c r="K468" s="17"/>
    </row>
    <row r="469" spans="1:11" ht="13">
      <c r="A469" s="17"/>
      <c r="B469" s="17"/>
      <c r="C469" s="17"/>
      <c r="D469" s="17"/>
      <c r="E469" s="17"/>
      <c r="F469" s="62"/>
      <c r="G469" s="17"/>
      <c r="H469" s="17"/>
      <c r="I469" s="17"/>
      <c r="J469" s="17"/>
      <c r="K469" s="17"/>
    </row>
    <row r="470" spans="1:11" ht="13">
      <c r="A470" s="17"/>
      <c r="B470" s="17"/>
      <c r="C470" s="17"/>
      <c r="D470" s="17"/>
      <c r="E470" s="17"/>
      <c r="F470" s="62"/>
      <c r="G470" s="17"/>
      <c r="H470" s="17"/>
      <c r="I470" s="17"/>
      <c r="J470" s="17"/>
      <c r="K470" s="17"/>
    </row>
    <row r="471" spans="1:11" ht="13">
      <c r="A471" s="17"/>
      <c r="B471" s="17"/>
      <c r="C471" s="17"/>
      <c r="D471" s="17"/>
      <c r="E471" s="17"/>
      <c r="F471" s="62"/>
      <c r="G471" s="17"/>
      <c r="H471" s="17"/>
      <c r="I471" s="17"/>
      <c r="J471" s="17"/>
      <c r="K471" s="17"/>
    </row>
    <row r="472" spans="1:11" ht="13">
      <c r="A472" s="17"/>
      <c r="B472" s="17"/>
      <c r="C472" s="17"/>
      <c r="D472" s="17"/>
      <c r="E472" s="17"/>
      <c r="F472" s="62"/>
      <c r="G472" s="17"/>
      <c r="H472" s="17"/>
      <c r="I472" s="17"/>
      <c r="J472" s="17"/>
      <c r="K472" s="17"/>
    </row>
    <row r="473" spans="1:11" ht="13">
      <c r="A473" s="17"/>
      <c r="B473" s="17"/>
      <c r="C473" s="17"/>
      <c r="D473" s="17"/>
      <c r="E473" s="17"/>
      <c r="F473" s="62"/>
      <c r="G473" s="17"/>
      <c r="H473" s="17"/>
      <c r="I473" s="17"/>
      <c r="J473" s="17"/>
      <c r="K473" s="17"/>
    </row>
    <row r="474" spans="1:11" ht="13">
      <c r="A474" s="17"/>
      <c r="B474" s="17"/>
      <c r="C474" s="17"/>
      <c r="D474" s="17"/>
      <c r="E474" s="17"/>
      <c r="F474" s="62"/>
      <c r="G474" s="17"/>
      <c r="H474" s="17"/>
      <c r="I474" s="17"/>
      <c r="J474" s="17"/>
      <c r="K474" s="17"/>
    </row>
    <row r="475" spans="1:11" ht="13">
      <c r="A475" s="17"/>
      <c r="B475" s="17"/>
      <c r="C475" s="17"/>
      <c r="D475" s="17"/>
      <c r="E475" s="17"/>
      <c r="F475" s="62"/>
      <c r="G475" s="17"/>
      <c r="H475" s="17"/>
      <c r="I475" s="17"/>
      <c r="J475" s="17"/>
      <c r="K475" s="17"/>
    </row>
    <row r="476" spans="1:11" ht="13">
      <c r="A476" s="17"/>
      <c r="B476" s="17"/>
      <c r="C476" s="17"/>
      <c r="D476" s="17"/>
      <c r="E476" s="17"/>
      <c r="F476" s="62"/>
      <c r="G476" s="17"/>
      <c r="H476" s="17"/>
      <c r="I476" s="17"/>
      <c r="J476" s="17"/>
      <c r="K476" s="17"/>
    </row>
    <row r="477" spans="1:11" ht="13">
      <c r="A477" s="17"/>
      <c r="B477" s="17"/>
      <c r="C477" s="17"/>
      <c r="D477" s="17"/>
      <c r="E477" s="17"/>
      <c r="F477" s="62"/>
      <c r="G477" s="17"/>
      <c r="H477" s="17"/>
      <c r="I477" s="17"/>
      <c r="J477" s="17"/>
      <c r="K477" s="17"/>
    </row>
    <row r="478" spans="1:11" ht="13">
      <c r="A478" s="17"/>
      <c r="B478" s="17"/>
      <c r="C478" s="17"/>
      <c r="D478" s="17"/>
      <c r="E478" s="17"/>
      <c r="F478" s="62"/>
      <c r="G478" s="17"/>
      <c r="H478" s="17"/>
      <c r="I478" s="17"/>
      <c r="J478" s="17"/>
      <c r="K478" s="17"/>
    </row>
    <row r="479" spans="1:11" ht="13">
      <c r="A479" s="17"/>
      <c r="B479" s="17"/>
      <c r="C479" s="17"/>
      <c r="D479" s="17"/>
      <c r="E479" s="17"/>
      <c r="F479" s="62"/>
      <c r="G479" s="17"/>
      <c r="H479" s="17"/>
      <c r="I479" s="17"/>
      <c r="J479" s="17"/>
      <c r="K479" s="17"/>
    </row>
    <row r="480" spans="1:11" ht="13">
      <c r="A480" s="17"/>
      <c r="B480" s="17"/>
      <c r="C480" s="17"/>
      <c r="D480" s="17"/>
      <c r="E480" s="17"/>
      <c r="F480" s="62"/>
      <c r="G480" s="17"/>
      <c r="H480" s="17"/>
      <c r="I480" s="17"/>
      <c r="J480" s="17"/>
      <c r="K480" s="17"/>
    </row>
    <row r="481" spans="1:11" ht="13">
      <c r="A481" s="17"/>
      <c r="B481" s="17"/>
      <c r="C481" s="17"/>
      <c r="D481" s="17"/>
      <c r="E481" s="17"/>
      <c r="F481" s="62"/>
      <c r="G481" s="17"/>
      <c r="H481" s="17"/>
      <c r="I481" s="17"/>
      <c r="J481" s="17"/>
      <c r="K481" s="17"/>
    </row>
    <row r="482" spans="1:11" ht="13">
      <c r="A482" s="17"/>
      <c r="B482" s="17"/>
      <c r="C482" s="17"/>
      <c r="D482" s="17"/>
      <c r="E482" s="17"/>
      <c r="F482" s="62"/>
      <c r="G482" s="17"/>
      <c r="H482" s="17"/>
      <c r="I482" s="17"/>
      <c r="J482" s="17"/>
      <c r="K482" s="17"/>
    </row>
    <row r="483" spans="1:11" ht="13">
      <c r="A483" s="17"/>
      <c r="B483" s="17"/>
      <c r="C483" s="17"/>
      <c r="D483" s="17"/>
      <c r="E483" s="17"/>
      <c r="F483" s="62"/>
      <c r="G483" s="17"/>
      <c r="H483" s="17"/>
      <c r="I483" s="17"/>
      <c r="J483" s="17"/>
      <c r="K483" s="17"/>
    </row>
    <row r="484" spans="1:11" ht="13">
      <c r="A484" s="17"/>
      <c r="B484" s="17"/>
      <c r="C484" s="17"/>
      <c r="D484" s="17"/>
      <c r="E484" s="17"/>
      <c r="F484" s="62"/>
      <c r="G484" s="17"/>
      <c r="H484" s="17"/>
      <c r="I484" s="17"/>
      <c r="J484" s="17"/>
      <c r="K484" s="17"/>
    </row>
    <row r="485" spans="1:11" ht="13">
      <c r="A485" s="17"/>
      <c r="B485" s="17"/>
      <c r="C485" s="17"/>
      <c r="D485" s="17"/>
      <c r="E485" s="17"/>
      <c r="F485" s="62"/>
      <c r="G485" s="17"/>
      <c r="H485" s="17"/>
      <c r="I485" s="17"/>
      <c r="J485" s="17"/>
      <c r="K485" s="17"/>
    </row>
    <row r="486" spans="1:11" ht="13">
      <c r="A486" s="17"/>
      <c r="B486" s="17"/>
      <c r="C486" s="17"/>
      <c r="D486" s="17"/>
      <c r="E486" s="17"/>
      <c r="F486" s="62"/>
      <c r="G486" s="17"/>
      <c r="H486" s="17"/>
      <c r="I486" s="17"/>
      <c r="J486" s="17"/>
      <c r="K486" s="17"/>
    </row>
    <row r="487" spans="1:11" ht="13">
      <c r="A487" s="17"/>
      <c r="B487" s="17"/>
      <c r="C487" s="17"/>
      <c r="D487" s="17"/>
      <c r="E487" s="17"/>
      <c r="F487" s="62"/>
      <c r="G487" s="17"/>
      <c r="H487" s="17"/>
      <c r="I487" s="17"/>
      <c r="J487" s="17"/>
      <c r="K487" s="17"/>
    </row>
    <row r="488" spans="1:11" ht="13">
      <c r="A488" s="17"/>
      <c r="B488" s="17"/>
      <c r="C488" s="17"/>
      <c r="D488" s="17"/>
      <c r="E488" s="17"/>
      <c r="F488" s="62"/>
      <c r="G488" s="17"/>
      <c r="H488" s="17"/>
      <c r="I488" s="17"/>
      <c r="J488" s="17"/>
      <c r="K488" s="17"/>
    </row>
    <row r="489" spans="1:11" ht="13">
      <c r="A489" s="17"/>
      <c r="B489" s="17"/>
      <c r="C489" s="17"/>
      <c r="D489" s="17"/>
      <c r="E489" s="17"/>
      <c r="F489" s="62"/>
      <c r="G489" s="17"/>
      <c r="H489" s="17"/>
      <c r="I489" s="17"/>
      <c r="J489" s="17"/>
      <c r="K489" s="17"/>
    </row>
    <row r="490" spans="1:11" ht="13">
      <c r="A490" s="17"/>
      <c r="B490" s="17"/>
      <c r="C490" s="17"/>
      <c r="D490" s="17"/>
      <c r="E490" s="17"/>
      <c r="F490" s="62"/>
      <c r="G490" s="17"/>
      <c r="H490" s="17"/>
      <c r="I490" s="17"/>
      <c r="J490" s="17"/>
      <c r="K490" s="17"/>
    </row>
    <row r="491" spans="1:11" ht="13">
      <c r="A491" s="17"/>
      <c r="B491" s="17"/>
      <c r="C491" s="17"/>
      <c r="D491" s="17"/>
      <c r="E491" s="17"/>
      <c r="F491" s="62"/>
      <c r="G491" s="17"/>
      <c r="H491" s="17"/>
      <c r="I491" s="17"/>
      <c r="J491" s="17"/>
      <c r="K491" s="17"/>
    </row>
    <row r="492" spans="1:11" ht="13">
      <c r="A492" s="17"/>
      <c r="B492" s="17"/>
      <c r="C492" s="17"/>
      <c r="D492" s="17"/>
      <c r="E492" s="17"/>
      <c r="F492" s="62"/>
      <c r="G492" s="17"/>
      <c r="H492" s="17"/>
      <c r="I492" s="17"/>
      <c r="J492" s="17"/>
      <c r="K492" s="17"/>
    </row>
    <row r="493" spans="1:11" ht="13">
      <c r="A493" s="17"/>
      <c r="B493" s="17"/>
      <c r="C493" s="17"/>
      <c r="D493" s="17"/>
      <c r="E493" s="17"/>
      <c r="F493" s="62"/>
      <c r="G493" s="17"/>
      <c r="H493" s="17"/>
      <c r="I493" s="17"/>
      <c r="J493" s="17"/>
      <c r="K493" s="17"/>
    </row>
    <row r="494" spans="1:11" ht="13">
      <c r="A494" s="17"/>
      <c r="B494" s="17"/>
      <c r="C494" s="17"/>
      <c r="D494" s="17"/>
      <c r="E494" s="17"/>
      <c r="F494" s="62"/>
      <c r="G494" s="17"/>
      <c r="H494" s="17"/>
      <c r="I494" s="17"/>
      <c r="J494" s="17"/>
      <c r="K494" s="17"/>
    </row>
    <row r="495" spans="1:11" ht="13">
      <c r="A495" s="17"/>
      <c r="B495" s="17"/>
      <c r="C495" s="17"/>
      <c r="D495" s="17"/>
      <c r="E495" s="17"/>
      <c r="F495" s="62"/>
      <c r="G495" s="17"/>
      <c r="H495" s="17"/>
      <c r="I495" s="17"/>
      <c r="J495" s="17"/>
      <c r="K495" s="17"/>
    </row>
    <row r="496" spans="1:11" ht="13">
      <c r="A496" s="17"/>
      <c r="B496" s="17"/>
      <c r="C496" s="17"/>
      <c r="D496" s="17"/>
      <c r="E496" s="17"/>
      <c r="F496" s="62"/>
      <c r="G496" s="17"/>
      <c r="H496" s="17"/>
      <c r="I496" s="17"/>
      <c r="J496" s="17"/>
      <c r="K496" s="17"/>
    </row>
    <row r="497" spans="1:11" ht="13">
      <c r="A497" s="17"/>
      <c r="B497" s="17"/>
      <c r="C497" s="17"/>
      <c r="D497" s="17"/>
      <c r="E497" s="17"/>
      <c r="F497" s="62"/>
      <c r="G497" s="17"/>
      <c r="H497" s="17"/>
      <c r="I497" s="17"/>
      <c r="J497" s="17"/>
      <c r="K497" s="17"/>
    </row>
    <row r="498" spans="1:11" ht="13">
      <c r="A498" s="17"/>
      <c r="B498" s="17"/>
      <c r="C498" s="17"/>
      <c r="D498" s="17"/>
      <c r="E498" s="17"/>
      <c r="F498" s="62"/>
      <c r="G498" s="17"/>
      <c r="H498" s="17"/>
      <c r="I498" s="17"/>
      <c r="J498" s="17"/>
      <c r="K498" s="17"/>
    </row>
    <row r="499" spans="1:11" ht="13">
      <c r="A499" s="17"/>
      <c r="B499" s="17"/>
      <c r="C499" s="17"/>
      <c r="D499" s="17"/>
      <c r="E499" s="17"/>
      <c r="F499" s="62"/>
      <c r="G499" s="17"/>
      <c r="H499" s="17"/>
      <c r="I499" s="17"/>
      <c r="J499" s="17"/>
      <c r="K499" s="17"/>
    </row>
    <row r="500" spans="1:11" ht="13">
      <c r="A500" s="17"/>
      <c r="B500" s="17"/>
      <c r="C500" s="17"/>
      <c r="D500" s="17"/>
      <c r="E500" s="17"/>
      <c r="F500" s="62"/>
      <c r="G500" s="17"/>
      <c r="H500" s="17"/>
      <c r="I500" s="17"/>
      <c r="J500" s="17"/>
      <c r="K500" s="17"/>
    </row>
    <row r="501" spans="1:11" ht="13">
      <c r="A501" s="17"/>
      <c r="B501" s="17"/>
      <c r="C501" s="17"/>
      <c r="D501" s="17"/>
      <c r="E501" s="17"/>
      <c r="F501" s="62"/>
      <c r="G501" s="17"/>
      <c r="H501" s="17"/>
      <c r="I501" s="17"/>
      <c r="J501" s="17"/>
      <c r="K501" s="17"/>
    </row>
    <row r="502" spans="1:11" ht="13">
      <c r="A502" s="17"/>
      <c r="B502" s="17"/>
      <c r="C502" s="17"/>
      <c r="D502" s="17"/>
      <c r="E502" s="17"/>
      <c r="F502" s="62"/>
      <c r="G502" s="17"/>
      <c r="H502" s="17"/>
      <c r="I502" s="17"/>
      <c r="J502" s="17"/>
      <c r="K502" s="17"/>
    </row>
    <row r="503" spans="1:11" ht="13">
      <c r="A503" s="17"/>
      <c r="B503" s="17"/>
      <c r="C503" s="17"/>
      <c r="D503" s="17"/>
      <c r="E503" s="17"/>
      <c r="F503" s="62"/>
      <c r="G503" s="17"/>
      <c r="H503" s="17"/>
      <c r="I503" s="17"/>
      <c r="J503" s="17"/>
      <c r="K503" s="17"/>
    </row>
    <row r="504" spans="1:11" ht="13">
      <c r="A504" s="17"/>
      <c r="B504" s="17"/>
      <c r="C504" s="17"/>
      <c r="D504" s="17"/>
      <c r="E504" s="17"/>
      <c r="F504" s="62"/>
      <c r="G504" s="17"/>
      <c r="H504" s="17"/>
      <c r="I504" s="17"/>
      <c r="J504" s="17"/>
      <c r="K504" s="17"/>
    </row>
    <row r="505" spans="1:11" ht="13">
      <c r="A505" s="17"/>
      <c r="B505" s="17"/>
      <c r="C505" s="17"/>
      <c r="D505" s="17"/>
      <c r="E505" s="17"/>
      <c r="F505" s="62"/>
      <c r="G505" s="17"/>
      <c r="H505" s="17"/>
      <c r="I505" s="17"/>
      <c r="J505" s="17"/>
      <c r="K505" s="17"/>
    </row>
    <row r="506" spans="1:11" ht="13">
      <c r="A506" s="17"/>
      <c r="B506" s="17"/>
      <c r="C506" s="17"/>
      <c r="D506" s="17"/>
      <c r="E506" s="17"/>
      <c r="F506" s="62"/>
      <c r="G506" s="17"/>
      <c r="H506" s="17"/>
      <c r="I506" s="17"/>
      <c r="J506" s="17"/>
      <c r="K506" s="17"/>
    </row>
    <row r="507" spans="1:11" ht="13">
      <c r="A507" s="17"/>
      <c r="B507" s="17"/>
      <c r="C507" s="17"/>
      <c r="D507" s="17"/>
      <c r="E507" s="17"/>
      <c r="F507" s="62"/>
      <c r="G507" s="17"/>
      <c r="H507" s="17"/>
      <c r="I507" s="17"/>
      <c r="J507" s="17"/>
      <c r="K507" s="17"/>
    </row>
    <row r="508" spans="1:11" ht="13">
      <c r="A508" s="17"/>
      <c r="B508" s="17"/>
      <c r="C508" s="17"/>
      <c r="D508" s="17"/>
      <c r="E508" s="17"/>
      <c r="F508" s="62"/>
      <c r="G508" s="17"/>
      <c r="H508" s="17"/>
      <c r="I508" s="17"/>
      <c r="J508" s="17"/>
      <c r="K508" s="17"/>
    </row>
    <row r="509" spans="1:11" ht="13">
      <c r="A509" s="17"/>
      <c r="B509" s="17"/>
      <c r="C509" s="17"/>
      <c r="D509" s="17"/>
      <c r="E509" s="17"/>
      <c r="F509" s="62"/>
      <c r="G509" s="17"/>
      <c r="H509" s="17"/>
      <c r="I509" s="17"/>
      <c r="J509" s="17"/>
      <c r="K509" s="17"/>
    </row>
    <row r="510" spans="1:11" ht="13">
      <c r="A510" s="17"/>
      <c r="B510" s="17"/>
      <c r="C510" s="17"/>
      <c r="D510" s="17"/>
      <c r="E510" s="17"/>
      <c r="F510" s="62"/>
      <c r="G510" s="17"/>
      <c r="H510" s="17"/>
      <c r="I510" s="17"/>
      <c r="J510" s="17"/>
      <c r="K510" s="17"/>
    </row>
    <row r="511" spans="1:11" ht="13">
      <c r="A511" s="17"/>
      <c r="B511" s="17"/>
      <c r="C511" s="17"/>
      <c r="D511" s="17"/>
      <c r="E511" s="17"/>
      <c r="F511" s="62"/>
      <c r="G511" s="17"/>
      <c r="H511" s="17"/>
      <c r="I511" s="17"/>
      <c r="J511" s="17"/>
      <c r="K511" s="17"/>
    </row>
    <row r="512" spans="1:11" ht="13">
      <c r="A512" s="17"/>
      <c r="B512" s="17"/>
      <c r="C512" s="17"/>
      <c r="D512" s="17"/>
      <c r="E512" s="17"/>
      <c r="F512" s="62"/>
      <c r="G512" s="17"/>
      <c r="H512" s="17"/>
      <c r="I512" s="17"/>
      <c r="J512" s="17"/>
      <c r="K512" s="17"/>
    </row>
    <row r="513" spans="1:11" ht="13">
      <c r="A513" s="17"/>
      <c r="B513" s="17"/>
      <c r="C513" s="17"/>
      <c r="D513" s="17"/>
      <c r="E513" s="17"/>
      <c r="F513" s="62"/>
      <c r="G513" s="17"/>
      <c r="H513" s="17"/>
      <c r="I513" s="17"/>
      <c r="J513" s="17"/>
      <c r="K513" s="17"/>
    </row>
    <row r="514" spans="1:11" ht="13">
      <c r="A514" s="17"/>
      <c r="B514" s="17"/>
      <c r="C514" s="17"/>
      <c r="D514" s="17"/>
      <c r="E514" s="17"/>
      <c r="F514" s="62"/>
      <c r="G514" s="17"/>
      <c r="H514" s="17"/>
      <c r="I514" s="17"/>
      <c r="J514" s="17"/>
      <c r="K514" s="17"/>
    </row>
    <row r="515" spans="1:11" ht="13">
      <c r="A515" s="17"/>
      <c r="B515" s="17"/>
      <c r="C515" s="17"/>
      <c r="D515" s="17"/>
      <c r="E515" s="17"/>
      <c r="F515" s="62"/>
      <c r="G515" s="17"/>
      <c r="H515" s="17"/>
      <c r="I515" s="17"/>
      <c r="J515" s="17"/>
      <c r="K515" s="17"/>
    </row>
    <row r="516" spans="1:11" ht="13">
      <c r="A516" s="17"/>
      <c r="B516" s="17"/>
      <c r="C516" s="17"/>
      <c r="D516" s="17"/>
      <c r="E516" s="17"/>
      <c r="F516" s="62"/>
      <c r="G516" s="17"/>
      <c r="H516" s="17"/>
      <c r="I516" s="17"/>
      <c r="J516" s="17"/>
      <c r="K516" s="17"/>
    </row>
    <row r="517" spans="1:11" ht="13">
      <c r="A517" s="17"/>
      <c r="B517" s="17"/>
      <c r="C517" s="17"/>
      <c r="D517" s="17"/>
      <c r="E517" s="17"/>
      <c r="F517" s="62"/>
      <c r="G517" s="17"/>
      <c r="H517" s="17"/>
      <c r="I517" s="17"/>
      <c r="J517" s="17"/>
      <c r="K517" s="17"/>
    </row>
    <row r="518" spans="1:11" ht="13">
      <c r="A518" s="17"/>
      <c r="B518" s="17"/>
      <c r="C518" s="17"/>
      <c r="D518" s="17"/>
      <c r="E518" s="17"/>
      <c r="F518" s="62"/>
      <c r="G518" s="17"/>
      <c r="H518" s="17"/>
      <c r="I518" s="17"/>
      <c r="J518" s="17"/>
      <c r="K518" s="17"/>
    </row>
    <row r="519" spans="1:11" ht="13">
      <c r="A519" s="17"/>
      <c r="B519" s="17"/>
      <c r="C519" s="17"/>
      <c r="D519" s="17"/>
      <c r="E519" s="17"/>
      <c r="F519" s="62"/>
      <c r="G519" s="17"/>
      <c r="H519" s="17"/>
      <c r="I519" s="17"/>
      <c r="J519" s="17"/>
      <c r="K519" s="17"/>
    </row>
    <row r="520" spans="1:11" ht="13">
      <c r="A520" s="17"/>
      <c r="B520" s="17"/>
      <c r="C520" s="17"/>
      <c r="D520" s="17"/>
      <c r="E520" s="17"/>
      <c r="F520" s="62"/>
      <c r="G520" s="17"/>
      <c r="H520" s="17"/>
      <c r="I520" s="17"/>
      <c r="J520" s="17"/>
      <c r="K520" s="17"/>
    </row>
    <row r="521" spans="1:11" ht="13">
      <c r="A521" s="17"/>
      <c r="B521" s="17"/>
      <c r="C521" s="17"/>
      <c r="D521" s="17"/>
      <c r="E521" s="17"/>
      <c r="F521" s="62"/>
      <c r="G521" s="17"/>
      <c r="H521" s="17"/>
      <c r="I521" s="17"/>
      <c r="J521" s="17"/>
      <c r="K521" s="17"/>
    </row>
    <row r="522" spans="1:11" ht="13">
      <c r="A522" s="17"/>
      <c r="B522" s="17"/>
      <c r="C522" s="17"/>
      <c r="D522" s="17"/>
      <c r="E522" s="17"/>
      <c r="F522" s="62"/>
      <c r="G522" s="17"/>
      <c r="H522" s="17"/>
      <c r="I522" s="17"/>
      <c r="J522" s="17"/>
      <c r="K522" s="17"/>
    </row>
    <row r="523" spans="1:11" ht="13">
      <c r="A523" s="17"/>
      <c r="B523" s="17"/>
      <c r="C523" s="17"/>
      <c r="D523" s="17"/>
      <c r="E523" s="17"/>
      <c r="F523" s="62"/>
      <c r="G523" s="17"/>
      <c r="H523" s="17"/>
      <c r="I523" s="17"/>
      <c r="J523" s="17"/>
      <c r="K523" s="17"/>
    </row>
    <row r="524" spans="1:11" ht="13">
      <c r="A524" s="17"/>
      <c r="B524" s="17"/>
      <c r="C524" s="17"/>
      <c r="D524" s="17"/>
      <c r="E524" s="17"/>
      <c r="F524" s="62"/>
      <c r="G524" s="17"/>
      <c r="H524" s="17"/>
      <c r="I524" s="17"/>
      <c r="J524" s="17"/>
      <c r="K524" s="17"/>
    </row>
    <row r="525" spans="1:11" ht="13">
      <c r="A525" s="17"/>
      <c r="B525" s="17"/>
      <c r="C525" s="17"/>
      <c r="D525" s="17"/>
      <c r="E525" s="17"/>
      <c r="F525" s="62"/>
      <c r="G525" s="17"/>
      <c r="H525" s="17"/>
      <c r="I525" s="17"/>
      <c r="J525" s="17"/>
      <c r="K525" s="17"/>
    </row>
    <row r="526" spans="1:11" ht="13">
      <c r="A526" s="17"/>
      <c r="B526" s="17"/>
      <c r="C526" s="17"/>
      <c r="D526" s="17"/>
      <c r="E526" s="17"/>
      <c r="F526" s="62"/>
      <c r="G526" s="17"/>
      <c r="H526" s="17"/>
      <c r="I526" s="17"/>
      <c r="J526" s="17"/>
      <c r="K526" s="17"/>
    </row>
    <row r="527" spans="1:11" ht="13">
      <c r="A527" s="17"/>
      <c r="B527" s="17"/>
      <c r="C527" s="17"/>
      <c r="D527" s="17"/>
      <c r="E527" s="17"/>
      <c r="F527" s="62"/>
      <c r="G527" s="17"/>
      <c r="H527" s="17"/>
      <c r="I527" s="17"/>
      <c r="J527" s="17"/>
      <c r="K527" s="17"/>
    </row>
    <row r="528" spans="1:11" ht="13">
      <c r="A528" s="17"/>
      <c r="B528" s="17"/>
      <c r="C528" s="17"/>
      <c r="D528" s="17"/>
      <c r="E528" s="17"/>
      <c r="F528" s="62"/>
      <c r="G528" s="17"/>
      <c r="H528" s="17"/>
      <c r="I528" s="17"/>
      <c r="J528" s="17"/>
      <c r="K528" s="17"/>
    </row>
    <row r="529" spans="1:11" ht="13">
      <c r="A529" s="17"/>
      <c r="B529" s="17"/>
      <c r="C529" s="17"/>
      <c r="D529" s="17"/>
      <c r="E529" s="17"/>
      <c r="F529" s="62"/>
      <c r="G529" s="17"/>
      <c r="H529" s="17"/>
      <c r="I529" s="17"/>
      <c r="J529" s="17"/>
      <c r="K529" s="17"/>
    </row>
    <row r="530" spans="1:11" ht="13">
      <c r="A530" s="17"/>
      <c r="B530" s="17"/>
      <c r="C530" s="17"/>
      <c r="D530" s="17"/>
      <c r="E530" s="17"/>
      <c r="F530" s="62"/>
      <c r="G530" s="17"/>
      <c r="H530" s="17"/>
      <c r="I530" s="17"/>
      <c r="J530" s="17"/>
      <c r="K530" s="17"/>
    </row>
    <row r="531" spans="1:11" ht="13">
      <c r="A531" s="17"/>
      <c r="B531" s="17"/>
      <c r="C531" s="17"/>
      <c r="D531" s="17"/>
      <c r="E531" s="17"/>
      <c r="F531" s="62"/>
      <c r="G531" s="17"/>
      <c r="H531" s="17"/>
      <c r="I531" s="17"/>
      <c r="J531" s="17"/>
      <c r="K531" s="17"/>
    </row>
    <row r="532" spans="1:11" ht="13">
      <c r="A532" s="17"/>
      <c r="B532" s="17"/>
      <c r="C532" s="17"/>
      <c r="D532" s="17"/>
      <c r="E532" s="17"/>
      <c r="F532" s="62"/>
      <c r="G532" s="17"/>
      <c r="H532" s="17"/>
      <c r="I532" s="17"/>
      <c r="J532" s="17"/>
      <c r="K532" s="17"/>
    </row>
    <row r="533" spans="1:11" ht="13">
      <c r="A533" s="17"/>
      <c r="B533" s="17"/>
      <c r="C533" s="17"/>
      <c r="D533" s="17"/>
      <c r="E533" s="17"/>
      <c r="F533" s="62"/>
      <c r="G533" s="17"/>
      <c r="H533" s="17"/>
      <c r="I533" s="17"/>
      <c r="J533" s="17"/>
      <c r="K533" s="17"/>
    </row>
    <row r="534" spans="1:11" ht="13">
      <c r="A534" s="17"/>
      <c r="B534" s="17"/>
      <c r="C534" s="17"/>
      <c r="D534" s="17"/>
      <c r="E534" s="17"/>
      <c r="F534" s="62"/>
      <c r="G534" s="17"/>
      <c r="H534" s="17"/>
      <c r="I534" s="17"/>
      <c r="J534" s="17"/>
      <c r="K534" s="17"/>
    </row>
    <row r="535" spans="1:11" ht="13">
      <c r="A535" s="17"/>
      <c r="B535" s="17"/>
      <c r="C535" s="17"/>
      <c r="D535" s="17"/>
      <c r="E535" s="17"/>
      <c r="F535" s="62"/>
      <c r="G535" s="17"/>
      <c r="H535" s="17"/>
      <c r="I535" s="17"/>
      <c r="J535" s="17"/>
      <c r="K535" s="17"/>
    </row>
    <row r="536" spans="1:11" ht="13">
      <c r="A536" s="17"/>
      <c r="B536" s="17"/>
      <c r="C536" s="17"/>
      <c r="D536" s="17"/>
      <c r="E536" s="17"/>
      <c r="F536" s="62"/>
      <c r="G536" s="17"/>
      <c r="H536" s="17"/>
      <c r="I536" s="17"/>
      <c r="J536" s="17"/>
      <c r="K536" s="17"/>
    </row>
    <row r="537" spans="1:11" ht="13">
      <c r="A537" s="17"/>
      <c r="B537" s="17"/>
      <c r="C537" s="17"/>
      <c r="D537" s="17"/>
      <c r="E537" s="17"/>
      <c r="F537" s="62"/>
      <c r="G537" s="17"/>
      <c r="H537" s="17"/>
      <c r="I537" s="17"/>
      <c r="J537" s="17"/>
      <c r="K537" s="17"/>
    </row>
    <row r="538" spans="1:11" ht="13">
      <c r="A538" s="17"/>
      <c r="B538" s="17"/>
      <c r="C538" s="17"/>
      <c r="D538" s="17"/>
      <c r="E538" s="17"/>
      <c r="F538" s="62"/>
      <c r="G538" s="17"/>
      <c r="H538" s="17"/>
      <c r="I538" s="17"/>
      <c r="J538" s="17"/>
      <c r="K538" s="17"/>
    </row>
    <row r="539" spans="1:11" ht="13">
      <c r="A539" s="17"/>
      <c r="B539" s="17"/>
      <c r="C539" s="17"/>
      <c r="D539" s="17"/>
      <c r="E539" s="17"/>
      <c r="F539" s="62"/>
      <c r="G539" s="17"/>
      <c r="H539" s="17"/>
      <c r="I539" s="17"/>
      <c r="J539" s="17"/>
      <c r="K539" s="17"/>
    </row>
    <row r="540" spans="1:11" ht="13">
      <c r="A540" s="17"/>
      <c r="B540" s="17"/>
      <c r="C540" s="17"/>
      <c r="D540" s="17"/>
      <c r="E540" s="17"/>
      <c r="F540" s="62"/>
      <c r="G540" s="17"/>
      <c r="H540" s="17"/>
      <c r="I540" s="17"/>
      <c r="J540" s="17"/>
      <c r="K540" s="17"/>
    </row>
    <row r="541" spans="1:11" ht="13">
      <c r="A541" s="17"/>
      <c r="B541" s="17"/>
      <c r="C541" s="17"/>
      <c r="D541" s="17"/>
      <c r="E541" s="17"/>
      <c r="F541" s="62"/>
      <c r="G541" s="17"/>
      <c r="H541" s="17"/>
      <c r="I541" s="17"/>
      <c r="J541" s="17"/>
      <c r="K541" s="17"/>
    </row>
    <row r="542" spans="1:11" ht="13">
      <c r="A542" s="17"/>
      <c r="B542" s="17"/>
      <c r="C542" s="17"/>
      <c r="D542" s="17"/>
      <c r="E542" s="17"/>
      <c r="F542" s="62"/>
      <c r="G542" s="17"/>
      <c r="H542" s="17"/>
      <c r="I542" s="17"/>
      <c r="J542" s="17"/>
      <c r="K542" s="17"/>
    </row>
    <row r="543" spans="1:11" ht="13">
      <c r="A543" s="17"/>
      <c r="B543" s="17"/>
      <c r="C543" s="17"/>
      <c r="D543" s="17"/>
      <c r="E543" s="17"/>
      <c r="F543" s="62"/>
      <c r="G543" s="17"/>
      <c r="H543" s="17"/>
      <c r="I543" s="17"/>
      <c r="J543" s="17"/>
      <c r="K543" s="17"/>
    </row>
    <row r="544" spans="1:11" ht="13">
      <c r="A544" s="17"/>
      <c r="B544" s="17"/>
      <c r="C544" s="17"/>
      <c r="D544" s="17"/>
      <c r="E544" s="17"/>
      <c r="F544" s="62"/>
      <c r="G544" s="17"/>
      <c r="H544" s="17"/>
      <c r="I544" s="17"/>
      <c r="J544" s="17"/>
      <c r="K544" s="17"/>
    </row>
    <row r="545" spans="1:11" ht="13">
      <c r="A545" s="17"/>
      <c r="B545" s="17"/>
      <c r="C545" s="17"/>
      <c r="D545" s="17"/>
      <c r="E545" s="17"/>
      <c r="F545" s="62"/>
      <c r="G545" s="17"/>
      <c r="H545" s="17"/>
      <c r="I545" s="17"/>
      <c r="J545" s="17"/>
      <c r="K545" s="17"/>
    </row>
    <row r="546" spans="1:11" ht="13">
      <c r="A546" s="17"/>
      <c r="B546" s="17"/>
      <c r="C546" s="17"/>
      <c r="D546" s="17"/>
      <c r="E546" s="17"/>
      <c r="F546" s="62"/>
      <c r="G546" s="17"/>
      <c r="H546" s="17"/>
      <c r="I546" s="17"/>
      <c r="J546" s="17"/>
      <c r="K546" s="17"/>
    </row>
    <row r="547" spans="1:11" ht="13">
      <c r="A547" s="17"/>
      <c r="B547" s="17"/>
      <c r="C547" s="17"/>
      <c r="D547" s="17"/>
      <c r="E547" s="17"/>
      <c r="F547" s="62"/>
      <c r="G547" s="17"/>
      <c r="H547" s="17"/>
      <c r="I547" s="17"/>
      <c r="J547" s="17"/>
      <c r="K547" s="17"/>
    </row>
    <row r="548" spans="1:11" ht="13">
      <c r="A548" s="17"/>
      <c r="B548" s="17"/>
      <c r="C548" s="17"/>
      <c r="D548" s="17"/>
      <c r="E548" s="17"/>
      <c r="F548" s="62"/>
      <c r="G548" s="17"/>
      <c r="H548" s="17"/>
      <c r="I548" s="17"/>
      <c r="J548" s="17"/>
      <c r="K548" s="17"/>
    </row>
    <row r="549" spans="1:11" ht="13">
      <c r="A549" s="17"/>
      <c r="B549" s="17"/>
      <c r="C549" s="17"/>
      <c r="D549" s="17"/>
      <c r="E549" s="17"/>
      <c r="F549" s="62"/>
      <c r="G549" s="17"/>
      <c r="H549" s="17"/>
      <c r="I549" s="17"/>
      <c r="J549" s="17"/>
      <c r="K549" s="17"/>
    </row>
    <row r="550" spans="1:11" ht="13">
      <c r="A550" s="17"/>
      <c r="B550" s="17"/>
      <c r="C550" s="17"/>
      <c r="D550" s="17"/>
      <c r="E550" s="17"/>
      <c r="F550" s="62"/>
      <c r="G550" s="17"/>
      <c r="H550" s="17"/>
      <c r="I550" s="17"/>
      <c r="J550" s="17"/>
      <c r="K550" s="17"/>
    </row>
    <row r="551" spans="1:11" ht="13">
      <c r="A551" s="17"/>
      <c r="B551" s="17"/>
      <c r="C551" s="17"/>
      <c r="D551" s="17"/>
      <c r="E551" s="17"/>
      <c r="F551" s="62"/>
      <c r="G551" s="17"/>
      <c r="H551" s="17"/>
      <c r="I551" s="17"/>
      <c r="J551" s="17"/>
      <c r="K551" s="17"/>
    </row>
    <row r="552" spans="1:11" ht="13">
      <c r="A552" s="17"/>
      <c r="B552" s="17"/>
      <c r="C552" s="17"/>
      <c r="D552" s="17"/>
      <c r="E552" s="17"/>
      <c r="F552" s="62"/>
      <c r="G552" s="17"/>
      <c r="H552" s="17"/>
      <c r="I552" s="17"/>
      <c r="J552" s="17"/>
      <c r="K552" s="17"/>
    </row>
    <row r="553" spans="1:11" ht="13">
      <c r="A553" s="17"/>
      <c r="B553" s="17"/>
      <c r="C553" s="17"/>
      <c r="D553" s="17"/>
      <c r="E553" s="17"/>
      <c r="F553" s="62"/>
      <c r="G553" s="17"/>
      <c r="H553" s="17"/>
      <c r="I553" s="17"/>
      <c r="J553" s="17"/>
      <c r="K553" s="17"/>
    </row>
    <row r="554" spans="1:11" ht="13">
      <c r="A554" s="17"/>
      <c r="B554" s="17"/>
      <c r="C554" s="17"/>
      <c r="D554" s="17"/>
      <c r="E554" s="17"/>
      <c r="F554" s="62"/>
      <c r="G554" s="17"/>
      <c r="H554" s="17"/>
      <c r="I554" s="17"/>
      <c r="J554" s="17"/>
      <c r="K554" s="17"/>
    </row>
    <row r="555" spans="1:11" ht="13">
      <c r="A555" s="17"/>
      <c r="B555" s="17"/>
      <c r="C555" s="17"/>
      <c r="D555" s="17"/>
      <c r="E555" s="17"/>
      <c r="F555" s="62"/>
      <c r="G555" s="17"/>
      <c r="H555" s="17"/>
      <c r="I555" s="17"/>
      <c r="J555" s="17"/>
      <c r="K555" s="17"/>
    </row>
    <row r="556" spans="1:11" ht="13">
      <c r="A556" s="17"/>
      <c r="B556" s="17"/>
      <c r="C556" s="17"/>
      <c r="D556" s="17"/>
      <c r="E556" s="17"/>
      <c r="F556" s="62"/>
      <c r="G556" s="17"/>
      <c r="H556" s="17"/>
      <c r="I556" s="17"/>
      <c r="J556" s="17"/>
      <c r="K556" s="17"/>
    </row>
    <row r="557" spans="1:11" ht="13">
      <c r="A557" s="17"/>
      <c r="B557" s="17"/>
      <c r="C557" s="17"/>
      <c r="D557" s="17"/>
      <c r="E557" s="17"/>
      <c r="F557" s="62"/>
      <c r="G557" s="17"/>
      <c r="H557" s="17"/>
      <c r="I557" s="17"/>
      <c r="J557" s="17"/>
      <c r="K557" s="17"/>
    </row>
    <row r="558" spans="1:11" ht="13">
      <c r="A558" s="17"/>
      <c r="B558" s="17"/>
      <c r="C558" s="17"/>
      <c r="D558" s="17"/>
      <c r="E558" s="17"/>
      <c r="F558" s="62"/>
      <c r="G558" s="17"/>
      <c r="H558" s="17"/>
      <c r="I558" s="17"/>
      <c r="J558" s="17"/>
      <c r="K558" s="17"/>
    </row>
    <row r="559" spans="1:11" ht="13">
      <c r="A559" s="17"/>
      <c r="B559" s="17"/>
      <c r="C559" s="17"/>
      <c r="D559" s="17"/>
      <c r="E559" s="17"/>
      <c r="F559" s="62"/>
      <c r="G559" s="17"/>
      <c r="H559" s="17"/>
      <c r="I559" s="17"/>
      <c r="J559" s="17"/>
      <c r="K559" s="17"/>
    </row>
    <row r="560" spans="1:11" ht="13">
      <c r="A560" s="17"/>
      <c r="B560" s="17"/>
      <c r="C560" s="17"/>
      <c r="D560" s="17"/>
      <c r="E560" s="17"/>
      <c r="F560" s="62"/>
      <c r="G560" s="17"/>
      <c r="H560" s="17"/>
      <c r="I560" s="17"/>
      <c r="J560" s="17"/>
      <c r="K560" s="17"/>
    </row>
    <row r="561" spans="1:11" ht="13">
      <c r="A561" s="17"/>
      <c r="B561" s="17"/>
      <c r="C561" s="17"/>
      <c r="D561" s="17"/>
      <c r="E561" s="17"/>
      <c r="F561" s="62"/>
      <c r="G561" s="17"/>
      <c r="H561" s="17"/>
      <c r="I561" s="17"/>
      <c r="J561" s="17"/>
      <c r="K561" s="17"/>
    </row>
    <row r="562" spans="1:11" ht="13">
      <c r="A562" s="17"/>
      <c r="B562" s="17"/>
      <c r="C562" s="17"/>
      <c r="D562" s="17"/>
      <c r="E562" s="17"/>
      <c r="F562" s="62"/>
      <c r="G562" s="17"/>
      <c r="H562" s="17"/>
      <c r="I562" s="17"/>
      <c r="J562" s="17"/>
      <c r="K562" s="17"/>
    </row>
    <row r="563" spans="1:11" ht="13">
      <c r="A563" s="17"/>
      <c r="B563" s="17"/>
      <c r="C563" s="17"/>
      <c r="D563" s="17"/>
      <c r="E563" s="17"/>
      <c r="F563" s="62"/>
      <c r="G563" s="17"/>
      <c r="H563" s="17"/>
      <c r="I563" s="17"/>
      <c r="J563" s="17"/>
      <c r="K563" s="17"/>
    </row>
    <row r="564" spans="1:11" ht="13">
      <c r="A564" s="17"/>
      <c r="B564" s="17"/>
      <c r="C564" s="17"/>
      <c r="D564" s="17"/>
      <c r="E564" s="17"/>
      <c r="F564" s="62"/>
      <c r="G564" s="17"/>
      <c r="H564" s="17"/>
      <c r="I564" s="17"/>
      <c r="J564" s="17"/>
      <c r="K564" s="17"/>
    </row>
    <row r="565" spans="1:11" ht="13">
      <c r="A565" s="17"/>
      <c r="B565" s="17"/>
      <c r="C565" s="17"/>
      <c r="D565" s="17"/>
      <c r="E565" s="17"/>
      <c r="F565" s="62"/>
      <c r="G565" s="17"/>
      <c r="H565" s="17"/>
      <c r="I565" s="17"/>
      <c r="J565" s="17"/>
      <c r="K565" s="17"/>
    </row>
    <row r="566" spans="1:11" ht="13">
      <c r="A566" s="17"/>
      <c r="B566" s="17"/>
      <c r="C566" s="17"/>
      <c r="D566" s="17"/>
      <c r="E566" s="17"/>
      <c r="F566" s="62"/>
      <c r="G566" s="17"/>
      <c r="H566" s="17"/>
      <c r="I566" s="17"/>
      <c r="J566" s="17"/>
      <c r="K566" s="17"/>
    </row>
    <row r="567" spans="1:11" ht="13">
      <c r="A567" s="17"/>
      <c r="B567" s="17"/>
      <c r="C567" s="17"/>
      <c r="D567" s="17"/>
      <c r="E567" s="17"/>
      <c r="F567" s="62"/>
      <c r="G567" s="17"/>
      <c r="H567" s="17"/>
      <c r="I567" s="17"/>
      <c r="J567" s="17"/>
      <c r="K567" s="17"/>
    </row>
    <row r="568" spans="1:11" ht="13">
      <c r="A568" s="17"/>
      <c r="B568" s="17"/>
      <c r="C568" s="17"/>
      <c r="D568" s="17"/>
      <c r="E568" s="17"/>
      <c r="F568" s="62"/>
      <c r="G568" s="17"/>
      <c r="H568" s="17"/>
      <c r="I568" s="17"/>
      <c r="J568" s="17"/>
      <c r="K568" s="17"/>
    </row>
    <row r="569" spans="1:11" ht="13">
      <c r="A569" s="17"/>
      <c r="B569" s="17"/>
      <c r="C569" s="17"/>
      <c r="D569" s="17"/>
      <c r="E569" s="17"/>
      <c r="F569" s="62"/>
      <c r="G569" s="17"/>
      <c r="H569" s="17"/>
      <c r="I569" s="17"/>
      <c r="J569" s="17"/>
      <c r="K569" s="17"/>
    </row>
    <row r="570" spans="1:11" ht="13">
      <c r="A570" s="17"/>
      <c r="B570" s="17"/>
      <c r="C570" s="17"/>
      <c r="D570" s="17"/>
      <c r="E570" s="17"/>
      <c r="F570" s="62"/>
      <c r="G570" s="17"/>
      <c r="H570" s="17"/>
      <c r="I570" s="17"/>
      <c r="J570" s="17"/>
      <c r="K570" s="17"/>
    </row>
    <row r="571" spans="1:11" ht="13">
      <c r="A571" s="17"/>
      <c r="B571" s="17"/>
      <c r="C571" s="17"/>
      <c r="D571" s="17"/>
      <c r="E571" s="17"/>
      <c r="F571" s="62"/>
      <c r="G571" s="17"/>
      <c r="H571" s="17"/>
      <c r="I571" s="17"/>
      <c r="J571" s="17"/>
      <c r="K571" s="17"/>
    </row>
    <row r="572" spans="1:11" ht="13">
      <c r="A572" s="17"/>
      <c r="B572" s="17"/>
      <c r="C572" s="17"/>
      <c r="D572" s="17"/>
      <c r="E572" s="17"/>
      <c r="F572" s="62"/>
      <c r="G572" s="17"/>
      <c r="H572" s="17"/>
      <c r="I572" s="17"/>
      <c r="J572" s="17"/>
      <c r="K572" s="17"/>
    </row>
    <row r="573" spans="1:11" ht="13">
      <c r="A573" s="17"/>
      <c r="B573" s="17"/>
      <c r="C573" s="17"/>
      <c r="D573" s="17"/>
      <c r="E573" s="17"/>
      <c r="F573" s="62"/>
      <c r="G573" s="17"/>
      <c r="H573" s="17"/>
      <c r="I573" s="17"/>
      <c r="J573" s="17"/>
      <c r="K573" s="17"/>
    </row>
    <row r="574" spans="1:11" ht="13">
      <c r="A574" s="17"/>
      <c r="B574" s="17"/>
      <c r="C574" s="17"/>
      <c r="D574" s="17"/>
      <c r="E574" s="17"/>
      <c r="F574" s="62"/>
      <c r="G574" s="17"/>
      <c r="H574" s="17"/>
      <c r="I574" s="17"/>
      <c r="J574" s="17"/>
      <c r="K574" s="17"/>
    </row>
    <row r="575" spans="1:11" ht="13">
      <c r="A575" s="17"/>
      <c r="B575" s="17"/>
      <c r="C575" s="17"/>
      <c r="D575" s="17"/>
      <c r="E575" s="17"/>
      <c r="F575" s="62"/>
      <c r="G575" s="17"/>
      <c r="H575" s="17"/>
      <c r="I575" s="17"/>
      <c r="J575" s="17"/>
      <c r="K575" s="17"/>
    </row>
    <row r="576" spans="1:11" ht="13">
      <c r="A576" s="17"/>
      <c r="B576" s="17"/>
      <c r="C576" s="17"/>
      <c r="D576" s="17"/>
      <c r="E576" s="17"/>
      <c r="F576" s="62"/>
      <c r="G576" s="17"/>
      <c r="H576" s="17"/>
      <c r="I576" s="17"/>
      <c r="J576" s="17"/>
      <c r="K576" s="17"/>
    </row>
    <row r="577" spans="1:11" ht="13">
      <c r="A577" s="17"/>
      <c r="B577" s="17"/>
      <c r="C577" s="17"/>
      <c r="D577" s="17"/>
      <c r="E577" s="17"/>
      <c r="F577" s="62"/>
      <c r="G577" s="17"/>
      <c r="H577" s="17"/>
      <c r="I577" s="17"/>
      <c r="J577" s="17"/>
      <c r="K577" s="17"/>
    </row>
    <row r="578" spans="1:11" ht="13">
      <c r="A578" s="17"/>
      <c r="B578" s="17"/>
      <c r="C578" s="17"/>
      <c r="D578" s="17"/>
      <c r="E578" s="17"/>
      <c r="F578" s="62"/>
      <c r="G578" s="17"/>
      <c r="H578" s="17"/>
      <c r="I578" s="17"/>
      <c r="J578" s="17"/>
      <c r="K578" s="17"/>
    </row>
    <row r="579" spans="1:11" ht="13">
      <c r="A579" s="17"/>
      <c r="B579" s="17"/>
      <c r="C579" s="17"/>
      <c r="D579" s="17"/>
      <c r="E579" s="17"/>
      <c r="F579" s="62"/>
      <c r="G579" s="17"/>
      <c r="H579" s="17"/>
      <c r="I579" s="17"/>
      <c r="J579" s="17"/>
      <c r="K579" s="17"/>
    </row>
    <row r="580" spans="1:11" ht="13">
      <c r="A580" s="17"/>
      <c r="B580" s="17"/>
      <c r="C580" s="17"/>
      <c r="D580" s="17"/>
      <c r="E580" s="17"/>
      <c r="F580" s="62"/>
      <c r="G580" s="17"/>
      <c r="H580" s="17"/>
      <c r="I580" s="17"/>
      <c r="J580" s="17"/>
      <c r="K580" s="17"/>
    </row>
    <row r="581" spans="1:11" ht="13">
      <c r="A581" s="17"/>
      <c r="B581" s="17"/>
      <c r="C581" s="17"/>
      <c r="D581" s="17"/>
      <c r="E581" s="17"/>
      <c r="F581" s="62"/>
      <c r="G581" s="17"/>
      <c r="H581" s="17"/>
      <c r="I581" s="17"/>
      <c r="J581" s="17"/>
      <c r="K581" s="17"/>
    </row>
    <row r="582" spans="1:11" ht="13">
      <c r="A582" s="17"/>
      <c r="B582" s="17"/>
      <c r="C582" s="17"/>
      <c r="D582" s="17"/>
      <c r="E582" s="17"/>
      <c r="F582" s="62"/>
      <c r="G582" s="17"/>
      <c r="H582" s="17"/>
      <c r="I582" s="17"/>
      <c r="J582" s="17"/>
      <c r="K582" s="17"/>
    </row>
    <row r="583" spans="1:11" ht="13">
      <c r="A583" s="17"/>
      <c r="B583" s="17"/>
      <c r="C583" s="17"/>
      <c r="D583" s="17"/>
      <c r="E583" s="17"/>
      <c r="F583" s="62"/>
      <c r="G583" s="17"/>
      <c r="H583" s="17"/>
      <c r="I583" s="17"/>
      <c r="J583" s="17"/>
      <c r="K583" s="17"/>
    </row>
    <row r="584" spans="1:11" ht="13">
      <c r="A584" s="17"/>
      <c r="B584" s="17"/>
      <c r="C584" s="17"/>
      <c r="D584" s="17"/>
      <c r="E584" s="17"/>
      <c r="F584" s="62"/>
      <c r="G584" s="17"/>
      <c r="H584" s="17"/>
      <c r="I584" s="17"/>
      <c r="J584" s="17"/>
      <c r="K584" s="17"/>
    </row>
    <row r="585" spans="1:11" ht="13">
      <c r="A585" s="17"/>
      <c r="B585" s="17"/>
      <c r="C585" s="17"/>
      <c r="D585" s="17"/>
      <c r="E585" s="17"/>
      <c r="F585" s="62"/>
      <c r="G585" s="17"/>
      <c r="H585" s="17"/>
      <c r="I585" s="17"/>
      <c r="J585" s="17"/>
      <c r="K585" s="17"/>
    </row>
    <row r="586" spans="1:11" ht="13">
      <c r="A586" s="17"/>
      <c r="B586" s="17"/>
      <c r="C586" s="17"/>
      <c r="D586" s="17"/>
      <c r="E586" s="17"/>
      <c r="F586" s="62"/>
      <c r="G586" s="17"/>
      <c r="H586" s="17"/>
      <c r="I586" s="17"/>
      <c r="J586" s="17"/>
      <c r="K586" s="17"/>
    </row>
    <row r="587" spans="1:11" ht="13">
      <c r="A587" s="17"/>
      <c r="B587" s="17"/>
      <c r="C587" s="17"/>
      <c r="D587" s="17"/>
      <c r="E587" s="17"/>
      <c r="F587" s="62"/>
      <c r="G587" s="17"/>
      <c r="H587" s="17"/>
      <c r="I587" s="17"/>
      <c r="J587" s="17"/>
      <c r="K587" s="17"/>
    </row>
    <row r="588" spans="1:11" ht="13">
      <c r="A588" s="17"/>
      <c r="B588" s="17"/>
      <c r="C588" s="17"/>
      <c r="D588" s="17"/>
      <c r="E588" s="17"/>
      <c r="F588" s="62"/>
      <c r="G588" s="17"/>
      <c r="H588" s="17"/>
      <c r="I588" s="17"/>
      <c r="J588" s="17"/>
      <c r="K588" s="17"/>
    </row>
    <row r="589" spans="1:11" ht="13">
      <c r="A589" s="17"/>
      <c r="B589" s="17"/>
      <c r="C589" s="17"/>
      <c r="D589" s="17"/>
      <c r="E589" s="17"/>
      <c r="F589" s="62"/>
      <c r="G589" s="17"/>
      <c r="H589" s="17"/>
      <c r="I589" s="17"/>
      <c r="J589" s="17"/>
      <c r="K589" s="17"/>
    </row>
    <row r="590" spans="1:11" ht="13">
      <c r="A590" s="17"/>
      <c r="B590" s="17"/>
      <c r="C590" s="17"/>
      <c r="D590" s="17"/>
      <c r="E590" s="17"/>
      <c r="F590" s="62"/>
      <c r="G590" s="17"/>
      <c r="H590" s="17"/>
      <c r="I590" s="17"/>
      <c r="J590" s="17"/>
      <c r="K590" s="17"/>
    </row>
    <row r="591" spans="1:11" ht="13">
      <c r="A591" s="17"/>
      <c r="B591" s="17"/>
      <c r="C591" s="17"/>
      <c r="D591" s="17"/>
      <c r="E591" s="17"/>
      <c r="F591" s="62"/>
      <c r="G591" s="17"/>
      <c r="H591" s="17"/>
      <c r="I591" s="17"/>
      <c r="J591" s="17"/>
      <c r="K591" s="17"/>
    </row>
    <row r="592" spans="1:11" ht="13">
      <c r="A592" s="17"/>
      <c r="B592" s="17"/>
      <c r="C592" s="17"/>
      <c r="D592" s="17"/>
      <c r="E592" s="17"/>
      <c r="F592" s="62"/>
      <c r="G592" s="17"/>
      <c r="H592" s="17"/>
      <c r="I592" s="17"/>
      <c r="J592" s="17"/>
      <c r="K592" s="17"/>
    </row>
    <row r="593" spans="1:11" ht="13">
      <c r="A593" s="17"/>
      <c r="B593" s="17"/>
      <c r="C593" s="17"/>
      <c r="D593" s="17"/>
      <c r="E593" s="17"/>
      <c r="F593" s="62"/>
      <c r="G593" s="17"/>
      <c r="H593" s="17"/>
      <c r="I593" s="17"/>
      <c r="J593" s="17"/>
      <c r="K593" s="17"/>
    </row>
    <row r="594" spans="1:11" ht="13">
      <c r="A594" s="17"/>
      <c r="B594" s="17"/>
      <c r="C594" s="17"/>
      <c r="D594" s="17"/>
      <c r="E594" s="17"/>
      <c r="F594" s="62"/>
      <c r="G594" s="17"/>
      <c r="H594" s="17"/>
      <c r="I594" s="17"/>
      <c r="J594" s="17"/>
      <c r="K594" s="17"/>
    </row>
    <row r="595" spans="1:11" ht="13">
      <c r="A595" s="17"/>
      <c r="B595" s="17"/>
      <c r="C595" s="17"/>
      <c r="D595" s="17"/>
      <c r="E595" s="17"/>
      <c r="F595" s="62"/>
      <c r="G595" s="17"/>
      <c r="H595" s="17"/>
      <c r="I595" s="17"/>
      <c r="J595" s="17"/>
      <c r="K595" s="17"/>
    </row>
    <row r="596" spans="1:11" ht="13">
      <c r="A596" s="17"/>
      <c r="B596" s="17"/>
      <c r="C596" s="17"/>
      <c r="D596" s="17"/>
      <c r="E596" s="17"/>
      <c r="F596" s="62"/>
      <c r="G596" s="17"/>
      <c r="H596" s="17"/>
      <c r="I596" s="17"/>
      <c r="J596" s="17"/>
      <c r="K596" s="17"/>
    </row>
    <row r="597" spans="1:11" ht="13">
      <c r="A597" s="17"/>
      <c r="B597" s="17"/>
      <c r="C597" s="17"/>
      <c r="D597" s="17"/>
      <c r="E597" s="17"/>
      <c r="F597" s="62"/>
      <c r="G597" s="17"/>
      <c r="H597" s="17"/>
      <c r="I597" s="17"/>
      <c r="J597" s="17"/>
      <c r="K597" s="17"/>
    </row>
    <row r="598" spans="1:11" ht="13">
      <c r="A598" s="17"/>
      <c r="B598" s="17"/>
      <c r="C598" s="17"/>
      <c r="D598" s="17"/>
      <c r="E598" s="17"/>
      <c r="F598" s="62"/>
      <c r="G598" s="17"/>
      <c r="H598" s="17"/>
      <c r="I598" s="17"/>
      <c r="J598" s="17"/>
      <c r="K598" s="17"/>
    </row>
    <row r="599" spans="1:11" ht="13">
      <c r="A599" s="17"/>
      <c r="B599" s="17"/>
      <c r="C599" s="17"/>
      <c r="D599" s="17"/>
      <c r="E599" s="17"/>
      <c r="F599" s="62"/>
      <c r="G599" s="17"/>
      <c r="H599" s="17"/>
      <c r="I599" s="17"/>
      <c r="J599" s="17"/>
      <c r="K599" s="17"/>
    </row>
    <row r="600" spans="1:11" ht="13">
      <c r="A600" s="17"/>
      <c r="B600" s="17"/>
      <c r="C600" s="17"/>
      <c r="D600" s="17"/>
      <c r="E600" s="17"/>
      <c r="F600" s="62"/>
      <c r="G600" s="17"/>
      <c r="H600" s="17"/>
      <c r="I600" s="17"/>
      <c r="J600" s="17"/>
      <c r="K600" s="17"/>
    </row>
    <row r="601" spans="1:11" ht="13">
      <c r="A601" s="17"/>
      <c r="B601" s="17"/>
      <c r="C601" s="17"/>
      <c r="D601" s="17"/>
      <c r="E601" s="17"/>
      <c r="F601" s="62"/>
      <c r="G601" s="17"/>
      <c r="H601" s="17"/>
      <c r="I601" s="17"/>
      <c r="J601" s="17"/>
      <c r="K601" s="17"/>
    </row>
    <row r="602" spans="1:11" ht="13">
      <c r="A602" s="17"/>
      <c r="B602" s="17"/>
      <c r="C602" s="17"/>
      <c r="D602" s="17"/>
      <c r="E602" s="17"/>
      <c r="F602" s="62"/>
      <c r="G602" s="17"/>
      <c r="H602" s="17"/>
      <c r="I602" s="17"/>
      <c r="J602" s="17"/>
      <c r="K602" s="17"/>
    </row>
    <row r="603" spans="1:11" ht="13">
      <c r="A603" s="17"/>
      <c r="B603" s="17"/>
      <c r="C603" s="17"/>
      <c r="D603" s="17"/>
      <c r="E603" s="17"/>
      <c r="F603" s="62"/>
      <c r="G603" s="17"/>
      <c r="H603" s="17"/>
      <c r="I603" s="17"/>
      <c r="J603" s="17"/>
      <c r="K603" s="17"/>
    </row>
    <row r="604" spans="1:11" ht="13">
      <c r="A604" s="17"/>
      <c r="B604" s="17"/>
      <c r="C604" s="17"/>
      <c r="D604" s="17"/>
      <c r="E604" s="17"/>
      <c r="F604" s="62"/>
      <c r="G604" s="17"/>
      <c r="H604" s="17"/>
      <c r="I604" s="17"/>
      <c r="J604" s="17"/>
      <c r="K604" s="17"/>
    </row>
    <row r="605" spans="1:11" ht="13">
      <c r="A605" s="17"/>
      <c r="B605" s="17"/>
      <c r="C605" s="17"/>
      <c r="D605" s="17"/>
      <c r="E605" s="17"/>
      <c r="F605" s="62"/>
      <c r="G605" s="17"/>
      <c r="H605" s="17"/>
      <c r="I605" s="17"/>
      <c r="J605" s="17"/>
      <c r="K605" s="17"/>
    </row>
    <row r="606" spans="1:11" ht="13">
      <c r="A606" s="17"/>
      <c r="B606" s="17"/>
      <c r="C606" s="17"/>
      <c r="D606" s="17"/>
      <c r="E606" s="17"/>
      <c r="F606" s="62"/>
      <c r="G606" s="17"/>
      <c r="H606" s="17"/>
      <c r="I606" s="17"/>
      <c r="J606" s="17"/>
      <c r="K606" s="17"/>
    </row>
    <row r="607" spans="1:11" ht="13">
      <c r="A607" s="17"/>
      <c r="B607" s="17"/>
      <c r="C607" s="17"/>
      <c r="D607" s="17"/>
      <c r="E607" s="17"/>
      <c r="F607" s="62"/>
      <c r="G607" s="17"/>
      <c r="H607" s="17"/>
      <c r="I607" s="17"/>
      <c r="J607" s="17"/>
      <c r="K607" s="17"/>
    </row>
    <row r="608" spans="1:11" ht="13">
      <c r="A608" s="17"/>
      <c r="B608" s="17"/>
      <c r="C608" s="17"/>
      <c r="D608" s="17"/>
      <c r="E608" s="17"/>
      <c r="F608" s="62"/>
      <c r="G608" s="17"/>
      <c r="H608" s="17"/>
      <c r="I608" s="17"/>
      <c r="J608" s="17"/>
      <c r="K608" s="17"/>
    </row>
    <row r="609" spans="1:11" ht="13">
      <c r="A609" s="17"/>
      <c r="B609" s="17"/>
      <c r="C609" s="17"/>
      <c r="D609" s="17"/>
      <c r="E609" s="17"/>
      <c r="F609" s="62"/>
      <c r="G609" s="17"/>
      <c r="H609" s="17"/>
      <c r="I609" s="17"/>
      <c r="J609" s="17"/>
      <c r="K609" s="17"/>
    </row>
    <row r="610" spans="1:11" ht="13">
      <c r="A610" s="17"/>
      <c r="B610" s="17"/>
      <c r="C610" s="17"/>
      <c r="D610" s="17"/>
      <c r="E610" s="17"/>
      <c r="F610" s="62"/>
      <c r="G610" s="17"/>
      <c r="H610" s="17"/>
      <c r="I610" s="17"/>
      <c r="J610" s="17"/>
      <c r="K610" s="17"/>
    </row>
    <row r="611" spans="1:11" ht="13">
      <c r="A611" s="17"/>
      <c r="B611" s="17"/>
      <c r="C611" s="17"/>
      <c r="D611" s="17"/>
      <c r="E611" s="17"/>
      <c r="F611" s="62"/>
      <c r="G611" s="17"/>
      <c r="H611" s="17"/>
      <c r="I611" s="17"/>
      <c r="J611" s="17"/>
      <c r="K611" s="17"/>
    </row>
    <row r="612" spans="1:11" ht="13">
      <c r="A612" s="17"/>
      <c r="B612" s="17"/>
      <c r="C612" s="17"/>
      <c r="D612" s="17"/>
      <c r="E612" s="17"/>
      <c r="F612" s="62"/>
      <c r="G612" s="17"/>
      <c r="H612" s="17"/>
      <c r="I612" s="17"/>
      <c r="J612" s="17"/>
      <c r="K612" s="17"/>
    </row>
    <row r="613" spans="1:11" ht="13">
      <c r="A613" s="17"/>
      <c r="B613" s="17"/>
      <c r="C613" s="17"/>
      <c r="D613" s="17"/>
      <c r="E613" s="17"/>
      <c r="F613" s="62"/>
      <c r="G613" s="17"/>
      <c r="H613" s="17"/>
      <c r="I613" s="17"/>
      <c r="J613" s="17"/>
      <c r="K613" s="17"/>
    </row>
    <row r="614" spans="1:11" ht="13">
      <c r="A614" s="17"/>
      <c r="B614" s="17"/>
      <c r="C614" s="17"/>
      <c r="D614" s="17"/>
      <c r="E614" s="17"/>
      <c r="F614" s="62"/>
      <c r="G614" s="17"/>
      <c r="H614" s="17"/>
      <c r="I614" s="17"/>
      <c r="J614" s="17"/>
      <c r="K614" s="17"/>
    </row>
    <row r="615" spans="1:11" ht="13">
      <c r="A615" s="17"/>
      <c r="B615" s="17"/>
      <c r="C615" s="17"/>
      <c r="D615" s="17"/>
      <c r="E615" s="17"/>
      <c r="F615" s="62"/>
      <c r="G615" s="17"/>
      <c r="H615" s="17"/>
      <c r="I615" s="17"/>
      <c r="J615" s="17"/>
      <c r="K615" s="17"/>
    </row>
    <row r="616" spans="1:11" ht="13">
      <c r="A616" s="17"/>
      <c r="B616" s="17"/>
      <c r="C616" s="17"/>
      <c r="D616" s="17"/>
      <c r="E616" s="17"/>
      <c r="F616" s="62"/>
      <c r="G616" s="17"/>
      <c r="H616" s="17"/>
      <c r="I616" s="17"/>
      <c r="J616" s="17"/>
      <c r="K616" s="17"/>
    </row>
    <row r="617" spans="1:11" ht="13">
      <c r="A617" s="17"/>
      <c r="B617" s="17"/>
      <c r="C617" s="17"/>
      <c r="D617" s="17"/>
      <c r="E617" s="17"/>
      <c r="F617" s="62"/>
      <c r="G617" s="17"/>
      <c r="H617" s="17"/>
      <c r="I617" s="17"/>
      <c r="J617" s="17"/>
      <c r="K617" s="17"/>
    </row>
    <row r="618" spans="1:11" ht="13">
      <c r="A618" s="17"/>
      <c r="B618" s="17"/>
      <c r="C618" s="17"/>
      <c r="D618" s="17"/>
      <c r="E618" s="17"/>
      <c r="F618" s="62"/>
      <c r="G618" s="17"/>
      <c r="H618" s="17"/>
      <c r="I618" s="17"/>
      <c r="J618" s="17"/>
      <c r="K618" s="17"/>
    </row>
    <row r="619" spans="1:11" ht="13">
      <c r="A619" s="17"/>
      <c r="B619" s="17"/>
      <c r="C619" s="17"/>
      <c r="D619" s="17"/>
      <c r="E619" s="17"/>
      <c r="F619" s="62"/>
      <c r="G619" s="17"/>
      <c r="H619" s="17"/>
      <c r="I619" s="17"/>
      <c r="J619" s="17"/>
      <c r="K619" s="17"/>
    </row>
    <row r="620" spans="1:11" ht="13">
      <c r="A620" s="17"/>
      <c r="B620" s="17"/>
      <c r="C620" s="17"/>
      <c r="D620" s="17"/>
      <c r="E620" s="17"/>
      <c r="F620" s="62"/>
      <c r="G620" s="17"/>
      <c r="H620" s="17"/>
      <c r="I620" s="17"/>
      <c r="J620" s="17"/>
      <c r="K620" s="17"/>
    </row>
    <row r="621" spans="1:11" ht="13">
      <c r="A621" s="17"/>
      <c r="B621" s="17"/>
      <c r="C621" s="17"/>
      <c r="D621" s="17"/>
      <c r="E621" s="17"/>
      <c r="F621" s="62"/>
      <c r="G621" s="17"/>
      <c r="H621" s="17"/>
      <c r="I621" s="17"/>
      <c r="J621" s="17"/>
      <c r="K621" s="17"/>
    </row>
    <row r="622" spans="1:11" ht="13">
      <c r="A622" s="17"/>
      <c r="B622" s="17"/>
      <c r="C622" s="17"/>
      <c r="D622" s="17"/>
      <c r="E622" s="17"/>
      <c r="F622" s="62"/>
      <c r="G622" s="17"/>
      <c r="H622" s="17"/>
      <c r="I622" s="17"/>
      <c r="J622" s="17"/>
      <c r="K622" s="17"/>
    </row>
    <row r="623" spans="1:11" ht="13">
      <c r="A623" s="17"/>
      <c r="B623" s="17"/>
      <c r="C623" s="17"/>
      <c r="D623" s="17"/>
      <c r="E623" s="17"/>
      <c r="F623" s="62"/>
      <c r="G623" s="17"/>
      <c r="H623" s="17"/>
      <c r="I623" s="17"/>
      <c r="J623" s="17"/>
      <c r="K623" s="17"/>
    </row>
    <row r="624" spans="1:11" ht="13">
      <c r="A624" s="17"/>
      <c r="B624" s="17"/>
      <c r="C624" s="17"/>
      <c r="D624" s="17"/>
      <c r="E624" s="17"/>
      <c r="F624" s="62"/>
      <c r="G624" s="17"/>
      <c r="H624" s="17"/>
      <c r="I624" s="17"/>
      <c r="J624" s="17"/>
      <c r="K624" s="17"/>
    </row>
    <row r="625" spans="1:11" ht="13">
      <c r="A625" s="17"/>
      <c r="B625" s="17"/>
      <c r="C625" s="17"/>
      <c r="D625" s="17"/>
      <c r="E625" s="17"/>
      <c r="F625" s="62"/>
      <c r="G625" s="17"/>
      <c r="H625" s="17"/>
      <c r="I625" s="17"/>
      <c r="J625" s="17"/>
      <c r="K625" s="17"/>
    </row>
    <row r="626" spans="1:11" ht="13">
      <c r="A626" s="17"/>
      <c r="B626" s="17"/>
      <c r="C626" s="17"/>
      <c r="D626" s="17"/>
      <c r="E626" s="17"/>
      <c r="F626" s="62"/>
      <c r="G626" s="17"/>
      <c r="H626" s="17"/>
      <c r="I626" s="17"/>
      <c r="J626" s="17"/>
      <c r="K626" s="17"/>
    </row>
    <row r="627" spans="1:11" ht="13">
      <c r="A627" s="17"/>
      <c r="B627" s="17"/>
      <c r="C627" s="17"/>
      <c r="D627" s="17"/>
      <c r="E627" s="17"/>
      <c r="F627" s="62"/>
      <c r="G627" s="17"/>
      <c r="H627" s="17"/>
      <c r="I627" s="17"/>
      <c r="J627" s="17"/>
      <c r="K627" s="17"/>
    </row>
    <row r="628" spans="1:11" ht="13">
      <c r="A628" s="17"/>
      <c r="B628" s="17"/>
      <c r="C628" s="17"/>
      <c r="D628" s="17"/>
      <c r="E628" s="17"/>
      <c r="F628" s="62"/>
      <c r="G628" s="17"/>
      <c r="H628" s="17"/>
      <c r="I628" s="17"/>
      <c r="J628" s="17"/>
      <c r="K628" s="17"/>
    </row>
    <row r="629" spans="1:11" ht="13">
      <c r="A629" s="17"/>
      <c r="B629" s="17"/>
      <c r="C629" s="17"/>
      <c r="D629" s="17"/>
      <c r="E629" s="17"/>
      <c r="F629" s="62"/>
      <c r="G629" s="17"/>
      <c r="H629" s="17"/>
      <c r="I629" s="17"/>
      <c r="J629" s="17"/>
      <c r="K629" s="17"/>
    </row>
    <row r="630" spans="1:11" ht="13">
      <c r="A630" s="17"/>
      <c r="B630" s="17"/>
      <c r="C630" s="17"/>
      <c r="D630" s="17"/>
      <c r="E630" s="17"/>
      <c r="F630" s="62"/>
      <c r="G630" s="17"/>
      <c r="H630" s="17"/>
      <c r="I630" s="17"/>
      <c r="J630" s="17"/>
      <c r="K630" s="17"/>
    </row>
    <row r="631" spans="1:11" ht="13">
      <c r="A631" s="17"/>
      <c r="B631" s="17"/>
      <c r="C631" s="17"/>
      <c r="D631" s="17"/>
      <c r="E631" s="17"/>
      <c r="F631" s="62"/>
      <c r="G631" s="17"/>
      <c r="H631" s="17"/>
      <c r="I631" s="17"/>
      <c r="J631" s="17"/>
      <c r="K631" s="17"/>
    </row>
    <row r="632" spans="1:11" ht="13">
      <c r="A632" s="17"/>
      <c r="B632" s="17"/>
      <c r="C632" s="17"/>
      <c r="D632" s="17"/>
      <c r="E632" s="17"/>
      <c r="F632" s="62"/>
      <c r="G632" s="17"/>
      <c r="H632" s="17"/>
      <c r="I632" s="17"/>
      <c r="J632" s="17"/>
      <c r="K632" s="17"/>
    </row>
    <row r="633" spans="1:11" ht="13">
      <c r="A633" s="17"/>
      <c r="B633" s="17"/>
      <c r="C633" s="17"/>
      <c r="D633" s="17"/>
      <c r="E633" s="17"/>
      <c r="F633" s="62"/>
      <c r="G633" s="17"/>
      <c r="H633" s="17"/>
      <c r="I633" s="17"/>
      <c r="J633" s="17"/>
      <c r="K633" s="17"/>
    </row>
    <row r="634" spans="1:11" ht="13">
      <c r="A634" s="17"/>
      <c r="B634" s="17"/>
      <c r="C634" s="17"/>
      <c r="D634" s="17"/>
      <c r="E634" s="17"/>
      <c r="F634" s="62"/>
      <c r="G634" s="17"/>
      <c r="H634" s="17"/>
      <c r="I634" s="17"/>
      <c r="J634" s="17"/>
      <c r="K634" s="17"/>
    </row>
    <row r="635" spans="1:11" ht="13">
      <c r="A635" s="17"/>
      <c r="B635" s="17"/>
      <c r="C635" s="17"/>
      <c r="D635" s="17"/>
      <c r="E635" s="17"/>
      <c r="F635" s="62"/>
      <c r="G635" s="17"/>
      <c r="H635" s="17"/>
      <c r="I635" s="17"/>
      <c r="J635" s="17"/>
      <c r="K635" s="17"/>
    </row>
    <row r="636" spans="1:11" ht="13">
      <c r="A636" s="17"/>
      <c r="B636" s="17"/>
      <c r="C636" s="17"/>
      <c r="D636" s="17"/>
      <c r="E636" s="17"/>
      <c r="F636" s="62"/>
      <c r="G636" s="17"/>
      <c r="H636" s="17"/>
      <c r="I636" s="17"/>
      <c r="J636" s="17"/>
      <c r="K636" s="17"/>
    </row>
    <row r="637" spans="1:11" ht="13">
      <c r="A637" s="17"/>
      <c r="B637" s="17"/>
      <c r="C637" s="17"/>
      <c r="D637" s="17"/>
      <c r="E637" s="17"/>
      <c r="F637" s="62"/>
      <c r="G637" s="17"/>
      <c r="H637" s="17"/>
      <c r="I637" s="17"/>
      <c r="J637" s="17"/>
      <c r="K637" s="17"/>
    </row>
    <row r="638" spans="1:11" ht="13">
      <c r="A638" s="17"/>
      <c r="B638" s="17"/>
      <c r="C638" s="17"/>
      <c r="D638" s="17"/>
      <c r="E638" s="17"/>
      <c r="F638" s="62"/>
      <c r="G638" s="17"/>
      <c r="H638" s="17"/>
      <c r="I638" s="17"/>
      <c r="J638" s="17"/>
      <c r="K638" s="17"/>
    </row>
    <row r="639" spans="1:11" ht="13">
      <c r="A639" s="17"/>
      <c r="B639" s="17"/>
      <c r="C639" s="17"/>
      <c r="D639" s="17"/>
      <c r="E639" s="17"/>
      <c r="F639" s="62"/>
      <c r="G639" s="17"/>
      <c r="H639" s="17"/>
      <c r="I639" s="17"/>
      <c r="J639" s="17"/>
      <c r="K639" s="17"/>
    </row>
    <row r="640" spans="1:11" ht="13">
      <c r="A640" s="17"/>
      <c r="B640" s="17"/>
      <c r="C640" s="17"/>
      <c r="D640" s="17"/>
      <c r="E640" s="17"/>
      <c r="F640" s="62"/>
      <c r="G640" s="17"/>
      <c r="H640" s="17"/>
      <c r="I640" s="17"/>
      <c r="J640" s="17"/>
      <c r="K640" s="17"/>
    </row>
    <row r="641" spans="1:11" ht="13">
      <c r="A641" s="17"/>
      <c r="B641" s="17"/>
      <c r="C641" s="17"/>
      <c r="D641" s="17"/>
      <c r="E641" s="17"/>
      <c r="F641" s="62"/>
      <c r="G641" s="17"/>
      <c r="H641" s="17"/>
      <c r="I641" s="17"/>
      <c r="J641" s="17"/>
      <c r="K641" s="17"/>
    </row>
    <row r="642" spans="1:11" ht="13">
      <c r="A642" s="17"/>
      <c r="B642" s="17"/>
      <c r="C642" s="17"/>
      <c r="D642" s="17"/>
      <c r="E642" s="17"/>
      <c r="F642" s="62"/>
      <c r="G642" s="17"/>
      <c r="H642" s="17"/>
      <c r="I642" s="17"/>
      <c r="J642" s="17"/>
      <c r="K642" s="17"/>
    </row>
    <row r="643" spans="1:11" ht="13">
      <c r="A643" s="17"/>
      <c r="B643" s="17"/>
      <c r="C643" s="17"/>
      <c r="D643" s="17"/>
      <c r="E643" s="17"/>
      <c r="F643" s="62"/>
      <c r="G643" s="17"/>
      <c r="H643" s="17"/>
      <c r="I643" s="17"/>
      <c r="J643" s="17"/>
      <c r="K643" s="17"/>
    </row>
    <row r="644" spans="1:11" ht="13">
      <c r="A644" s="17"/>
      <c r="B644" s="17"/>
      <c r="C644" s="17"/>
      <c r="D644" s="17"/>
      <c r="E644" s="17"/>
      <c r="F644" s="62"/>
      <c r="G644" s="17"/>
      <c r="H644" s="17"/>
      <c r="I644" s="17"/>
      <c r="J644" s="17"/>
      <c r="K644" s="17"/>
    </row>
    <row r="645" spans="1:11" ht="13">
      <c r="A645" s="17"/>
      <c r="B645" s="17"/>
      <c r="C645" s="17"/>
      <c r="D645" s="17"/>
      <c r="E645" s="17"/>
      <c r="F645" s="62"/>
      <c r="G645" s="17"/>
      <c r="H645" s="17"/>
      <c r="I645" s="17"/>
      <c r="J645" s="17"/>
      <c r="K645" s="17"/>
    </row>
    <row r="646" spans="1:11" ht="13">
      <c r="A646" s="17"/>
      <c r="B646" s="17"/>
      <c r="C646" s="17"/>
      <c r="D646" s="17"/>
      <c r="E646" s="17"/>
      <c r="F646" s="62"/>
      <c r="G646" s="17"/>
      <c r="H646" s="17"/>
      <c r="I646" s="17"/>
      <c r="J646" s="17"/>
      <c r="K646" s="17"/>
    </row>
    <row r="647" spans="1:11" ht="13">
      <c r="A647" s="17"/>
      <c r="B647" s="17"/>
      <c r="C647" s="17"/>
      <c r="D647" s="17"/>
      <c r="E647" s="17"/>
      <c r="F647" s="62"/>
      <c r="G647" s="17"/>
      <c r="H647" s="17"/>
      <c r="I647" s="17"/>
      <c r="J647" s="17"/>
      <c r="K647" s="17"/>
    </row>
    <row r="648" spans="1:11" ht="13">
      <c r="A648" s="17"/>
      <c r="B648" s="17"/>
      <c r="C648" s="17"/>
      <c r="D648" s="17"/>
      <c r="E648" s="17"/>
      <c r="F648" s="62"/>
      <c r="G648" s="17"/>
      <c r="H648" s="17"/>
      <c r="I648" s="17"/>
      <c r="J648" s="17"/>
      <c r="K648" s="17"/>
    </row>
    <row r="649" spans="1:11" ht="13">
      <c r="A649" s="17"/>
      <c r="B649" s="17"/>
      <c r="C649" s="17"/>
      <c r="D649" s="17"/>
      <c r="E649" s="17"/>
      <c r="F649" s="62"/>
      <c r="G649" s="17"/>
      <c r="H649" s="17"/>
      <c r="I649" s="17"/>
      <c r="J649" s="17"/>
      <c r="K649" s="17"/>
    </row>
    <row r="650" spans="1:11" ht="13">
      <c r="A650" s="17"/>
      <c r="B650" s="17"/>
      <c r="C650" s="17"/>
      <c r="D650" s="17"/>
      <c r="E650" s="17"/>
      <c r="F650" s="62"/>
      <c r="G650" s="17"/>
      <c r="H650" s="17"/>
      <c r="I650" s="17"/>
      <c r="J650" s="17"/>
      <c r="K650" s="17"/>
    </row>
    <row r="651" spans="1:11" ht="13">
      <c r="A651" s="17"/>
      <c r="B651" s="17"/>
      <c r="C651" s="17"/>
      <c r="D651" s="17"/>
      <c r="E651" s="17"/>
      <c r="F651" s="62"/>
      <c r="G651" s="17"/>
      <c r="H651" s="17"/>
      <c r="I651" s="17"/>
      <c r="J651" s="17"/>
      <c r="K651" s="17"/>
    </row>
    <row r="652" spans="1:11" ht="13">
      <c r="A652" s="17"/>
      <c r="B652" s="17"/>
      <c r="C652" s="17"/>
      <c r="D652" s="17"/>
      <c r="E652" s="17"/>
      <c r="F652" s="62"/>
      <c r="G652" s="17"/>
      <c r="H652" s="17"/>
      <c r="I652" s="17"/>
      <c r="J652" s="17"/>
      <c r="K652" s="17"/>
    </row>
    <row r="653" spans="1:11" ht="13">
      <c r="A653" s="17"/>
      <c r="B653" s="17"/>
      <c r="C653" s="17"/>
      <c r="D653" s="17"/>
      <c r="E653" s="17"/>
      <c r="F653" s="62"/>
      <c r="G653" s="17"/>
      <c r="H653" s="17"/>
      <c r="I653" s="17"/>
      <c r="J653" s="17"/>
      <c r="K653" s="17"/>
    </row>
    <row r="654" spans="1:11" ht="13">
      <c r="A654" s="17"/>
      <c r="B654" s="17"/>
      <c r="C654" s="17"/>
      <c r="D654" s="17"/>
      <c r="E654" s="17"/>
      <c r="F654" s="62"/>
      <c r="G654" s="17"/>
      <c r="H654" s="17"/>
      <c r="I654" s="17"/>
      <c r="J654" s="17"/>
      <c r="K654" s="17"/>
    </row>
    <row r="655" spans="1:11" ht="13">
      <c r="A655" s="17"/>
      <c r="B655" s="17"/>
      <c r="C655" s="17"/>
      <c r="D655" s="17"/>
      <c r="E655" s="17"/>
      <c r="F655" s="62"/>
      <c r="G655" s="17"/>
      <c r="H655" s="17"/>
      <c r="I655" s="17"/>
      <c r="J655" s="17"/>
      <c r="K655" s="17"/>
    </row>
    <row r="656" spans="1:11" ht="13">
      <c r="A656" s="17"/>
      <c r="B656" s="17"/>
      <c r="C656" s="17"/>
      <c r="D656" s="17"/>
      <c r="E656" s="17"/>
      <c r="F656" s="62"/>
      <c r="G656" s="17"/>
      <c r="H656" s="17"/>
      <c r="I656" s="17"/>
      <c r="J656" s="17"/>
      <c r="K656" s="17"/>
    </row>
    <row r="657" spans="1:11" ht="13">
      <c r="A657" s="17"/>
      <c r="B657" s="17"/>
      <c r="C657" s="17"/>
      <c r="D657" s="17"/>
      <c r="E657" s="17"/>
      <c r="F657" s="62"/>
      <c r="G657" s="17"/>
      <c r="H657" s="17"/>
      <c r="I657" s="17"/>
      <c r="J657" s="17"/>
      <c r="K657" s="17"/>
    </row>
    <row r="658" spans="1:11" ht="13">
      <c r="A658" s="17"/>
      <c r="B658" s="17"/>
      <c r="C658" s="17"/>
      <c r="D658" s="17"/>
      <c r="E658" s="17"/>
      <c r="F658" s="62"/>
      <c r="G658" s="17"/>
      <c r="H658" s="17"/>
      <c r="I658" s="17"/>
      <c r="J658" s="17"/>
      <c r="K658" s="17"/>
    </row>
    <row r="659" spans="1:11" ht="13">
      <c r="A659" s="17"/>
      <c r="B659" s="17"/>
      <c r="C659" s="17"/>
      <c r="D659" s="17"/>
      <c r="E659" s="17"/>
      <c r="F659" s="62"/>
      <c r="G659" s="17"/>
      <c r="H659" s="17"/>
      <c r="I659" s="17"/>
      <c r="J659" s="17"/>
      <c r="K659" s="17"/>
    </row>
    <row r="660" spans="1:11" ht="13">
      <c r="A660" s="17"/>
      <c r="B660" s="17"/>
      <c r="C660" s="17"/>
      <c r="D660" s="17"/>
      <c r="E660" s="17"/>
      <c r="F660" s="62"/>
      <c r="G660" s="17"/>
      <c r="H660" s="17"/>
      <c r="I660" s="17"/>
      <c r="J660" s="17"/>
      <c r="K660" s="17"/>
    </row>
    <row r="661" spans="1:11" ht="13">
      <c r="A661" s="17"/>
      <c r="B661" s="17"/>
      <c r="C661" s="17"/>
      <c r="D661" s="17"/>
      <c r="E661" s="17"/>
      <c r="F661" s="62"/>
      <c r="G661" s="17"/>
      <c r="H661" s="17"/>
      <c r="I661" s="17"/>
      <c r="J661" s="17"/>
      <c r="K661" s="17"/>
    </row>
    <row r="662" spans="1:11" ht="13">
      <c r="A662" s="17"/>
      <c r="B662" s="17"/>
      <c r="C662" s="17"/>
      <c r="D662" s="17"/>
      <c r="E662" s="17"/>
      <c r="F662" s="62"/>
      <c r="G662" s="17"/>
      <c r="H662" s="17"/>
      <c r="I662" s="17"/>
      <c r="J662" s="17"/>
      <c r="K662" s="17"/>
    </row>
    <row r="663" spans="1:11" ht="13">
      <c r="A663" s="17"/>
      <c r="B663" s="17"/>
      <c r="C663" s="17"/>
      <c r="D663" s="17"/>
      <c r="E663" s="17"/>
      <c r="F663" s="62"/>
      <c r="G663" s="17"/>
      <c r="H663" s="17"/>
      <c r="I663" s="17"/>
      <c r="J663" s="17"/>
      <c r="K663" s="17"/>
    </row>
    <row r="664" spans="1:11" ht="13">
      <c r="A664" s="17"/>
      <c r="B664" s="17"/>
      <c r="C664" s="17"/>
      <c r="D664" s="17"/>
      <c r="E664" s="17"/>
      <c r="F664" s="62"/>
      <c r="G664" s="17"/>
      <c r="H664" s="17"/>
      <c r="I664" s="17"/>
      <c r="J664" s="17"/>
      <c r="K664" s="17"/>
    </row>
    <row r="665" spans="1:11" ht="13">
      <c r="A665" s="17"/>
      <c r="B665" s="17"/>
      <c r="C665" s="17"/>
      <c r="D665" s="17"/>
      <c r="E665" s="17"/>
      <c r="F665" s="62"/>
      <c r="G665" s="17"/>
      <c r="H665" s="17"/>
      <c r="I665" s="17"/>
      <c r="J665" s="17"/>
      <c r="K665" s="17"/>
    </row>
    <row r="666" spans="1:11" ht="13">
      <c r="A666" s="17"/>
      <c r="B666" s="17"/>
      <c r="C666" s="17"/>
      <c r="D666" s="17"/>
      <c r="E666" s="17"/>
      <c r="F666" s="62"/>
      <c r="G666" s="17"/>
      <c r="H666" s="17"/>
      <c r="I666" s="17"/>
      <c r="J666" s="17"/>
      <c r="K666" s="17"/>
    </row>
    <row r="667" spans="1:11" ht="13">
      <c r="A667" s="17"/>
      <c r="B667" s="17"/>
      <c r="C667" s="17"/>
      <c r="D667" s="17"/>
      <c r="E667" s="17"/>
      <c r="F667" s="62"/>
      <c r="G667" s="17"/>
      <c r="H667" s="17"/>
      <c r="I667" s="17"/>
      <c r="J667" s="17"/>
      <c r="K667" s="17"/>
    </row>
    <row r="668" spans="1:11" ht="13">
      <c r="A668" s="17"/>
      <c r="B668" s="17"/>
      <c r="C668" s="17"/>
      <c r="D668" s="17"/>
      <c r="E668" s="17"/>
      <c r="F668" s="62"/>
      <c r="G668" s="17"/>
      <c r="H668" s="17"/>
      <c r="I668" s="17"/>
      <c r="J668" s="17"/>
      <c r="K668" s="17"/>
    </row>
    <row r="669" spans="1:11" ht="13">
      <c r="A669" s="17"/>
      <c r="B669" s="17"/>
      <c r="C669" s="17"/>
      <c r="D669" s="17"/>
      <c r="E669" s="17"/>
      <c r="F669" s="62"/>
      <c r="G669" s="17"/>
      <c r="H669" s="17"/>
      <c r="I669" s="17"/>
      <c r="J669" s="17"/>
      <c r="K669" s="17"/>
    </row>
    <row r="670" spans="1:11" ht="13">
      <c r="A670" s="17"/>
      <c r="B670" s="17"/>
      <c r="C670" s="17"/>
      <c r="D670" s="17"/>
      <c r="E670" s="17"/>
      <c r="F670" s="62"/>
      <c r="G670" s="17"/>
      <c r="H670" s="17"/>
      <c r="I670" s="17"/>
      <c r="J670" s="17"/>
      <c r="K670" s="17"/>
    </row>
    <row r="671" spans="1:11" ht="13">
      <c r="A671" s="17"/>
      <c r="B671" s="17"/>
      <c r="C671" s="17"/>
      <c r="D671" s="17"/>
      <c r="E671" s="17"/>
      <c r="F671" s="62"/>
      <c r="G671" s="17"/>
      <c r="H671" s="17"/>
      <c r="I671" s="17"/>
      <c r="J671" s="17"/>
      <c r="K671" s="17"/>
    </row>
    <row r="672" spans="1:11" ht="13">
      <c r="A672" s="17"/>
      <c r="B672" s="17"/>
      <c r="C672" s="17"/>
      <c r="D672" s="17"/>
      <c r="E672" s="17"/>
      <c r="F672" s="62"/>
      <c r="G672" s="17"/>
      <c r="H672" s="17"/>
      <c r="I672" s="17"/>
      <c r="J672" s="17"/>
      <c r="K672" s="17"/>
    </row>
    <row r="673" spans="1:11" ht="13">
      <c r="A673" s="17"/>
      <c r="B673" s="17"/>
      <c r="C673" s="17"/>
      <c r="D673" s="17"/>
      <c r="E673" s="17"/>
      <c r="F673" s="62"/>
      <c r="G673" s="17"/>
      <c r="H673" s="17"/>
      <c r="I673" s="17"/>
      <c r="J673" s="17"/>
      <c r="K673" s="17"/>
    </row>
    <row r="674" spans="1:11" ht="13">
      <c r="A674" s="17"/>
      <c r="B674" s="17"/>
      <c r="C674" s="17"/>
      <c r="D674" s="17"/>
      <c r="E674" s="17"/>
      <c r="F674" s="62"/>
      <c r="G674" s="17"/>
      <c r="H674" s="17"/>
      <c r="I674" s="17"/>
      <c r="J674" s="17"/>
      <c r="K674" s="17"/>
    </row>
    <row r="675" spans="1:11" ht="13">
      <c r="A675" s="17"/>
      <c r="B675" s="17"/>
      <c r="C675" s="17"/>
      <c r="D675" s="17"/>
      <c r="E675" s="17"/>
      <c r="F675" s="62"/>
      <c r="G675" s="17"/>
      <c r="H675" s="17"/>
      <c r="I675" s="17"/>
      <c r="J675" s="17"/>
      <c r="K675" s="17"/>
    </row>
    <row r="676" spans="1:11" ht="13">
      <c r="A676" s="17"/>
      <c r="B676" s="17"/>
      <c r="C676" s="17"/>
      <c r="D676" s="17"/>
      <c r="E676" s="17"/>
      <c r="F676" s="62"/>
      <c r="G676" s="17"/>
      <c r="H676" s="17"/>
      <c r="I676" s="17"/>
      <c r="J676" s="17"/>
      <c r="K676" s="17"/>
    </row>
    <row r="677" spans="1:11" ht="13">
      <c r="A677" s="17"/>
      <c r="B677" s="17"/>
      <c r="C677" s="17"/>
      <c r="D677" s="17"/>
      <c r="E677" s="17"/>
      <c r="F677" s="62"/>
      <c r="G677" s="17"/>
      <c r="H677" s="17"/>
      <c r="I677" s="17"/>
      <c r="J677" s="17"/>
      <c r="K677" s="17"/>
    </row>
    <row r="678" spans="1:11" ht="13">
      <c r="A678" s="17"/>
      <c r="B678" s="17"/>
      <c r="C678" s="17"/>
      <c r="D678" s="17"/>
      <c r="E678" s="17"/>
      <c r="F678" s="62"/>
      <c r="G678" s="17"/>
      <c r="H678" s="17"/>
      <c r="I678" s="17"/>
      <c r="J678" s="17"/>
      <c r="K678" s="17"/>
    </row>
    <row r="679" spans="1:11" ht="13">
      <c r="A679" s="17"/>
      <c r="B679" s="17"/>
      <c r="C679" s="17"/>
      <c r="D679" s="17"/>
      <c r="E679" s="17"/>
      <c r="F679" s="62"/>
      <c r="G679" s="17"/>
      <c r="H679" s="17"/>
      <c r="I679" s="17"/>
      <c r="J679" s="17"/>
      <c r="K679" s="17"/>
    </row>
    <row r="680" spans="1:11" ht="13">
      <c r="A680" s="17"/>
      <c r="B680" s="17"/>
      <c r="C680" s="17"/>
      <c r="D680" s="17"/>
      <c r="E680" s="17"/>
      <c r="F680" s="62"/>
      <c r="G680" s="17"/>
      <c r="H680" s="17"/>
      <c r="I680" s="17"/>
      <c r="J680" s="17"/>
      <c r="K680" s="17"/>
    </row>
    <row r="681" spans="1:11" ht="13">
      <c r="A681" s="17"/>
      <c r="B681" s="17"/>
      <c r="C681" s="17"/>
      <c r="D681" s="17"/>
      <c r="E681" s="17"/>
      <c r="F681" s="62"/>
      <c r="G681" s="17"/>
      <c r="H681" s="17"/>
      <c r="I681" s="17"/>
      <c r="J681" s="17"/>
      <c r="K681" s="17"/>
    </row>
    <row r="682" spans="1:11" ht="13">
      <c r="A682" s="17"/>
      <c r="B682" s="17"/>
      <c r="C682" s="17"/>
      <c r="D682" s="17"/>
      <c r="E682" s="17"/>
      <c r="F682" s="62"/>
      <c r="G682" s="17"/>
      <c r="H682" s="17"/>
      <c r="I682" s="17"/>
      <c r="J682" s="17"/>
      <c r="K682" s="17"/>
    </row>
    <row r="683" spans="1:11" ht="13">
      <c r="A683" s="17"/>
      <c r="B683" s="17"/>
      <c r="C683" s="17"/>
      <c r="D683" s="17"/>
      <c r="E683" s="17"/>
      <c r="F683" s="62"/>
      <c r="G683" s="17"/>
      <c r="H683" s="17"/>
      <c r="I683" s="17"/>
      <c r="J683" s="17"/>
      <c r="K683" s="17"/>
    </row>
    <row r="684" spans="1:11" ht="13">
      <c r="A684" s="17"/>
      <c r="B684" s="17"/>
      <c r="C684" s="17"/>
      <c r="D684" s="17"/>
      <c r="E684" s="17"/>
      <c r="F684" s="62"/>
      <c r="G684" s="17"/>
      <c r="H684" s="17"/>
      <c r="I684" s="17"/>
      <c r="J684" s="17"/>
      <c r="K684" s="17"/>
    </row>
    <row r="685" spans="1:11" ht="13">
      <c r="A685" s="17"/>
      <c r="B685" s="17"/>
      <c r="C685" s="17"/>
      <c r="D685" s="17"/>
      <c r="E685" s="17"/>
      <c r="F685" s="62"/>
      <c r="G685" s="17"/>
      <c r="H685" s="17"/>
      <c r="I685" s="17"/>
      <c r="J685" s="17"/>
      <c r="K685" s="17"/>
    </row>
    <row r="686" spans="1:11" ht="13">
      <c r="A686" s="17"/>
      <c r="B686" s="17"/>
      <c r="C686" s="17"/>
      <c r="D686" s="17"/>
      <c r="E686" s="17"/>
      <c r="F686" s="62"/>
      <c r="G686" s="17"/>
      <c r="H686" s="17"/>
      <c r="I686" s="17"/>
      <c r="J686" s="17"/>
      <c r="K686" s="17"/>
    </row>
    <row r="687" spans="1:11" ht="13">
      <c r="A687" s="17"/>
      <c r="B687" s="17"/>
      <c r="C687" s="17"/>
      <c r="D687" s="17"/>
      <c r="E687" s="17"/>
      <c r="F687" s="62"/>
      <c r="G687" s="17"/>
      <c r="H687" s="17"/>
      <c r="I687" s="17"/>
      <c r="J687" s="17"/>
      <c r="K687" s="17"/>
    </row>
    <row r="688" spans="1:11" ht="13">
      <c r="A688" s="17"/>
      <c r="B688" s="17"/>
      <c r="C688" s="17"/>
      <c r="D688" s="17"/>
      <c r="E688" s="17"/>
      <c r="F688" s="62"/>
      <c r="G688" s="17"/>
      <c r="H688" s="17"/>
      <c r="I688" s="17"/>
      <c r="J688" s="17"/>
      <c r="K688" s="17"/>
    </row>
    <row r="689" spans="1:11" ht="13">
      <c r="A689" s="17"/>
      <c r="B689" s="17"/>
      <c r="C689" s="17"/>
      <c r="D689" s="17"/>
      <c r="E689" s="17"/>
      <c r="F689" s="62"/>
      <c r="G689" s="17"/>
      <c r="H689" s="17"/>
      <c r="I689" s="17"/>
      <c r="J689" s="17"/>
      <c r="K689" s="17"/>
    </row>
    <row r="690" spans="1:11" ht="13">
      <c r="A690" s="17"/>
      <c r="B690" s="17"/>
      <c r="C690" s="17"/>
      <c r="D690" s="17"/>
      <c r="E690" s="17"/>
      <c r="F690" s="62"/>
      <c r="G690" s="17"/>
      <c r="H690" s="17"/>
      <c r="I690" s="17"/>
      <c r="J690" s="17"/>
      <c r="K690" s="17"/>
    </row>
    <row r="691" spans="1:11" ht="13">
      <c r="A691" s="17"/>
      <c r="B691" s="17"/>
      <c r="C691" s="17"/>
      <c r="D691" s="17"/>
      <c r="E691" s="17"/>
      <c r="F691" s="62"/>
      <c r="G691" s="17"/>
      <c r="H691" s="17"/>
      <c r="I691" s="17"/>
      <c r="J691" s="17"/>
      <c r="K691" s="17"/>
    </row>
    <row r="692" spans="1:11" ht="13">
      <c r="A692" s="17"/>
      <c r="B692" s="17"/>
      <c r="C692" s="17"/>
      <c r="D692" s="17"/>
      <c r="E692" s="17"/>
      <c r="F692" s="62"/>
      <c r="G692" s="17"/>
      <c r="H692" s="17"/>
      <c r="I692" s="17"/>
      <c r="J692" s="17"/>
      <c r="K692" s="17"/>
    </row>
    <row r="693" spans="1:11" ht="13">
      <c r="A693" s="17"/>
      <c r="B693" s="17"/>
      <c r="C693" s="17"/>
      <c r="D693" s="17"/>
      <c r="E693" s="17"/>
      <c r="F693" s="62"/>
      <c r="G693" s="17"/>
      <c r="H693" s="17"/>
      <c r="I693" s="17"/>
      <c r="J693" s="17"/>
      <c r="K693" s="17"/>
    </row>
    <row r="694" spans="1:11" ht="13">
      <c r="A694" s="17"/>
      <c r="B694" s="17"/>
      <c r="C694" s="17"/>
      <c r="D694" s="17"/>
      <c r="E694" s="17"/>
      <c r="F694" s="62"/>
      <c r="G694" s="17"/>
      <c r="H694" s="17"/>
      <c r="I694" s="17"/>
      <c r="J694" s="17"/>
      <c r="K694" s="17"/>
    </row>
    <row r="695" spans="1:11" ht="13">
      <c r="A695" s="17"/>
      <c r="B695" s="17"/>
      <c r="C695" s="17"/>
      <c r="D695" s="17"/>
      <c r="E695" s="17"/>
      <c r="F695" s="62"/>
      <c r="G695" s="17"/>
      <c r="H695" s="17"/>
      <c r="I695" s="17"/>
      <c r="J695" s="17"/>
      <c r="K695" s="17"/>
    </row>
    <row r="696" spans="1:11" ht="13">
      <c r="A696" s="17"/>
      <c r="B696" s="17"/>
      <c r="C696" s="17"/>
      <c r="D696" s="17"/>
      <c r="E696" s="17"/>
      <c r="F696" s="62"/>
      <c r="G696" s="17"/>
      <c r="H696" s="17"/>
      <c r="I696" s="17"/>
      <c r="J696" s="17"/>
      <c r="K696" s="17"/>
    </row>
    <row r="697" spans="1:11" ht="13">
      <c r="A697" s="17"/>
      <c r="B697" s="17"/>
      <c r="C697" s="17"/>
      <c r="D697" s="17"/>
      <c r="E697" s="17"/>
      <c r="F697" s="62"/>
      <c r="G697" s="17"/>
      <c r="H697" s="17"/>
      <c r="I697" s="17"/>
      <c r="J697" s="17"/>
      <c r="K697" s="17"/>
    </row>
    <row r="698" spans="1:11" ht="13">
      <c r="A698" s="17"/>
      <c r="B698" s="17"/>
      <c r="C698" s="17"/>
      <c r="D698" s="17"/>
      <c r="E698" s="17"/>
      <c r="F698" s="62"/>
      <c r="G698" s="17"/>
      <c r="H698" s="17"/>
      <c r="I698" s="17"/>
      <c r="J698" s="17"/>
      <c r="K698" s="17"/>
    </row>
    <row r="699" spans="1:11" ht="13">
      <c r="A699" s="17"/>
      <c r="B699" s="17"/>
      <c r="C699" s="17"/>
      <c r="D699" s="17"/>
      <c r="E699" s="17"/>
      <c r="F699" s="62"/>
      <c r="G699" s="17"/>
      <c r="H699" s="17"/>
      <c r="I699" s="17"/>
      <c r="J699" s="17"/>
      <c r="K699" s="17"/>
    </row>
    <row r="700" spans="1:11" ht="13">
      <c r="A700" s="17"/>
      <c r="B700" s="17"/>
      <c r="C700" s="17"/>
      <c r="D700" s="17"/>
      <c r="E700" s="17"/>
      <c r="F700" s="62"/>
      <c r="G700" s="17"/>
      <c r="H700" s="17"/>
      <c r="I700" s="17"/>
      <c r="J700" s="17"/>
      <c r="K700" s="17"/>
    </row>
    <row r="701" spans="1:11" ht="13">
      <c r="A701" s="17"/>
      <c r="B701" s="17"/>
      <c r="C701" s="17"/>
      <c r="D701" s="17"/>
      <c r="E701" s="17"/>
      <c r="F701" s="62"/>
      <c r="G701" s="17"/>
      <c r="H701" s="17"/>
      <c r="I701" s="17"/>
      <c r="J701" s="17"/>
      <c r="K701" s="17"/>
    </row>
    <row r="702" spans="1:11" ht="13">
      <c r="A702" s="17"/>
      <c r="B702" s="17"/>
      <c r="C702" s="17"/>
      <c r="D702" s="17"/>
      <c r="E702" s="17"/>
      <c r="F702" s="62"/>
      <c r="G702" s="17"/>
      <c r="H702" s="17"/>
      <c r="I702" s="17"/>
      <c r="J702" s="17"/>
      <c r="K702" s="17"/>
    </row>
    <row r="703" spans="1:11" ht="13">
      <c r="A703" s="17"/>
      <c r="B703" s="17"/>
      <c r="C703" s="17"/>
      <c r="D703" s="17"/>
      <c r="E703" s="17"/>
      <c r="F703" s="62"/>
      <c r="G703" s="17"/>
      <c r="H703" s="17"/>
      <c r="I703" s="17"/>
      <c r="J703" s="17"/>
      <c r="K703" s="17"/>
    </row>
    <row r="704" spans="1:11" ht="13">
      <c r="A704" s="17"/>
      <c r="B704" s="17"/>
      <c r="C704" s="17"/>
      <c r="D704" s="17"/>
      <c r="E704" s="17"/>
      <c r="F704" s="62"/>
      <c r="G704" s="17"/>
      <c r="H704" s="17"/>
      <c r="I704" s="17"/>
      <c r="J704" s="17"/>
      <c r="K704" s="17"/>
    </row>
    <row r="705" spans="1:11" ht="13">
      <c r="A705" s="17"/>
      <c r="B705" s="17"/>
      <c r="C705" s="17"/>
      <c r="D705" s="17"/>
      <c r="E705" s="17"/>
      <c r="F705" s="62"/>
      <c r="G705" s="17"/>
      <c r="H705" s="17"/>
      <c r="I705" s="17"/>
      <c r="J705" s="17"/>
      <c r="K705" s="17"/>
    </row>
    <row r="706" spans="1:11" ht="13">
      <c r="A706" s="17"/>
      <c r="B706" s="17"/>
      <c r="C706" s="17"/>
      <c r="D706" s="17"/>
      <c r="E706" s="17"/>
      <c r="F706" s="62"/>
      <c r="G706" s="17"/>
      <c r="H706" s="17"/>
      <c r="I706" s="17"/>
      <c r="J706" s="17"/>
      <c r="K706" s="17"/>
    </row>
    <row r="707" spans="1:11" ht="13">
      <c r="A707" s="17"/>
      <c r="B707" s="17"/>
      <c r="C707" s="17"/>
      <c r="D707" s="17"/>
      <c r="E707" s="17"/>
      <c r="F707" s="62"/>
      <c r="G707" s="17"/>
      <c r="H707" s="17"/>
      <c r="I707" s="17"/>
      <c r="J707" s="17"/>
      <c r="K707" s="17"/>
    </row>
    <row r="708" spans="1:11" ht="13">
      <c r="A708" s="17"/>
      <c r="B708" s="17"/>
      <c r="C708" s="17"/>
      <c r="D708" s="17"/>
      <c r="E708" s="17"/>
      <c r="F708" s="62"/>
      <c r="G708" s="17"/>
      <c r="H708" s="17"/>
      <c r="I708" s="17"/>
      <c r="J708" s="17"/>
      <c r="K708" s="17"/>
    </row>
    <row r="709" spans="1:11" ht="13">
      <c r="A709" s="17"/>
      <c r="B709" s="17"/>
      <c r="C709" s="17"/>
      <c r="D709" s="17"/>
      <c r="E709" s="17"/>
      <c r="F709" s="62"/>
      <c r="G709" s="17"/>
      <c r="H709" s="17"/>
      <c r="I709" s="17"/>
      <c r="J709" s="17"/>
      <c r="K709" s="17"/>
    </row>
    <row r="710" spans="1:11" ht="13">
      <c r="A710" s="17"/>
      <c r="B710" s="17"/>
      <c r="C710" s="17"/>
      <c r="D710" s="17"/>
      <c r="E710" s="17"/>
      <c r="F710" s="62"/>
      <c r="G710" s="17"/>
      <c r="H710" s="17"/>
      <c r="I710" s="17"/>
      <c r="J710" s="17"/>
      <c r="K710" s="17"/>
    </row>
    <row r="711" spans="1:11" ht="13">
      <c r="A711" s="17"/>
      <c r="B711" s="17"/>
      <c r="C711" s="17"/>
      <c r="D711" s="17"/>
      <c r="E711" s="17"/>
      <c r="F711" s="62"/>
      <c r="G711" s="17"/>
      <c r="H711" s="17"/>
      <c r="I711" s="17"/>
      <c r="J711" s="17"/>
      <c r="K711" s="17"/>
    </row>
    <row r="712" spans="1:11" ht="13">
      <c r="A712" s="17"/>
      <c r="B712" s="17"/>
      <c r="C712" s="17"/>
      <c r="D712" s="17"/>
      <c r="E712" s="17"/>
      <c r="F712" s="62"/>
      <c r="G712" s="17"/>
      <c r="H712" s="17"/>
      <c r="I712" s="17"/>
      <c r="J712" s="17"/>
      <c r="K712" s="17"/>
    </row>
    <row r="713" spans="1:11" ht="13">
      <c r="A713" s="17"/>
      <c r="B713" s="17"/>
      <c r="C713" s="17"/>
      <c r="D713" s="17"/>
      <c r="E713" s="17"/>
      <c r="F713" s="62"/>
      <c r="G713" s="17"/>
      <c r="H713" s="17"/>
      <c r="I713" s="17"/>
      <c r="J713" s="17"/>
      <c r="K713" s="17"/>
    </row>
    <row r="714" spans="1:11" ht="13">
      <c r="A714" s="17"/>
      <c r="B714" s="17"/>
      <c r="C714" s="17"/>
      <c r="D714" s="17"/>
      <c r="E714" s="17"/>
      <c r="F714" s="62"/>
      <c r="G714" s="17"/>
      <c r="H714" s="17"/>
      <c r="I714" s="17"/>
      <c r="J714" s="17"/>
      <c r="K714" s="17"/>
    </row>
    <row r="715" spans="1:11" ht="13">
      <c r="A715" s="17"/>
      <c r="B715" s="17"/>
      <c r="C715" s="17"/>
      <c r="D715" s="17"/>
      <c r="E715" s="17"/>
      <c r="F715" s="62"/>
      <c r="G715" s="17"/>
      <c r="H715" s="17"/>
      <c r="I715" s="17"/>
      <c r="J715" s="17"/>
      <c r="K715" s="17"/>
    </row>
    <row r="716" spans="1:11" ht="13">
      <c r="A716" s="17"/>
      <c r="B716" s="17"/>
      <c r="C716" s="17"/>
      <c r="D716" s="17"/>
      <c r="E716" s="17"/>
      <c r="F716" s="62"/>
      <c r="G716" s="17"/>
      <c r="H716" s="17"/>
      <c r="I716" s="17"/>
      <c r="J716" s="17"/>
      <c r="K716" s="17"/>
    </row>
    <row r="717" spans="1:11" ht="13">
      <c r="A717" s="17"/>
      <c r="B717" s="17"/>
      <c r="C717" s="17"/>
      <c r="D717" s="17"/>
      <c r="E717" s="17"/>
      <c r="F717" s="62"/>
      <c r="G717" s="17"/>
      <c r="H717" s="17"/>
      <c r="I717" s="17"/>
      <c r="J717" s="17"/>
      <c r="K717" s="17"/>
    </row>
    <row r="718" spans="1:11" ht="13">
      <c r="A718" s="17"/>
      <c r="B718" s="17"/>
      <c r="C718" s="17"/>
      <c r="D718" s="17"/>
      <c r="E718" s="17"/>
      <c r="F718" s="62"/>
      <c r="G718" s="17"/>
      <c r="H718" s="17"/>
      <c r="I718" s="17"/>
      <c r="J718" s="17"/>
      <c r="K718" s="17"/>
    </row>
    <row r="719" spans="1:11" ht="13">
      <c r="A719" s="17"/>
      <c r="B719" s="17"/>
      <c r="C719" s="17"/>
      <c r="D719" s="17"/>
      <c r="E719" s="17"/>
      <c r="F719" s="62"/>
      <c r="G719" s="17"/>
      <c r="H719" s="17"/>
      <c r="I719" s="17"/>
      <c r="J719" s="17"/>
      <c r="K719" s="17"/>
    </row>
    <row r="720" spans="1:11" ht="13">
      <c r="A720" s="17"/>
      <c r="B720" s="17"/>
      <c r="C720" s="17"/>
      <c r="D720" s="17"/>
      <c r="E720" s="17"/>
      <c r="F720" s="62"/>
      <c r="G720" s="17"/>
      <c r="H720" s="17"/>
      <c r="I720" s="17"/>
      <c r="J720" s="17"/>
      <c r="K720" s="17"/>
    </row>
    <row r="721" spans="1:11" ht="13">
      <c r="A721" s="17"/>
      <c r="B721" s="17"/>
      <c r="C721" s="17"/>
      <c r="D721" s="17"/>
      <c r="E721" s="17"/>
      <c r="F721" s="62"/>
      <c r="G721" s="17"/>
      <c r="H721" s="17"/>
      <c r="I721" s="17"/>
      <c r="J721" s="17"/>
      <c r="K721" s="17"/>
    </row>
    <row r="722" spans="1:11" ht="13">
      <c r="A722" s="17"/>
      <c r="B722" s="17"/>
      <c r="C722" s="17"/>
      <c r="D722" s="17"/>
      <c r="E722" s="17"/>
      <c r="F722" s="62"/>
      <c r="G722" s="17"/>
      <c r="H722" s="17"/>
      <c r="I722" s="17"/>
      <c r="J722" s="17"/>
      <c r="K722" s="17"/>
    </row>
    <row r="723" spans="1:11" ht="13">
      <c r="A723" s="17"/>
      <c r="B723" s="17"/>
      <c r="C723" s="17"/>
      <c r="D723" s="17"/>
      <c r="E723" s="17"/>
      <c r="F723" s="62"/>
      <c r="G723" s="17"/>
      <c r="H723" s="17"/>
      <c r="I723" s="17"/>
      <c r="J723" s="17"/>
      <c r="K723" s="17"/>
    </row>
    <row r="724" spans="1:11" ht="13">
      <c r="A724" s="17"/>
      <c r="B724" s="17"/>
      <c r="C724" s="17"/>
      <c r="D724" s="17"/>
      <c r="E724" s="17"/>
      <c r="F724" s="62"/>
      <c r="G724" s="17"/>
      <c r="H724" s="17"/>
      <c r="I724" s="17"/>
      <c r="J724" s="17"/>
      <c r="K724" s="17"/>
    </row>
    <row r="725" spans="1:11" ht="13">
      <c r="A725" s="17"/>
      <c r="B725" s="17"/>
      <c r="C725" s="17"/>
      <c r="D725" s="17"/>
      <c r="E725" s="17"/>
      <c r="F725" s="62"/>
      <c r="G725" s="17"/>
      <c r="H725" s="17"/>
      <c r="I725" s="17"/>
      <c r="J725" s="17"/>
      <c r="K725" s="17"/>
    </row>
    <row r="726" spans="1:11" ht="13">
      <c r="A726" s="17"/>
      <c r="B726" s="17"/>
      <c r="C726" s="17"/>
      <c r="D726" s="17"/>
      <c r="E726" s="17"/>
      <c r="F726" s="62"/>
      <c r="G726" s="17"/>
      <c r="H726" s="17"/>
      <c r="I726" s="17"/>
      <c r="J726" s="17"/>
      <c r="K726" s="17"/>
    </row>
    <row r="727" spans="1:11" ht="13">
      <c r="A727" s="17"/>
      <c r="B727" s="17"/>
      <c r="C727" s="17"/>
      <c r="D727" s="17"/>
      <c r="E727" s="17"/>
      <c r="F727" s="62"/>
      <c r="G727" s="17"/>
      <c r="H727" s="17"/>
      <c r="I727" s="17"/>
      <c r="J727" s="17"/>
      <c r="K727" s="17"/>
    </row>
    <row r="728" spans="1:11" ht="13">
      <c r="A728" s="17"/>
      <c r="B728" s="17"/>
      <c r="C728" s="17"/>
      <c r="D728" s="17"/>
      <c r="E728" s="17"/>
      <c r="F728" s="62"/>
      <c r="G728" s="17"/>
      <c r="H728" s="17"/>
      <c r="I728" s="17"/>
      <c r="J728" s="17"/>
      <c r="K728" s="17"/>
    </row>
    <row r="729" spans="1:11" ht="13">
      <c r="A729" s="17"/>
      <c r="B729" s="17"/>
      <c r="C729" s="17"/>
      <c r="D729" s="17"/>
      <c r="E729" s="17"/>
      <c r="F729" s="62"/>
      <c r="G729" s="17"/>
      <c r="H729" s="17"/>
      <c r="I729" s="17"/>
      <c r="J729" s="17"/>
      <c r="K729" s="17"/>
    </row>
    <row r="730" spans="1:11" ht="13">
      <c r="A730" s="17"/>
      <c r="B730" s="17"/>
      <c r="C730" s="17"/>
      <c r="D730" s="17"/>
      <c r="E730" s="17"/>
      <c r="F730" s="62"/>
      <c r="G730" s="17"/>
      <c r="H730" s="17"/>
      <c r="I730" s="17"/>
      <c r="J730" s="17"/>
      <c r="K730" s="17"/>
    </row>
    <row r="731" spans="1:11" ht="13">
      <c r="A731" s="17"/>
      <c r="B731" s="17"/>
      <c r="C731" s="17"/>
      <c r="D731" s="17"/>
      <c r="E731" s="17"/>
      <c r="F731" s="62"/>
      <c r="G731" s="17"/>
      <c r="H731" s="17"/>
      <c r="I731" s="17"/>
      <c r="J731" s="17"/>
      <c r="K731" s="17"/>
    </row>
    <row r="732" spans="1:11" ht="13">
      <c r="A732" s="17"/>
      <c r="B732" s="17"/>
      <c r="C732" s="17"/>
      <c r="D732" s="17"/>
      <c r="E732" s="17"/>
      <c r="F732" s="62"/>
      <c r="G732" s="17"/>
      <c r="H732" s="17"/>
      <c r="I732" s="17"/>
      <c r="J732" s="17"/>
      <c r="K732" s="17"/>
    </row>
    <row r="733" spans="1:11" ht="13">
      <c r="A733" s="17"/>
      <c r="B733" s="17"/>
      <c r="C733" s="17"/>
      <c r="D733" s="17"/>
      <c r="E733" s="17"/>
      <c r="F733" s="62"/>
      <c r="G733" s="17"/>
      <c r="H733" s="17"/>
      <c r="I733" s="17"/>
      <c r="J733" s="17"/>
      <c r="K733" s="17"/>
    </row>
    <row r="734" spans="1:11" ht="13">
      <c r="A734" s="17"/>
      <c r="B734" s="17"/>
      <c r="C734" s="17"/>
      <c r="D734" s="17"/>
      <c r="E734" s="17"/>
      <c r="F734" s="62"/>
      <c r="G734" s="17"/>
      <c r="H734" s="17"/>
      <c r="I734" s="17"/>
      <c r="J734" s="17"/>
      <c r="K734" s="17"/>
    </row>
    <row r="735" spans="1:11" ht="13">
      <c r="A735" s="17"/>
      <c r="B735" s="17"/>
      <c r="C735" s="17"/>
      <c r="D735" s="17"/>
      <c r="E735" s="17"/>
      <c r="F735" s="62"/>
      <c r="G735" s="17"/>
      <c r="H735" s="17"/>
      <c r="I735" s="17"/>
      <c r="J735" s="17"/>
      <c r="K735" s="17"/>
    </row>
    <row r="736" spans="1:11" ht="13">
      <c r="A736" s="17"/>
      <c r="B736" s="17"/>
      <c r="C736" s="17"/>
      <c r="D736" s="17"/>
      <c r="E736" s="17"/>
      <c r="F736" s="62"/>
      <c r="G736" s="17"/>
      <c r="H736" s="17"/>
      <c r="I736" s="17"/>
      <c r="J736" s="17"/>
      <c r="K736" s="17"/>
    </row>
    <row r="737" spans="1:11" ht="13">
      <c r="A737" s="17"/>
      <c r="B737" s="17"/>
      <c r="C737" s="17"/>
      <c r="D737" s="17"/>
      <c r="E737" s="17"/>
      <c r="F737" s="62"/>
      <c r="G737" s="17"/>
      <c r="H737" s="17"/>
      <c r="I737" s="17"/>
      <c r="J737" s="17"/>
      <c r="K737" s="17"/>
    </row>
    <row r="738" spans="1:11" ht="13">
      <c r="A738" s="17"/>
      <c r="B738" s="17"/>
      <c r="C738" s="17"/>
      <c r="D738" s="17"/>
      <c r="E738" s="17"/>
      <c r="F738" s="62"/>
      <c r="G738" s="17"/>
      <c r="H738" s="17"/>
      <c r="I738" s="17"/>
      <c r="J738" s="17"/>
      <c r="K738" s="17"/>
    </row>
    <row r="739" spans="1:11" ht="13">
      <c r="A739" s="17"/>
      <c r="B739" s="17"/>
      <c r="C739" s="17"/>
      <c r="D739" s="17"/>
      <c r="E739" s="17"/>
      <c r="F739" s="62"/>
      <c r="G739" s="17"/>
      <c r="H739" s="17"/>
      <c r="I739" s="17"/>
      <c r="J739" s="17"/>
      <c r="K739" s="17"/>
    </row>
    <row r="740" spans="1:11" ht="13">
      <c r="A740" s="17"/>
      <c r="B740" s="17"/>
      <c r="C740" s="17"/>
      <c r="D740" s="17"/>
      <c r="E740" s="17"/>
      <c r="F740" s="62"/>
      <c r="G740" s="17"/>
      <c r="H740" s="17"/>
      <c r="I740" s="17"/>
      <c r="J740" s="17"/>
      <c r="K740" s="17"/>
    </row>
    <row r="741" spans="1:11" ht="13">
      <c r="A741" s="17"/>
      <c r="B741" s="17"/>
      <c r="C741" s="17"/>
      <c r="D741" s="17"/>
      <c r="E741" s="17"/>
      <c r="F741" s="62"/>
      <c r="G741" s="17"/>
      <c r="H741" s="17"/>
      <c r="I741" s="17"/>
      <c r="J741" s="17"/>
      <c r="K741" s="17"/>
    </row>
    <row r="742" spans="1:11" ht="13">
      <c r="A742" s="17"/>
      <c r="B742" s="17"/>
      <c r="C742" s="17"/>
      <c r="D742" s="17"/>
      <c r="E742" s="17"/>
      <c r="F742" s="62"/>
      <c r="G742" s="17"/>
      <c r="H742" s="17"/>
      <c r="I742" s="17"/>
      <c r="J742" s="17"/>
      <c r="K742" s="17"/>
    </row>
    <row r="743" spans="1:11" ht="13">
      <c r="A743" s="17"/>
      <c r="B743" s="17"/>
      <c r="C743" s="17"/>
      <c r="D743" s="17"/>
      <c r="E743" s="17"/>
      <c r="F743" s="62"/>
      <c r="G743" s="17"/>
      <c r="H743" s="17"/>
      <c r="I743" s="17"/>
      <c r="J743" s="17"/>
      <c r="K743" s="17"/>
    </row>
    <row r="744" spans="1:11" ht="13">
      <c r="A744" s="17"/>
      <c r="B744" s="17"/>
      <c r="C744" s="17"/>
      <c r="D744" s="17"/>
      <c r="E744" s="17"/>
      <c r="F744" s="62"/>
      <c r="G744" s="17"/>
      <c r="H744" s="17"/>
      <c r="I744" s="17"/>
      <c r="J744" s="17"/>
      <c r="K744" s="17"/>
    </row>
    <row r="745" spans="1:11" ht="13">
      <c r="A745" s="17"/>
      <c r="B745" s="17"/>
      <c r="C745" s="17"/>
      <c r="D745" s="17"/>
      <c r="E745" s="17"/>
      <c r="F745" s="62"/>
      <c r="G745" s="17"/>
      <c r="H745" s="17"/>
      <c r="I745" s="17"/>
      <c r="J745" s="17"/>
      <c r="K745" s="17"/>
    </row>
    <row r="746" spans="1:11" ht="13">
      <c r="A746" s="17"/>
      <c r="B746" s="17"/>
      <c r="C746" s="17"/>
      <c r="D746" s="17"/>
      <c r="E746" s="17"/>
      <c r="F746" s="62"/>
      <c r="G746" s="17"/>
      <c r="H746" s="17"/>
      <c r="I746" s="17"/>
      <c r="J746" s="17"/>
      <c r="K746" s="17"/>
    </row>
    <row r="747" spans="1:11" ht="13">
      <c r="A747" s="17"/>
      <c r="B747" s="17"/>
      <c r="C747" s="17"/>
      <c r="D747" s="17"/>
      <c r="E747" s="17"/>
      <c r="F747" s="62"/>
      <c r="G747" s="17"/>
      <c r="H747" s="17"/>
      <c r="I747" s="17"/>
      <c r="J747" s="17"/>
      <c r="K747" s="17"/>
    </row>
    <row r="748" spans="1:11" ht="13">
      <c r="A748" s="17"/>
      <c r="B748" s="17"/>
      <c r="C748" s="17"/>
      <c r="D748" s="17"/>
      <c r="E748" s="17"/>
      <c r="F748" s="62"/>
      <c r="G748" s="17"/>
      <c r="H748" s="17"/>
      <c r="I748" s="17"/>
      <c r="J748" s="17"/>
      <c r="K748" s="17"/>
    </row>
    <row r="749" spans="1:11" ht="13">
      <c r="A749" s="17"/>
      <c r="B749" s="17"/>
      <c r="C749" s="17"/>
      <c r="D749" s="17"/>
      <c r="E749" s="17"/>
      <c r="F749" s="62"/>
      <c r="G749" s="17"/>
      <c r="H749" s="17"/>
      <c r="I749" s="17"/>
      <c r="J749" s="17"/>
      <c r="K749" s="17"/>
    </row>
    <row r="750" spans="1:11" ht="13">
      <c r="A750" s="17"/>
      <c r="B750" s="17"/>
      <c r="C750" s="17"/>
      <c r="D750" s="17"/>
      <c r="E750" s="17"/>
      <c r="F750" s="62"/>
      <c r="G750" s="17"/>
      <c r="H750" s="17"/>
      <c r="I750" s="17"/>
      <c r="J750" s="17"/>
      <c r="K750" s="17"/>
    </row>
    <row r="751" spans="1:11" ht="13">
      <c r="A751" s="17"/>
      <c r="B751" s="17"/>
      <c r="C751" s="17"/>
      <c r="D751" s="17"/>
      <c r="E751" s="17"/>
      <c r="F751" s="62"/>
      <c r="G751" s="17"/>
      <c r="H751" s="17"/>
      <c r="I751" s="17"/>
      <c r="J751" s="17"/>
      <c r="K751" s="17"/>
    </row>
    <row r="752" spans="1:11" ht="13">
      <c r="A752" s="17"/>
      <c r="B752" s="17"/>
      <c r="C752" s="17"/>
      <c r="D752" s="17"/>
      <c r="E752" s="17"/>
      <c r="F752" s="62"/>
      <c r="G752" s="17"/>
      <c r="H752" s="17"/>
      <c r="I752" s="17"/>
      <c r="J752" s="17"/>
      <c r="K752" s="17"/>
    </row>
    <row r="753" spans="1:11" ht="13">
      <c r="A753" s="17"/>
      <c r="B753" s="17"/>
      <c r="C753" s="17"/>
      <c r="D753" s="17"/>
      <c r="E753" s="17"/>
      <c r="F753" s="62"/>
      <c r="G753" s="17"/>
      <c r="H753" s="17"/>
      <c r="I753" s="17"/>
      <c r="J753" s="17"/>
      <c r="K753" s="17"/>
    </row>
    <row r="754" spans="1:11" ht="13">
      <c r="A754" s="17"/>
      <c r="B754" s="17"/>
      <c r="C754" s="17"/>
      <c r="D754" s="17"/>
      <c r="E754" s="17"/>
      <c r="F754" s="62"/>
      <c r="G754" s="17"/>
      <c r="H754" s="17"/>
      <c r="I754" s="17"/>
      <c r="J754" s="17"/>
      <c r="K754" s="17"/>
    </row>
    <row r="755" spans="1:11" ht="13">
      <c r="A755" s="17"/>
      <c r="B755" s="17"/>
      <c r="C755" s="17"/>
      <c r="D755" s="17"/>
      <c r="E755" s="17"/>
      <c r="F755" s="62"/>
      <c r="G755" s="17"/>
      <c r="H755" s="17"/>
      <c r="I755" s="17"/>
      <c r="J755" s="17"/>
      <c r="K755" s="17"/>
    </row>
    <row r="756" spans="1:11" ht="13">
      <c r="A756" s="17"/>
      <c r="B756" s="17"/>
      <c r="C756" s="17"/>
      <c r="D756" s="17"/>
      <c r="E756" s="17"/>
      <c r="F756" s="62"/>
      <c r="G756" s="17"/>
      <c r="H756" s="17"/>
      <c r="I756" s="17"/>
      <c r="J756" s="17"/>
      <c r="K756" s="17"/>
    </row>
    <row r="757" spans="1:11" ht="13">
      <c r="A757" s="17"/>
      <c r="B757" s="17"/>
      <c r="C757" s="17"/>
      <c r="D757" s="17"/>
      <c r="E757" s="17"/>
      <c r="F757" s="62"/>
      <c r="G757" s="17"/>
      <c r="H757" s="17"/>
      <c r="I757" s="17"/>
      <c r="J757" s="17"/>
      <c r="K757" s="17"/>
    </row>
    <row r="758" spans="1:11" ht="13">
      <c r="A758" s="17"/>
      <c r="B758" s="17"/>
      <c r="C758" s="17"/>
      <c r="D758" s="17"/>
      <c r="E758" s="17"/>
      <c r="F758" s="62"/>
      <c r="G758" s="17"/>
      <c r="H758" s="17"/>
      <c r="I758" s="17"/>
      <c r="J758" s="17"/>
      <c r="K758" s="17"/>
    </row>
    <row r="759" spans="1:11" ht="13">
      <c r="A759" s="17"/>
      <c r="B759" s="17"/>
      <c r="C759" s="17"/>
      <c r="D759" s="17"/>
      <c r="E759" s="17"/>
      <c r="F759" s="62"/>
      <c r="G759" s="17"/>
      <c r="H759" s="17"/>
      <c r="I759" s="17"/>
      <c r="J759" s="17"/>
      <c r="K759" s="17"/>
    </row>
    <row r="760" spans="1:11" ht="13">
      <c r="A760" s="17"/>
      <c r="B760" s="17"/>
      <c r="C760" s="17"/>
      <c r="D760" s="17"/>
      <c r="E760" s="17"/>
      <c r="F760" s="62"/>
      <c r="G760" s="17"/>
      <c r="H760" s="17"/>
      <c r="I760" s="17"/>
      <c r="J760" s="17"/>
      <c r="K760" s="17"/>
    </row>
    <row r="761" spans="1:11" ht="13">
      <c r="A761" s="17"/>
      <c r="B761" s="17"/>
      <c r="C761" s="17"/>
      <c r="D761" s="17"/>
      <c r="E761" s="17"/>
      <c r="F761" s="62"/>
      <c r="G761" s="17"/>
      <c r="H761" s="17"/>
      <c r="I761" s="17"/>
      <c r="J761" s="17"/>
      <c r="K761" s="17"/>
    </row>
    <row r="762" spans="1:11" ht="13">
      <c r="A762" s="17"/>
      <c r="B762" s="17"/>
      <c r="C762" s="17"/>
      <c r="D762" s="17"/>
      <c r="E762" s="17"/>
      <c r="F762" s="62"/>
      <c r="G762" s="17"/>
      <c r="H762" s="17"/>
      <c r="I762" s="17"/>
      <c r="J762" s="17"/>
      <c r="K762" s="17"/>
    </row>
    <row r="763" spans="1:11" ht="13">
      <c r="A763" s="17"/>
      <c r="B763" s="17"/>
      <c r="C763" s="17"/>
      <c r="D763" s="17"/>
      <c r="E763" s="17"/>
      <c r="F763" s="62"/>
      <c r="G763" s="17"/>
      <c r="H763" s="17"/>
      <c r="I763" s="17"/>
      <c r="J763" s="17"/>
      <c r="K763" s="17"/>
    </row>
    <row r="764" spans="1:11" ht="13">
      <c r="A764" s="17"/>
      <c r="B764" s="17"/>
      <c r="C764" s="17"/>
      <c r="D764" s="17"/>
      <c r="E764" s="17"/>
      <c r="F764" s="62"/>
      <c r="G764" s="17"/>
      <c r="H764" s="17"/>
      <c r="I764" s="17"/>
      <c r="J764" s="17"/>
      <c r="K764" s="17"/>
    </row>
    <row r="765" spans="1:11" ht="13">
      <c r="A765" s="17"/>
      <c r="B765" s="17"/>
      <c r="C765" s="17"/>
      <c r="D765" s="17"/>
      <c r="E765" s="17"/>
      <c r="F765" s="62"/>
      <c r="G765" s="17"/>
      <c r="H765" s="17"/>
      <c r="I765" s="17"/>
      <c r="J765" s="17"/>
      <c r="K765" s="17"/>
    </row>
    <row r="766" spans="1:11" ht="13">
      <c r="A766" s="17"/>
      <c r="B766" s="17"/>
      <c r="C766" s="17"/>
      <c r="D766" s="17"/>
      <c r="E766" s="17"/>
      <c r="F766" s="62"/>
      <c r="G766" s="17"/>
      <c r="H766" s="17"/>
      <c r="I766" s="17"/>
      <c r="J766" s="17"/>
      <c r="K766" s="17"/>
    </row>
    <row r="767" spans="1:11" ht="13">
      <c r="A767" s="17"/>
      <c r="B767" s="17"/>
      <c r="C767" s="17"/>
      <c r="D767" s="17"/>
      <c r="E767" s="17"/>
      <c r="F767" s="62"/>
      <c r="G767" s="17"/>
      <c r="H767" s="17"/>
      <c r="I767" s="17"/>
      <c r="J767" s="17"/>
      <c r="K767" s="17"/>
    </row>
    <row r="768" spans="1:11" ht="13">
      <c r="A768" s="17"/>
      <c r="B768" s="17"/>
      <c r="C768" s="17"/>
      <c r="D768" s="17"/>
      <c r="E768" s="17"/>
      <c r="F768" s="62"/>
      <c r="G768" s="17"/>
      <c r="H768" s="17"/>
      <c r="I768" s="17"/>
      <c r="J768" s="17"/>
      <c r="K768" s="17"/>
    </row>
    <row r="769" spans="1:11" ht="13">
      <c r="A769" s="17"/>
      <c r="B769" s="17"/>
      <c r="C769" s="17"/>
      <c r="D769" s="17"/>
      <c r="E769" s="17"/>
      <c r="F769" s="62"/>
      <c r="G769" s="17"/>
      <c r="H769" s="17"/>
      <c r="I769" s="17"/>
      <c r="J769" s="17"/>
      <c r="K769" s="17"/>
    </row>
    <row r="770" spans="1:11" ht="13">
      <c r="A770" s="17"/>
      <c r="B770" s="17"/>
      <c r="C770" s="17"/>
      <c r="D770" s="17"/>
      <c r="E770" s="17"/>
      <c r="F770" s="62"/>
      <c r="G770" s="17"/>
      <c r="H770" s="17"/>
      <c r="I770" s="17"/>
      <c r="J770" s="17"/>
      <c r="K770" s="17"/>
    </row>
    <row r="771" spans="1:11" ht="13">
      <c r="A771" s="17"/>
      <c r="B771" s="17"/>
      <c r="C771" s="17"/>
      <c r="D771" s="17"/>
      <c r="E771" s="17"/>
      <c r="F771" s="62"/>
      <c r="G771" s="17"/>
      <c r="H771" s="17"/>
      <c r="I771" s="17"/>
      <c r="J771" s="17"/>
      <c r="K771" s="17"/>
    </row>
    <row r="772" spans="1:11" ht="13">
      <c r="A772" s="17"/>
      <c r="B772" s="17"/>
      <c r="C772" s="17"/>
      <c r="D772" s="17"/>
      <c r="E772" s="17"/>
      <c r="F772" s="62"/>
      <c r="G772" s="17"/>
      <c r="H772" s="17"/>
      <c r="I772" s="17"/>
      <c r="J772" s="17"/>
      <c r="K772" s="17"/>
    </row>
    <row r="773" spans="1:11" ht="13">
      <c r="A773" s="17"/>
      <c r="B773" s="17"/>
      <c r="C773" s="17"/>
      <c r="D773" s="17"/>
      <c r="E773" s="17"/>
      <c r="F773" s="62"/>
      <c r="G773" s="17"/>
      <c r="H773" s="17"/>
      <c r="I773" s="17"/>
      <c r="J773" s="17"/>
      <c r="K773" s="17"/>
    </row>
    <row r="774" spans="1:11" ht="13">
      <c r="A774" s="17"/>
      <c r="B774" s="17"/>
      <c r="C774" s="17"/>
      <c r="D774" s="17"/>
      <c r="E774" s="17"/>
      <c r="F774" s="62"/>
      <c r="G774" s="17"/>
      <c r="H774" s="17"/>
      <c r="I774" s="17"/>
      <c r="J774" s="17"/>
      <c r="K774" s="17"/>
    </row>
    <row r="775" spans="1:11" ht="13">
      <c r="A775" s="17"/>
      <c r="B775" s="17"/>
      <c r="C775" s="17"/>
      <c r="D775" s="17"/>
      <c r="E775" s="17"/>
      <c r="F775" s="62"/>
      <c r="G775" s="17"/>
      <c r="H775" s="17"/>
      <c r="I775" s="17"/>
      <c r="J775" s="17"/>
      <c r="K775" s="17"/>
    </row>
    <row r="776" spans="1:11" ht="13">
      <c r="A776" s="17"/>
      <c r="B776" s="17"/>
      <c r="C776" s="17"/>
      <c r="D776" s="17"/>
      <c r="E776" s="17"/>
      <c r="F776" s="62"/>
      <c r="G776" s="17"/>
      <c r="H776" s="17"/>
      <c r="I776" s="17"/>
      <c r="J776" s="17"/>
      <c r="K776" s="17"/>
    </row>
    <row r="777" spans="1:11" ht="13">
      <c r="A777" s="17"/>
      <c r="B777" s="17"/>
      <c r="C777" s="17"/>
      <c r="D777" s="17"/>
      <c r="E777" s="17"/>
      <c r="F777" s="62"/>
      <c r="G777" s="17"/>
      <c r="H777" s="17"/>
      <c r="I777" s="17"/>
      <c r="J777" s="17"/>
      <c r="K777" s="17"/>
    </row>
    <row r="778" spans="1:11" ht="13">
      <c r="A778" s="17"/>
      <c r="B778" s="17"/>
      <c r="C778" s="17"/>
      <c r="D778" s="17"/>
      <c r="E778" s="17"/>
      <c r="F778" s="62"/>
      <c r="G778" s="17"/>
      <c r="H778" s="17"/>
      <c r="I778" s="17"/>
      <c r="J778" s="17"/>
      <c r="K778" s="17"/>
    </row>
    <row r="779" spans="1:11" ht="13">
      <c r="A779" s="17"/>
      <c r="B779" s="17"/>
      <c r="C779" s="17"/>
      <c r="D779" s="17"/>
      <c r="E779" s="17"/>
      <c r="F779" s="62"/>
      <c r="G779" s="17"/>
      <c r="H779" s="17"/>
      <c r="I779" s="17"/>
      <c r="J779" s="17"/>
      <c r="K779" s="17"/>
    </row>
    <row r="780" spans="1:11" ht="13">
      <c r="A780" s="17"/>
      <c r="B780" s="17"/>
      <c r="C780" s="17"/>
      <c r="D780" s="17"/>
      <c r="E780" s="17"/>
      <c r="F780" s="62"/>
      <c r="G780" s="17"/>
      <c r="H780" s="17"/>
      <c r="I780" s="17"/>
      <c r="J780" s="17"/>
      <c r="K780" s="17"/>
    </row>
    <row r="781" spans="1:11" ht="13">
      <c r="A781" s="17"/>
      <c r="B781" s="17"/>
      <c r="C781" s="17"/>
      <c r="D781" s="17"/>
      <c r="E781" s="17"/>
      <c r="F781" s="62"/>
      <c r="G781" s="17"/>
      <c r="H781" s="17"/>
      <c r="I781" s="17"/>
      <c r="J781" s="17"/>
      <c r="K781" s="17"/>
    </row>
    <row r="782" spans="1:11" ht="13">
      <c r="A782" s="17"/>
      <c r="B782" s="17"/>
      <c r="C782" s="17"/>
      <c r="D782" s="17"/>
      <c r="E782" s="17"/>
      <c r="F782" s="62"/>
      <c r="G782" s="17"/>
      <c r="H782" s="17"/>
      <c r="I782" s="17"/>
      <c r="J782" s="17"/>
      <c r="K782" s="17"/>
    </row>
    <row r="783" spans="1:11" ht="13">
      <c r="A783" s="17"/>
      <c r="B783" s="17"/>
      <c r="C783" s="17"/>
      <c r="D783" s="17"/>
      <c r="E783" s="17"/>
      <c r="F783" s="62"/>
      <c r="G783" s="17"/>
      <c r="H783" s="17"/>
      <c r="I783" s="17"/>
      <c r="J783" s="17"/>
      <c r="K783" s="17"/>
    </row>
    <row r="784" spans="1:11" ht="13">
      <c r="A784" s="17"/>
      <c r="B784" s="17"/>
      <c r="C784" s="17"/>
      <c r="D784" s="17"/>
      <c r="E784" s="17"/>
      <c r="F784" s="62"/>
      <c r="G784" s="17"/>
      <c r="H784" s="17"/>
      <c r="I784" s="17"/>
      <c r="J784" s="17"/>
      <c r="K784" s="17"/>
    </row>
    <row r="785" spans="1:11" ht="13">
      <c r="A785" s="17"/>
      <c r="B785" s="17"/>
      <c r="C785" s="17"/>
      <c r="D785" s="17"/>
      <c r="E785" s="17"/>
      <c r="F785" s="62"/>
      <c r="G785" s="17"/>
      <c r="H785" s="17"/>
      <c r="I785" s="17"/>
      <c r="J785" s="17"/>
      <c r="K785" s="17"/>
    </row>
    <row r="786" spans="1:11" ht="13">
      <c r="A786" s="17"/>
      <c r="B786" s="17"/>
      <c r="C786" s="17"/>
      <c r="D786" s="17"/>
      <c r="E786" s="17"/>
      <c r="F786" s="62"/>
      <c r="G786" s="17"/>
      <c r="H786" s="17"/>
      <c r="I786" s="17"/>
      <c r="J786" s="17"/>
      <c r="K786" s="17"/>
    </row>
    <row r="787" spans="1:11" ht="13">
      <c r="A787" s="17"/>
      <c r="B787" s="17"/>
      <c r="C787" s="17"/>
      <c r="D787" s="17"/>
      <c r="E787" s="17"/>
      <c r="F787" s="62"/>
      <c r="G787" s="17"/>
      <c r="H787" s="17"/>
      <c r="I787" s="17"/>
      <c r="J787" s="17"/>
      <c r="K787" s="17"/>
    </row>
    <row r="788" spans="1:11" ht="13">
      <c r="A788" s="17"/>
      <c r="B788" s="17"/>
      <c r="C788" s="17"/>
      <c r="D788" s="17"/>
      <c r="E788" s="17"/>
      <c r="F788" s="62"/>
      <c r="G788" s="17"/>
      <c r="H788" s="17"/>
      <c r="I788" s="17"/>
      <c r="J788" s="17"/>
      <c r="K788" s="17"/>
    </row>
    <row r="789" spans="1:11" ht="13">
      <c r="A789" s="17"/>
      <c r="B789" s="17"/>
      <c r="C789" s="17"/>
      <c r="D789" s="17"/>
      <c r="E789" s="17"/>
      <c r="F789" s="62"/>
      <c r="G789" s="17"/>
      <c r="H789" s="17"/>
      <c r="I789" s="17"/>
      <c r="J789" s="17"/>
      <c r="K789" s="17"/>
    </row>
    <row r="790" spans="1:11" ht="13">
      <c r="A790" s="17"/>
      <c r="B790" s="17"/>
      <c r="C790" s="17"/>
      <c r="D790" s="17"/>
      <c r="E790" s="17"/>
      <c r="F790" s="62"/>
      <c r="G790" s="17"/>
      <c r="H790" s="17"/>
      <c r="I790" s="17"/>
      <c r="J790" s="17"/>
      <c r="K790" s="17"/>
    </row>
    <row r="791" spans="1:11" ht="13">
      <c r="A791" s="17"/>
      <c r="B791" s="17"/>
      <c r="C791" s="17"/>
      <c r="D791" s="17"/>
      <c r="E791" s="17"/>
      <c r="F791" s="62"/>
      <c r="G791" s="17"/>
      <c r="H791" s="17"/>
      <c r="I791" s="17"/>
      <c r="J791" s="17"/>
      <c r="K791" s="17"/>
    </row>
    <row r="792" spans="1:11" ht="13">
      <c r="A792" s="17"/>
      <c r="B792" s="17"/>
      <c r="C792" s="17"/>
      <c r="D792" s="17"/>
      <c r="E792" s="17"/>
      <c r="F792" s="62"/>
      <c r="G792" s="17"/>
      <c r="H792" s="17"/>
      <c r="I792" s="17"/>
      <c r="J792" s="17"/>
      <c r="K792" s="17"/>
    </row>
    <row r="793" spans="1:11" ht="13">
      <c r="A793" s="17"/>
      <c r="B793" s="17"/>
      <c r="C793" s="17"/>
      <c r="D793" s="17"/>
      <c r="E793" s="17"/>
      <c r="F793" s="62"/>
      <c r="G793" s="17"/>
      <c r="H793" s="17"/>
      <c r="I793" s="17"/>
      <c r="J793" s="17"/>
      <c r="K793" s="17"/>
    </row>
    <row r="794" spans="1:11" ht="13">
      <c r="A794" s="17"/>
      <c r="B794" s="17"/>
      <c r="C794" s="17"/>
      <c r="D794" s="17"/>
      <c r="E794" s="17"/>
      <c r="F794" s="62"/>
      <c r="G794" s="17"/>
      <c r="H794" s="17"/>
      <c r="I794" s="17"/>
      <c r="J794" s="17"/>
      <c r="K794" s="17"/>
    </row>
    <row r="795" spans="1:11" ht="13">
      <c r="A795" s="17"/>
      <c r="B795" s="17"/>
      <c r="C795" s="17"/>
      <c r="D795" s="17"/>
      <c r="E795" s="17"/>
      <c r="F795" s="62"/>
      <c r="G795" s="17"/>
      <c r="H795" s="17"/>
      <c r="I795" s="17"/>
      <c r="J795" s="17"/>
      <c r="K795" s="17"/>
    </row>
    <row r="796" spans="1:11" ht="13">
      <c r="A796" s="17"/>
      <c r="B796" s="17"/>
      <c r="C796" s="17"/>
      <c r="D796" s="17"/>
      <c r="E796" s="17"/>
      <c r="F796" s="62"/>
      <c r="G796" s="17"/>
      <c r="H796" s="17"/>
      <c r="I796" s="17"/>
      <c r="J796" s="17"/>
      <c r="K796" s="17"/>
    </row>
    <row r="797" spans="1:11" ht="13">
      <c r="A797" s="17"/>
      <c r="B797" s="17"/>
      <c r="C797" s="17"/>
      <c r="D797" s="17"/>
      <c r="E797" s="17"/>
      <c r="F797" s="62"/>
      <c r="G797" s="17"/>
      <c r="H797" s="17"/>
      <c r="I797" s="17"/>
      <c r="J797" s="17"/>
      <c r="K797" s="17"/>
    </row>
    <row r="798" spans="1:11" ht="13">
      <c r="A798" s="17"/>
      <c r="B798" s="17"/>
      <c r="C798" s="17"/>
      <c r="D798" s="17"/>
      <c r="E798" s="17"/>
      <c r="F798" s="62"/>
      <c r="G798" s="17"/>
      <c r="H798" s="17"/>
      <c r="I798" s="17"/>
      <c r="J798" s="17"/>
      <c r="K798" s="17"/>
    </row>
    <row r="799" spans="1:11" ht="13">
      <c r="A799" s="17"/>
      <c r="B799" s="17"/>
      <c r="C799" s="17"/>
      <c r="D799" s="17"/>
      <c r="E799" s="17"/>
      <c r="F799" s="62"/>
      <c r="G799" s="17"/>
      <c r="H799" s="17"/>
      <c r="I799" s="17"/>
      <c r="J799" s="17"/>
      <c r="K799" s="17"/>
    </row>
    <row r="800" spans="1:11" ht="13">
      <c r="A800" s="17"/>
      <c r="B800" s="17"/>
      <c r="C800" s="17"/>
      <c r="D800" s="17"/>
      <c r="E800" s="17"/>
      <c r="F800" s="62"/>
      <c r="G800" s="17"/>
      <c r="H800" s="17"/>
      <c r="I800" s="17"/>
      <c r="J800" s="17"/>
      <c r="K800" s="17"/>
    </row>
    <row r="801" spans="1:11" ht="13">
      <c r="A801" s="17"/>
      <c r="B801" s="17"/>
      <c r="C801" s="17"/>
      <c r="D801" s="17"/>
      <c r="E801" s="17"/>
      <c r="F801" s="62"/>
      <c r="G801" s="17"/>
      <c r="H801" s="17"/>
      <c r="I801" s="17"/>
      <c r="J801" s="17"/>
      <c r="K801" s="17"/>
    </row>
    <row r="802" spans="1:11" ht="13">
      <c r="A802" s="17"/>
      <c r="B802" s="17"/>
      <c r="C802" s="17"/>
      <c r="D802" s="17"/>
      <c r="E802" s="17"/>
      <c r="F802" s="62"/>
      <c r="G802" s="17"/>
      <c r="H802" s="17"/>
      <c r="I802" s="17"/>
      <c r="J802" s="17"/>
      <c r="K802" s="17"/>
    </row>
    <row r="803" spans="1:11" ht="13">
      <c r="A803" s="17"/>
      <c r="B803" s="17"/>
      <c r="C803" s="17"/>
      <c r="D803" s="17"/>
      <c r="E803" s="17"/>
      <c r="F803" s="62"/>
      <c r="G803" s="17"/>
      <c r="H803" s="17"/>
      <c r="I803" s="17"/>
      <c r="J803" s="17"/>
      <c r="K803" s="17"/>
    </row>
    <row r="804" spans="1:11" ht="13">
      <c r="A804" s="17"/>
      <c r="B804" s="17"/>
      <c r="C804" s="17"/>
      <c r="D804" s="17"/>
      <c r="E804" s="17"/>
      <c r="F804" s="62"/>
      <c r="G804" s="17"/>
      <c r="H804" s="17"/>
      <c r="I804" s="17"/>
      <c r="J804" s="17"/>
      <c r="K804" s="17"/>
    </row>
    <row r="805" spans="1:11" ht="13">
      <c r="A805" s="17"/>
      <c r="B805" s="17"/>
      <c r="C805" s="17"/>
      <c r="D805" s="17"/>
      <c r="E805" s="17"/>
      <c r="F805" s="62"/>
      <c r="G805" s="17"/>
      <c r="H805" s="17"/>
      <c r="I805" s="17"/>
      <c r="J805" s="17"/>
      <c r="K805" s="17"/>
    </row>
    <row r="806" spans="1:11" ht="13">
      <c r="A806" s="17"/>
      <c r="B806" s="17"/>
      <c r="C806" s="17"/>
      <c r="D806" s="17"/>
      <c r="E806" s="17"/>
      <c r="F806" s="62"/>
      <c r="G806" s="17"/>
      <c r="H806" s="17"/>
      <c r="I806" s="17"/>
      <c r="J806" s="17"/>
      <c r="K806" s="17"/>
    </row>
    <row r="807" spans="1:11" ht="13">
      <c r="A807" s="17"/>
      <c r="B807" s="17"/>
      <c r="C807" s="17"/>
      <c r="D807" s="17"/>
      <c r="E807" s="17"/>
      <c r="F807" s="62"/>
      <c r="G807" s="17"/>
      <c r="H807" s="17"/>
      <c r="I807" s="17"/>
      <c r="J807" s="17"/>
      <c r="K807" s="17"/>
    </row>
    <row r="808" spans="1:11" ht="13">
      <c r="A808" s="17"/>
      <c r="B808" s="17"/>
      <c r="C808" s="17"/>
      <c r="D808" s="17"/>
      <c r="E808" s="17"/>
      <c r="F808" s="62"/>
      <c r="G808" s="17"/>
      <c r="H808" s="17"/>
      <c r="I808" s="17"/>
      <c r="J808" s="17"/>
      <c r="K808" s="17"/>
    </row>
    <row r="809" spans="1:11" ht="13">
      <c r="A809" s="17"/>
      <c r="B809" s="17"/>
      <c r="C809" s="17"/>
      <c r="D809" s="17"/>
      <c r="E809" s="17"/>
      <c r="F809" s="62"/>
      <c r="G809" s="17"/>
      <c r="H809" s="17"/>
      <c r="I809" s="17"/>
      <c r="J809" s="17"/>
      <c r="K809" s="17"/>
    </row>
    <row r="810" spans="1:11" ht="13">
      <c r="A810" s="17"/>
      <c r="B810" s="17"/>
      <c r="C810" s="17"/>
      <c r="D810" s="17"/>
      <c r="E810" s="17"/>
      <c r="F810" s="62"/>
      <c r="G810" s="17"/>
      <c r="H810" s="17"/>
      <c r="I810" s="17"/>
      <c r="J810" s="17"/>
      <c r="K810" s="17"/>
    </row>
    <row r="811" spans="1:11" ht="13">
      <c r="A811" s="17"/>
      <c r="B811" s="17"/>
      <c r="C811" s="17"/>
      <c r="D811" s="17"/>
      <c r="E811" s="17"/>
      <c r="F811" s="62"/>
      <c r="G811" s="17"/>
      <c r="H811" s="17"/>
      <c r="I811" s="17"/>
      <c r="J811" s="17"/>
      <c r="K811" s="17"/>
    </row>
    <row r="812" spans="1:11" ht="13">
      <c r="A812" s="17"/>
      <c r="B812" s="17"/>
      <c r="C812" s="17"/>
      <c r="D812" s="17"/>
      <c r="E812" s="17"/>
      <c r="F812" s="62"/>
      <c r="G812" s="17"/>
      <c r="H812" s="17"/>
      <c r="I812" s="17"/>
      <c r="J812" s="17"/>
      <c r="K812" s="17"/>
    </row>
    <row r="813" spans="1:11" ht="13">
      <c r="A813" s="17"/>
      <c r="B813" s="17"/>
      <c r="C813" s="17"/>
      <c r="D813" s="17"/>
      <c r="E813" s="17"/>
      <c r="F813" s="62"/>
      <c r="G813" s="17"/>
      <c r="H813" s="17"/>
      <c r="I813" s="17"/>
      <c r="J813" s="17"/>
      <c r="K813" s="17"/>
    </row>
    <row r="814" spans="1:11" ht="13">
      <c r="A814" s="17"/>
      <c r="B814" s="17"/>
      <c r="C814" s="17"/>
      <c r="D814" s="17"/>
      <c r="E814" s="17"/>
      <c r="F814" s="62"/>
      <c r="G814" s="17"/>
      <c r="H814" s="17"/>
      <c r="I814" s="17"/>
      <c r="J814" s="17"/>
      <c r="K814" s="17"/>
    </row>
    <row r="815" spans="1:11" ht="13">
      <c r="A815" s="17"/>
      <c r="B815" s="17"/>
      <c r="C815" s="17"/>
      <c r="D815" s="17"/>
      <c r="E815" s="17"/>
      <c r="F815" s="62"/>
      <c r="G815" s="17"/>
      <c r="H815" s="17"/>
      <c r="I815" s="17"/>
      <c r="J815" s="17"/>
      <c r="K815" s="17"/>
    </row>
    <row r="816" spans="1:11" ht="13">
      <c r="A816" s="17"/>
      <c r="B816" s="17"/>
      <c r="C816" s="17"/>
      <c r="D816" s="17"/>
      <c r="E816" s="17"/>
      <c r="F816" s="62"/>
      <c r="G816" s="17"/>
      <c r="H816" s="17"/>
      <c r="I816" s="17"/>
      <c r="J816" s="17"/>
      <c r="K816" s="17"/>
    </row>
    <row r="817" spans="1:11" ht="13">
      <c r="A817" s="17"/>
      <c r="B817" s="17"/>
      <c r="C817" s="17"/>
      <c r="D817" s="17"/>
      <c r="E817" s="17"/>
      <c r="F817" s="62"/>
      <c r="G817" s="17"/>
      <c r="H817" s="17"/>
      <c r="I817" s="17"/>
      <c r="J817" s="17"/>
      <c r="K817" s="17"/>
    </row>
    <row r="818" spans="1:11" ht="13">
      <c r="A818" s="17"/>
      <c r="B818" s="17"/>
      <c r="C818" s="17"/>
      <c r="D818" s="17"/>
      <c r="E818" s="17"/>
      <c r="F818" s="62"/>
      <c r="G818" s="17"/>
      <c r="H818" s="17"/>
      <c r="I818" s="17"/>
      <c r="J818" s="17"/>
      <c r="K818" s="17"/>
    </row>
    <row r="819" spans="1:11" ht="13">
      <c r="A819" s="17"/>
      <c r="B819" s="17"/>
      <c r="C819" s="17"/>
      <c r="D819" s="17"/>
      <c r="E819" s="17"/>
      <c r="F819" s="62"/>
      <c r="G819" s="17"/>
      <c r="H819" s="17"/>
      <c r="I819" s="17"/>
      <c r="J819" s="17"/>
      <c r="K819" s="17"/>
    </row>
    <row r="820" spans="1:11" ht="13">
      <c r="A820" s="17"/>
      <c r="B820" s="17"/>
      <c r="C820" s="17"/>
      <c r="D820" s="17"/>
      <c r="E820" s="17"/>
      <c r="F820" s="62"/>
      <c r="G820" s="17"/>
      <c r="H820" s="17"/>
      <c r="I820" s="17"/>
      <c r="J820" s="17"/>
      <c r="K820" s="17"/>
    </row>
    <row r="821" spans="1:11" ht="13">
      <c r="A821" s="17"/>
      <c r="B821" s="17"/>
      <c r="C821" s="17"/>
      <c r="D821" s="17"/>
      <c r="E821" s="17"/>
      <c r="F821" s="62"/>
      <c r="G821" s="17"/>
      <c r="H821" s="17"/>
      <c r="I821" s="17"/>
      <c r="J821" s="17"/>
      <c r="K821" s="17"/>
    </row>
    <row r="822" spans="1:11" ht="13">
      <c r="A822" s="17"/>
      <c r="B822" s="17"/>
      <c r="C822" s="17"/>
      <c r="D822" s="17"/>
      <c r="E822" s="17"/>
      <c r="F822" s="62"/>
      <c r="G822" s="17"/>
      <c r="H822" s="17"/>
      <c r="I822" s="17"/>
      <c r="J822" s="17"/>
      <c r="K822" s="17"/>
    </row>
    <row r="823" spans="1:11" ht="13">
      <c r="A823" s="17"/>
      <c r="B823" s="17"/>
      <c r="C823" s="17"/>
      <c r="D823" s="17"/>
      <c r="E823" s="17"/>
      <c r="F823" s="62"/>
      <c r="G823" s="17"/>
      <c r="H823" s="17"/>
      <c r="I823" s="17"/>
      <c r="J823" s="17"/>
      <c r="K823" s="17"/>
    </row>
    <row r="824" spans="1:11" ht="13">
      <c r="A824" s="17"/>
      <c r="B824" s="17"/>
      <c r="C824" s="17"/>
      <c r="D824" s="17"/>
      <c r="E824" s="17"/>
      <c r="F824" s="62"/>
      <c r="G824" s="17"/>
      <c r="H824" s="17"/>
      <c r="I824" s="17"/>
      <c r="J824" s="17"/>
      <c r="K824" s="17"/>
    </row>
    <row r="825" spans="1:11" ht="13">
      <c r="A825" s="17"/>
      <c r="B825" s="17"/>
      <c r="C825" s="17"/>
      <c r="D825" s="17"/>
      <c r="E825" s="17"/>
      <c r="F825" s="62"/>
      <c r="G825" s="17"/>
      <c r="H825" s="17"/>
      <c r="I825" s="17"/>
      <c r="J825" s="17"/>
      <c r="K825" s="17"/>
    </row>
    <row r="826" spans="1:11" ht="13">
      <c r="A826" s="17"/>
      <c r="B826" s="17"/>
      <c r="C826" s="17"/>
      <c r="D826" s="17"/>
      <c r="E826" s="17"/>
      <c r="F826" s="62"/>
      <c r="G826" s="17"/>
      <c r="H826" s="17"/>
      <c r="I826" s="17"/>
      <c r="J826" s="17"/>
      <c r="K826" s="17"/>
    </row>
    <row r="827" spans="1:11" ht="13">
      <c r="A827" s="17"/>
      <c r="B827" s="17"/>
      <c r="C827" s="17"/>
      <c r="D827" s="17"/>
      <c r="E827" s="17"/>
      <c r="F827" s="62"/>
      <c r="G827" s="17"/>
      <c r="H827" s="17"/>
      <c r="I827" s="17"/>
      <c r="J827" s="17"/>
      <c r="K827" s="17"/>
    </row>
    <row r="828" spans="1:11" ht="13">
      <c r="A828" s="17"/>
      <c r="B828" s="17"/>
      <c r="C828" s="17"/>
      <c r="D828" s="17"/>
      <c r="E828" s="17"/>
      <c r="F828" s="62"/>
      <c r="G828" s="17"/>
      <c r="H828" s="17"/>
      <c r="I828" s="17"/>
      <c r="J828" s="17"/>
      <c r="K828" s="17"/>
    </row>
    <row r="829" spans="1:11" ht="13">
      <c r="A829" s="17"/>
      <c r="B829" s="17"/>
      <c r="C829" s="17"/>
      <c r="D829" s="17"/>
      <c r="E829" s="17"/>
      <c r="F829" s="62"/>
      <c r="G829" s="17"/>
      <c r="H829" s="17"/>
      <c r="I829" s="17"/>
      <c r="J829" s="17"/>
      <c r="K829" s="17"/>
    </row>
    <row r="830" spans="1:11" ht="13">
      <c r="A830" s="17"/>
      <c r="B830" s="17"/>
      <c r="C830" s="17"/>
      <c r="D830" s="17"/>
      <c r="E830" s="17"/>
      <c r="F830" s="62"/>
      <c r="G830" s="17"/>
      <c r="H830" s="17"/>
      <c r="I830" s="17"/>
      <c r="J830" s="17"/>
      <c r="K830" s="17"/>
    </row>
    <row r="831" spans="1:11" ht="13">
      <c r="A831" s="17"/>
      <c r="B831" s="17"/>
      <c r="C831" s="17"/>
      <c r="D831" s="17"/>
      <c r="E831" s="17"/>
      <c r="F831" s="62"/>
      <c r="G831" s="17"/>
      <c r="H831" s="17"/>
      <c r="I831" s="17"/>
      <c r="J831" s="17"/>
      <c r="K831" s="17"/>
    </row>
    <row r="832" spans="1:11" ht="13">
      <c r="A832" s="17"/>
      <c r="B832" s="17"/>
      <c r="C832" s="17"/>
      <c r="D832" s="17"/>
      <c r="E832" s="17"/>
      <c r="F832" s="62"/>
      <c r="G832" s="17"/>
      <c r="H832" s="17"/>
      <c r="I832" s="17"/>
      <c r="J832" s="17"/>
      <c r="K832" s="17"/>
    </row>
    <row r="833" spans="1:11" ht="13">
      <c r="A833" s="17"/>
      <c r="B833" s="17"/>
      <c r="C833" s="17"/>
      <c r="D833" s="17"/>
      <c r="E833" s="17"/>
      <c r="F833" s="62"/>
      <c r="G833" s="17"/>
      <c r="H833" s="17"/>
      <c r="I833" s="17"/>
      <c r="J833" s="17"/>
      <c r="K833" s="17"/>
    </row>
    <row r="834" spans="1:11" ht="13">
      <c r="A834" s="17"/>
      <c r="B834" s="17"/>
      <c r="C834" s="17"/>
      <c r="D834" s="17"/>
      <c r="E834" s="17"/>
      <c r="F834" s="62"/>
      <c r="G834" s="17"/>
      <c r="H834" s="17"/>
      <c r="I834" s="17"/>
      <c r="J834" s="17"/>
      <c r="K834" s="17"/>
    </row>
    <row r="835" spans="1:11" ht="13">
      <c r="A835" s="17"/>
      <c r="B835" s="17"/>
      <c r="C835" s="17"/>
      <c r="D835" s="17"/>
      <c r="E835" s="17"/>
      <c r="F835" s="62"/>
      <c r="G835" s="17"/>
      <c r="H835" s="17"/>
      <c r="I835" s="17"/>
      <c r="J835" s="17"/>
      <c r="K835" s="17"/>
    </row>
    <row r="836" spans="1:11" ht="13">
      <c r="A836" s="17"/>
      <c r="B836" s="17"/>
      <c r="C836" s="17"/>
      <c r="D836" s="17"/>
      <c r="E836" s="17"/>
      <c r="F836" s="62"/>
      <c r="G836" s="17"/>
      <c r="H836" s="17"/>
      <c r="I836" s="17"/>
      <c r="J836" s="17"/>
      <c r="K836" s="17"/>
    </row>
    <row r="837" spans="1:11" ht="13">
      <c r="A837" s="17"/>
      <c r="B837" s="17"/>
      <c r="C837" s="17"/>
      <c r="D837" s="17"/>
      <c r="E837" s="17"/>
      <c r="F837" s="62"/>
      <c r="G837" s="17"/>
      <c r="H837" s="17"/>
      <c r="I837" s="17"/>
      <c r="J837" s="17"/>
      <c r="K837" s="17"/>
    </row>
    <row r="838" spans="1:11" ht="13">
      <c r="A838" s="17"/>
      <c r="B838" s="17"/>
      <c r="C838" s="17"/>
      <c r="D838" s="17"/>
      <c r="E838" s="17"/>
      <c r="F838" s="62"/>
      <c r="G838" s="17"/>
      <c r="H838" s="17"/>
      <c r="I838" s="17"/>
      <c r="J838" s="17"/>
      <c r="K838" s="17"/>
    </row>
    <row r="839" spans="1:11" ht="13">
      <c r="A839" s="17"/>
      <c r="B839" s="17"/>
      <c r="C839" s="17"/>
      <c r="D839" s="17"/>
      <c r="E839" s="17"/>
      <c r="F839" s="62"/>
      <c r="G839" s="17"/>
      <c r="H839" s="17"/>
      <c r="I839" s="17"/>
      <c r="J839" s="17"/>
      <c r="K839" s="17"/>
    </row>
    <row r="840" spans="1:11" ht="13">
      <c r="A840" s="17"/>
      <c r="B840" s="17"/>
      <c r="C840" s="17"/>
      <c r="D840" s="17"/>
      <c r="E840" s="17"/>
      <c r="F840" s="62"/>
      <c r="G840" s="17"/>
      <c r="H840" s="17"/>
      <c r="I840" s="17"/>
      <c r="J840" s="17"/>
      <c r="K840" s="17"/>
    </row>
    <row r="841" spans="1:11" ht="13">
      <c r="A841" s="17"/>
      <c r="B841" s="17"/>
      <c r="C841" s="17"/>
      <c r="D841" s="17"/>
      <c r="E841" s="17"/>
      <c r="F841" s="62"/>
      <c r="G841" s="17"/>
      <c r="H841" s="17"/>
      <c r="I841" s="17"/>
      <c r="J841" s="17"/>
      <c r="K841" s="17"/>
    </row>
    <row r="842" spans="1:11" ht="13">
      <c r="A842" s="17"/>
      <c r="B842" s="17"/>
      <c r="C842" s="17"/>
      <c r="D842" s="17"/>
      <c r="E842" s="17"/>
      <c r="F842" s="62"/>
      <c r="G842" s="17"/>
      <c r="H842" s="17"/>
      <c r="I842" s="17"/>
      <c r="J842" s="17"/>
      <c r="K842" s="17"/>
    </row>
    <row r="843" spans="1:11" ht="13">
      <c r="A843" s="17"/>
      <c r="B843" s="17"/>
      <c r="C843" s="17"/>
      <c r="D843" s="17"/>
      <c r="E843" s="17"/>
      <c r="F843" s="62"/>
      <c r="G843" s="17"/>
      <c r="H843" s="17"/>
      <c r="I843" s="17"/>
      <c r="J843" s="17"/>
      <c r="K843" s="17"/>
    </row>
    <row r="844" spans="1:11" ht="13">
      <c r="A844" s="17"/>
      <c r="B844" s="17"/>
      <c r="C844" s="17"/>
      <c r="D844" s="17"/>
      <c r="E844" s="17"/>
      <c r="F844" s="62"/>
      <c r="G844" s="17"/>
      <c r="H844" s="17"/>
      <c r="I844" s="17"/>
      <c r="J844" s="17"/>
      <c r="K844" s="17"/>
    </row>
    <row r="845" spans="1:11" ht="13">
      <c r="A845" s="17"/>
      <c r="B845" s="17"/>
      <c r="C845" s="17"/>
      <c r="D845" s="17"/>
      <c r="E845" s="17"/>
      <c r="F845" s="62"/>
      <c r="G845" s="17"/>
      <c r="H845" s="17"/>
      <c r="I845" s="17"/>
      <c r="J845" s="17"/>
      <c r="K845" s="17"/>
    </row>
    <row r="846" spans="1:11" ht="13">
      <c r="A846" s="17"/>
      <c r="B846" s="17"/>
      <c r="C846" s="17"/>
      <c r="D846" s="17"/>
      <c r="E846" s="17"/>
      <c r="F846" s="62"/>
      <c r="G846" s="17"/>
      <c r="H846" s="17"/>
      <c r="I846" s="17"/>
      <c r="J846" s="17"/>
      <c r="K846" s="17"/>
    </row>
    <row r="847" spans="1:11" ht="13">
      <c r="A847" s="17"/>
      <c r="B847" s="17"/>
      <c r="C847" s="17"/>
      <c r="D847" s="17"/>
      <c r="E847" s="17"/>
      <c r="F847" s="62"/>
      <c r="G847" s="17"/>
      <c r="H847" s="17"/>
      <c r="I847" s="17"/>
      <c r="J847" s="17"/>
      <c r="K847" s="17"/>
    </row>
    <row r="848" spans="1:11" ht="13">
      <c r="A848" s="17"/>
      <c r="B848" s="17"/>
      <c r="C848" s="17"/>
      <c r="D848" s="17"/>
      <c r="E848" s="17"/>
      <c r="F848" s="62"/>
      <c r="G848" s="17"/>
      <c r="H848" s="17"/>
      <c r="I848" s="17"/>
      <c r="J848" s="17"/>
      <c r="K848" s="17"/>
    </row>
    <row r="849" spans="1:11" ht="13">
      <c r="A849" s="17"/>
      <c r="B849" s="17"/>
      <c r="C849" s="17"/>
      <c r="D849" s="17"/>
      <c r="E849" s="17"/>
      <c r="F849" s="62"/>
      <c r="G849" s="17"/>
      <c r="H849" s="17"/>
      <c r="I849" s="17"/>
      <c r="J849" s="17"/>
      <c r="K849" s="17"/>
    </row>
    <row r="850" spans="1:11" ht="13">
      <c r="A850" s="17"/>
      <c r="B850" s="17"/>
      <c r="C850" s="17"/>
      <c r="D850" s="17"/>
      <c r="E850" s="17"/>
      <c r="F850" s="62"/>
      <c r="G850" s="17"/>
      <c r="H850" s="17"/>
      <c r="I850" s="17"/>
      <c r="J850" s="17"/>
      <c r="K850" s="17"/>
    </row>
    <row r="851" spans="1:11" ht="13">
      <c r="A851" s="17"/>
      <c r="B851" s="17"/>
      <c r="C851" s="17"/>
      <c r="D851" s="17"/>
      <c r="E851" s="17"/>
      <c r="F851" s="62"/>
      <c r="G851" s="17"/>
      <c r="H851" s="17"/>
      <c r="I851" s="17"/>
      <c r="J851" s="17"/>
      <c r="K851" s="17"/>
    </row>
    <row r="852" spans="1:11" ht="13">
      <c r="A852" s="17"/>
      <c r="B852" s="17"/>
      <c r="C852" s="17"/>
      <c r="D852" s="17"/>
      <c r="E852" s="17"/>
      <c r="F852" s="62"/>
      <c r="G852" s="17"/>
      <c r="H852" s="17"/>
      <c r="I852" s="17"/>
      <c r="J852" s="17"/>
      <c r="K852" s="17"/>
    </row>
    <row r="853" spans="1:11" ht="13">
      <c r="A853" s="17"/>
      <c r="B853" s="17"/>
      <c r="C853" s="17"/>
      <c r="D853" s="17"/>
      <c r="E853" s="17"/>
      <c r="F853" s="62"/>
      <c r="G853" s="17"/>
      <c r="H853" s="17"/>
      <c r="I853" s="17"/>
      <c r="J853" s="17"/>
      <c r="K853" s="17"/>
    </row>
    <row r="854" spans="1:11" ht="13">
      <c r="A854" s="17"/>
      <c r="B854" s="17"/>
      <c r="C854" s="17"/>
      <c r="D854" s="17"/>
      <c r="E854" s="17"/>
      <c r="F854" s="62"/>
      <c r="G854" s="17"/>
      <c r="H854" s="17"/>
      <c r="I854" s="17"/>
      <c r="J854" s="17"/>
      <c r="K854" s="17"/>
    </row>
    <row r="855" spans="1:11" ht="13">
      <c r="A855" s="17"/>
      <c r="B855" s="17"/>
      <c r="C855" s="17"/>
      <c r="D855" s="17"/>
      <c r="E855" s="17"/>
      <c r="F855" s="62"/>
      <c r="G855" s="17"/>
      <c r="H855" s="17"/>
      <c r="I855" s="17"/>
      <c r="J855" s="17"/>
      <c r="K855" s="17"/>
    </row>
    <row r="856" spans="1:11" ht="13">
      <c r="A856" s="17"/>
      <c r="B856" s="17"/>
      <c r="C856" s="17"/>
      <c r="D856" s="17"/>
      <c r="E856" s="17"/>
      <c r="F856" s="62"/>
      <c r="G856" s="17"/>
      <c r="H856" s="17"/>
      <c r="I856" s="17"/>
      <c r="J856" s="17"/>
      <c r="K856" s="17"/>
    </row>
    <row r="857" spans="1:11" ht="13">
      <c r="A857" s="17"/>
      <c r="B857" s="17"/>
      <c r="C857" s="17"/>
      <c r="D857" s="17"/>
      <c r="E857" s="17"/>
      <c r="F857" s="62"/>
      <c r="G857" s="17"/>
      <c r="H857" s="17"/>
      <c r="I857" s="17"/>
      <c r="J857" s="17"/>
      <c r="K857" s="17"/>
    </row>
    <row r="858" spans="1:11" ht="13">
      <c r="A858" s="17"/>
      <c r="B858" s="17"/>
      <c r="C858" s="17"/>
      <c r="D858" s="17"/>
      <c r="E858" s="17"/>
      <c r="F858" s="62"/>
      <c r="G858" s="17"/>
      <c r="H858" s="17"/>
      <c r="I858" s="17"/>
      <c r="J858" s="17"/>
      <c r="K858" s="17"/>
    </row>
    <row r="859" spans="1:11" ht="13">
      <c r="A859" s="17"/>
      <c r="B859" s="17"/>
      <c r="C859" s="17"/>
      <c r="D859" s="17"/>
      <c r="E859" s="17"/>
      <c r="F859" s="62"/>
      <c r="G859" s="17"/>
      <c r="H859" s="17"/>
      <c r="I859" s="17"/>
      <c r="J859" s="17"/>
      <c r="K859" s="17"/>
    </row>
    <row r="860" spans="1:11" ht="13">
      <c r="A860" s="17"/>
      <c r="B860" s="17"/>
      <c r="C860" s="17"/>
      <c r="D860" s="17"/>
      <c r="E860" s="17"/>
      <c r="F860" s="62"/>
      <c r="G860" s="17"/>
      <c r="H860" s="17"/>
      <c r="I860" s="17"/>
      <c r="J860" s="17"/>
      <c r="K860" s="17"/>
    </row>
    <row r="861" spans="1:11" ht="13">
      <c r="A861" s="17"/>
      <c r="B861" s="17"/>
      <c r="C861" s="17"/>
      <c r="D861" s="17"/>
      <c r="E861" s="17"/>
      <c r="F861" s="62"/>
      <c r="G861" s="17"/>
      <c r="H861" s="17"/>
      <c r="I861" s="17"/>
      <c r="J861" s="17"/>
      <c r="K861" s="17"/>
    </row>
    <row r="862" spans="1:11" ht="13">
      <c r="A862" s="17"/>
      <c r="B862" s="17"/>
      <c r="C862" s="17"/>
      <c r="D862" s="17"/>
      <c r="E862" s="17"/>
      <c r="F862" s="62"/>
      <c r="G862" s="17"/>
      <c r="H862" s="17"/>
      <c r="I862" s="17"/>
      <c r="J862" s="17"/>
      <c r="K862" s="17"/>
    </row>
    <row r="863" spans="1:11" ht="13">
      <c r="A863" s="17"/>
      <c r="B863" s="17"/>
      <c r="C863" s="17"/>
      <c r="D863" s="17"/>
      <c r="E863" s="17"/>
      <c r="F863" s="62"/>
      <c r="G863" s="17"/>
      <c r="H863" s="17"/>
      <c r="I863" s="17"/>
      <c r="J863" s="17"/>
      <c r="K863" s="17"/>
    </row>
    <row r="864" spans="1:11" ht="13">
      <c r="A864" s="17"/>
      <c r="B864" s="17"/>
      <c r="C864" s="17"/>
      <c r="D864" s="17"/>
      <c r="E864" s="17"/>
      <c r="F864" s="62"/>
      <c r="G864" s="17"/>
      <c r="H864" s="17"/>
      <c r="I864" s="17"/>
      <c r="J864" s="17"/>
      <c r="K864" s="17"/>
    </row>
    <row r="865" spans="1:11" ht="13">
      <c r="A865" s="17"/>
      <c r="B865" s="17"/>
      <c r="C865" s="17"/>
      <c r="D865" s="17"/>
      <c r="E865" s="17"/>
      <c r="F865" s="62"/>
      <c r="G865" s="17"/>
      <c r="H865" s="17"/>
      <c r="I865" s="17"/>
      <c r="J865" s="17"/>
      <c r="K865" s="17"/>
    </row>
    <row r="866" spans="1:11" ht="13">
      <c r="A866" s="17"/>
      <c r="B866" s="17"/>
      <c r="C866" s="17"/>
      <c r="D866" s="17"/>
      <c r="E866" s="17"/>
      <c r="F866" s="62"/>
      <c r="G866" s="17"/>
      <c r="H866" s="17"/>
      <c r="I866" s="17"/>
      <c r="J866" s="17"/>
      <c r="K866" s="17"/>
    </row>
    <row r="867" spans="1:11" ht="13">
      <c r="A867" s="17"/>
      <c r="B867" s="17"/>
      <c r="C867" s="17"/>
      <c r="D867" s="17"/>
      <c r="E867" s="17"/>
      <c r="F867" s="62"/>
      <c r="G867" s="17"/>
      <c r="H867" s="17"/>
      <c r="I867" s="17"/>
      <c r="J867" s="17"/>
      <c r="K867" s="17"/>
    </row>
    <row r="868" spans="1:11" ht="13">
      <c r="A868" s="17"/>
      <c r="B868" s="17"/>
      <c r="C868" s="17"/>
      <c r="D868" s="17"/>
      <c r="E868" s="17"/>
      <c r="F868" s="62"/>
      <c r="G868" s="17"/>
      <c r="H868" s="17"/>
      <c r="I868" s="17"/>
      <c r="J868" s="17"/>
      <c r="K868" s="17"/>
    </row>
    <row r="869" spans="1:11" ht="13">
      <c r="A869" s="17"/>
      <c r="B869" s="17"/>
      <c r="C869" s="17"/>
      <c r="D869" s="17"/>
      <c r="E869" s="17"/>
      <c r="F869" s="62"/>
      <c r="G869" s="17"/>
      <c r="H869" s="17"/>
      <c r="I869" s="17"/>
      <c r="J869" s="17"/>
      <c r="K869" s="17"/>
    </row>
    <row r="870" spans="1:11" ht="13">
      <c r="A870" s="17"/>
      <c r="B870" s="17"/>
      <c r="C870" s="17"/>
      <c r="D870" s="17"/>
      <c r="E870" s="17"/>
      <c r="F870" s="62"/>
      <c r="G870" s="17"/>
      <c r="H870" s="17"/>
      <c r="I870" s="17"/>
      <c r="J870" s="17"/>
      <c r="K870" s="17"/>
    </row>
    <row r="871" spans="1:11" ht="13">
      <c r="A871" s="17"/>
      <c r="B871" s="17"/>
      <c r="C871" s="17"/>
      <c r="D871" s="17"/>
      <c r="E871" s="17"/>
      <c r="F871" s="62"/>
      <c r="G871" s="17"/>
      <c r="H871" s="17"/>
      <c r="I871" s="17"/>
      <c r="J871" s="17"/>
      <c r="K871" s="17"/>
    </row>
    <row r="872" spans="1:11" ht="13">
      <c r="A872" s="17"/>
      <c r="B872" s="17"/>
      <c r="C872" s="17"/>
      <c r="D872" s="17"/>
      <c r="E872" s="17"/>
      <c r="F872" s="62"/>
      <c r="G872" s="17"/>
      <c r="H872" s="17"/>
      <c r="I872" s="17"/>
      <c r="J872" s="17"/>
      <c r="K872" s="17"/>
    </row>
    <row r="873" spans="1:11" ht="13">
      <c r="A873" s="17"/>
      <c r="B873" s="17"/>
      <c r="C873" s="17"/>
      <c r="D873" s="17"/>
      <c r="E873" s="17"/>
      <c r="F873" s="62"/>
      <c r="G873" s="17"/>
      <c r="H873" s="17"/>
      <c r="I873" s="17"/>
      <c r="J873" s="17"/>
      <c r="K873" s="17"/>
    </row>
    <row r="874" spans="1:11" ht="13">
      <c r="A874" s="17"/>
      <c r="B874" s="17"/>
      <c r="C874" s="17"/>
      <c r="D874" s="17"/>
      <c r="E874" s="17"/>
      <c r="F874" s="62"/>
      <c r="G874" s="17"/>
      <c r="H874" s="17"/>
      <c r="I874" s="17"/>
      <c r="J874" s="17"/>
      <c r="K874" s="17"/>
    </row>
    <row r="875" spans="1:11" ht="13">
      <c r="A875" s="17"/>
      <c r="B875" s="17"/>
      <c r="C875" s="17"/>
      <c r="D875" s="17"/>
      <c r="E875" s="17"/>
      <c r="F875" s="62"/>
      <c r="G875" s="17"/>
      <c r="H875" s="17"/>
      <c r="I875" s="17"/>
      <c r="J875" s="17"/>
      <c r="K875" s="17"/>
    </row>
    <row r="876" spans="1:11" ht="13">
      <c r="A876" s="17"/>
      <c r="B876" s="17"/>
      <c r="C876" s="17"/>
      <c r="D876" s="17"/>
      <c r="E876" s="17"/>
      <c r="F876" s="62"/>
      <c r="G876" s="17"/>
      <c r="H876" s="17"/>
      <c r="I876" s="17"/>
      <c r="J876" s="17"/>
      <c r="K876" s="17"/>
    </row>
    <row r="877" spans="1:11" ht="13">
      <c r="A877" s="17"/>
      <c r="B877" s="17"/>
      <c r="C877" s="17"/>
      <c r="D877" s="17"/>
      <c r="E877" s="17"/>
      <c r="F877" s="62"/>
      <c r="G877" s="17"/>
      <c r="H877" s="17"/>
      <c r="I877" s="17"/>
      <c r="J877" s="17"/>
      <c r="K877" s="17"/>
    </row>
    <row r="878" spans="1:11" ht="13">
      <c r="A878" s="17"/>
      <c r="B878" s="17"/>
      <c r="C878" s="17"/>
      <c r="D878" s="17"/>
      <c r="E878" s="17"/>
      <c r="F878" s="62"/>
      <c r="G878" s="17"/>
      <c r="H878" s="17"/>
      <c r="I878" s="17"/>
      <c r="J878" s="17"/>
      <c r="K878" s="17"/>
    </row>
    <row r="879" spans="1:11" ht="13">
      <c r="A879" s="17"/>
      <c r="B879" s="17"/>
      <c r="C879" s="17"/>
      <c r="D879" s="17"/>
      <c r="E879" s="17"/>
      <c r="F879" s="62"/>
      <c r="G879" s="17"/>
      <c r="H879" s="17"/>
      <c r="I879" s="17"/>
      <c r="J879" s="17"/>
      <c r="K879" s="17"/>
    </row>
    <row r="880" spans="1:11" ht="13">
      <c r="A880" s="17"/>
      <c r="B880" s="17"/>
      <c r="C880" s="17"/>
      <c r="D880" s="17"/>
      <c r="E880" s="17"/>
      <c r="F880" s="62"/>
      <c r="G880" s="17"/>
      <c r="H880" s="17"/>
      <c r="I880" s="17"/>
      <c r="J880" s="17"/>
      <c r="K880" s="17"/>
    </row>
    <row r="881" spans="1:11" ht="13">
      <c r="A881" s="17"/>
      <c r="B881" s="17"/>
      <c r="C881" s="17"/>
      <c r="D881" s="17"/>
      <c r="E881" s="17"/>
      <c r="F881" s="62"/>
      <c r="G881" s="17"/>
      <c r="H881" s="17"/>
      <c r="I881" s="17"/>
      <c r="J881" s="17"/>
      <c r="K881" s="17"/>
    </row>
    <row r="882" spans="1:11" ht="13">
      <c r="A882" s="17"/>
      <c r="B882" s="17"/>
      <c r="C882" s="17"/>
      <c r="D882" s="17"/>
      <c r="E882" s="17"/>
      <c r="F882" s="62"/>
      <c r="G882" s="17"/>
      <c r="H882" s="17"/>
      <c r="I882" s="17"/>
      <c r="J882" s="17"/>
      <c r="K882" s="17"/>
    </row>
    <row r="883" spans="1:11" ht="13">
      <c r="A883" s="17"/>
      <c r="B883" s="17"/>
      <c r="C883" s="17"/>
      <c r="D883" s="17"/>
      <c r="E883" s="17"/>
      <c r="F883" s="62"/>
      <c r="G883" s="17"/>
      <c r="H883" s="17"/>
      <c r="I883" s="17"/>
      <c r="J883" s="17"/>
      <c r="K883" s="17"/>
    </row>
    <row r="884" spans="1:11" ht="13">
      <c r="A884" s="17"/>
      <c r="B884" s="17"/>
      <c r="C884" s="17"/>
      <c r="D884" s="17"/>
      <c r="E884" s="17"/>
      <c r="F884" s="62"/>
      <c r="G884" s="17"/>
      <c r="H884" s="17"/>
      <c r="I884" s="17"/>
      <c r="J884" s="17"/>
      <c r="K884" s="17"/>
    </row>
    <row r="885" spans="1:11" ht="13">
      <c r="A885" s="17"/>
      <c r="B885" s="17"/>
      <c r="C885" s="17"/>
      <c r="D885" s="17"/>
      <c r="E885" s="17"/>
      <c r="F885" s="62"/>
      <c r="G885" s="17"/>
      <c r="H885" s="17"/>
      <c r="I885" s="17"/>
      <c r="J885" s="17"/>
      <c r="K885" s="17"/>
    </row>
    <row r="886" spans="1:11" ht="13">
      <c r="A886" s="17"/>
      <c r="B886" s="17"/>
      <c r="C886" s="17"/>
      <c r="D886" s="17"/>
      <c r="E886" s="17"/>
      <c r="F886" s="62"/>
      <c r="G886" s="17"/>
      <c r="H886" s="17"/>
      <c r="I886" s="17"/>
      <c r="J886" s="17"/>
      <c r="K886" s="17"/>
    </row>
    <row r="887" spans="1:11" ht="13">
      <c r="A887" s="17"/>
      <c r="B887" s="17"/>
      <c r="C887" s="17"/>
      <c r="D887" s="17"/>
      <c r="E887" s="17"/>
      <c r="F887" s="62"/>
      <c r="G887" s="17"/>
      <c r="H887" s="17"/>
      <c r="I887" s="17"/>
      <c r="J887" s="17"/>
      <c r="K887" s="17"/>
    </row>
    <row r="888" spans="1:11" ht="13">
      <c r="A888" s="17"/>
      <c r="B888" s="17"/>
      <c r="C888" s="17"/>
      <c r="D888" s="17"/>
      <c r="E888" s="17"/>
      <c r="F888" s="62"/>
      <c r="G888" s="17"/>
      <c r="H888" s="17"/>
      <c r="I888" s="17"/>
      <c r="J888" s="17"/>
      <c r="K888" s="17"/>
    </row>
    <row r="889" spans="1:11" ht="13">
      <c r="A889" s="17"/>
      <c r="B889" s="17"/>
      <c r="C889" s="17"/>
      <c r="D889" s="17"/>
      <c r="E889" s="17"/>
      <c r="F889" s="62"/>
      <c r="G889" s="17"/>
      <c r="H889" s="17"/>
      <c r="I889" s="17"/>
      <c r="J889" s="17"/>
      <c r="K889" s="17"/>
    </row>
    <row r="890" spans="1:11" ht="13">
      <c r="A890" s="17"/>
      <c r="B890" s="17"/>
      <c r="C890" s="17"/>
      <c r="D890" s="17"/>
      <c r="E890" s="17"/>
      <c r="F890" s="62"/>
      <c r="G890" s="17"/>
      <c r="H890" s="17"/>
      <c r="I890" s="17"/>
      <c r="J890" s="17"/>
      <c r="K890" s="17"/>
    </row>
    <row r="891" spans="1:11" ht="13">
      <c r="A891" s="17"/>
      <c r="B891" s="17"/>
      <c r="C891" s="17"/>
      <c r="D891" s="17"/>
      <c r="E891" s="17"/>
      <c r="F891" s="62"/>
      <c r="G891" s="17"/>
      <c r="H891" s="17"/>
      <c r="I891" s="17"/>
      <c r="J891" s="17"/>
      <c r="K891" s="17"/>
    </row>
    <row r="892" spans="1:11" ht="13">
      <c r="A892" s="17"/>
      <c r="B892" s="17"/>
      <c r="C892" s="17"/>
      <c r="D892" s="17"/>
      <c r="E892" s="17"/>
      <c r="F892" s="62"/>
      <c r="G892" s="17"/>
      <c r="H892" s="17"/>
      <c r="I892" s="17"/>
      <c r="J892" s="17"/>
      <c r="K892" s="17"/>
    </row>
    <row r="893" spans="1:11" ht="13">
      <c r="A893" s="17"/>
      <c r="B893" s="17"/>
      <c r="C893" s="17"/>
      <c r="D893" s="17"/>
      <c r="E893" s="17"/>
      <c r="F893" s="62"/>
      <c r="G893" s="17"/>
      <c r="H893" s="17"/>
      <c r="I893" s="17"/>
      <c r="J893" s="17"/>
      <c r="K893" s="17"/>
    </row>
    <row r="894" spans="1:11" ht="13">
      <c r="A894" s="17"/>
      <c r="B894" s="17"/>
      <c r="C894" s="17"/>
      <c r="D894" s="17"/>
      <c r="E894" s="17"/>
      <c r="F894" s="62"/>
      <c r="G894" s="17"/>
      <c r="H894" s="17"/>
      <c r="I894" s="17"/>
      <c r="J894" s="17"/>
      <c r="K894" s="17"/>
    </row>
    <row r="895" spans="1:11" ht="13">
      <c r="A895" s="17"/>
      <c r="B895" s="17"/>
      <c r="C895" s="17"/>
      <c r="D895" s="17"/>
      <c r="E895" s="17"/>
      <c r="F895" s="62"/>
      <c r="G895" s="17"/>
      <c r="H895" s="17"/>
      <c r="I895" s="17"/>
      <c r="J895" s="17"/>
      <c r="K895" s="17"/>
    </row>
    <row r="896" spans="1:11" ht="13">
      <c r="A896" s="17"/>
      <c r="B896" s="17"/>
      <c r="C896" s="17"/>
      <c r="D896" s="17"/>
      <c r="E896" s="17"/>
      <c r="F896" s="62"/>
      <c r="G896" s="17"/>
      <c r="H896" s="17"/>
      <c r="I896" s="17"/>
      <c r="J896" s="17"/>
      <c r="K896" s="17"/>
    </row>
    <row r="897" spans="1:11" ht="13">
      <c r="A897" s="17"/>
      <c r="B897" s="17"/>
      <c r="C897" s="17"/>
      <c r="D897" s="17"/>
      <c r="E897" s="17"/>
      <c r="F897" s="62"/>
      <c r="G897" s="17"/>
      <c r="H897" s="17"/>
      <c r="I897" s="17"/>
      <c r="J897" s="17"/>
      <c r="K897" s="17"/>
    </row>
    <row r="898" spans="1:11" ht="13">
      <c r="A898" s="17"/>
      <c r="B898" s="17"/>
      <c r="C898" s="17"/>
      <c r="D898" s="17"/>
      <c r="E898" s="17"/>
      <c r="F898" s="62"/>
      <c r="G898" s="17"/>
      <c r="H898" s="17"/>
      <c r="I898" s="17"/>
      <c r="J898" s="17"/>
      <c r="K898" s="17"/>
    </row>
    <row r="899" spans="1:11" ht="13">
      <c r="A899" s="17"/>
      <c r="B899" s="17"/>
      <c r="C899" s="17"/>
      <c r="D899" s="17"/>
      <c r="E899" s="17"/>
      <c r="F899" s="62"/>
      <c r="G899" s="17"/>
      <c r="H899" s="17"/>
      <c r="I899" s="17"/>
      <c r="J899" s="17"/>
      <c r="K899" s="17"/>
    </row>
    <row r="900" spans="1:11" ht="13">
      <c r="A900" s="17"/>
      <c r="B900" s="17"/>
      <c r="C900" s="17"/>
      <c r="D900" s="17"/>
      <c r="E900" s="17"/>
      <c r="F900" s="62"/>
      <c r="G900" s="17"/>
      <c r="H900" s="17"/>
      <c r="I900" s="17"/>
      <c r="J900" s="17"/>
      <c r="K900" s="17"/>
    </row>
    <row r="901" spans="1:11" ht="13">
      <c r="A901" s="17"/>
      <c r="B901" s="17"/>
      <c r="C901" s="17"/>
      <c r="D901" s="17"/>
      <c r="E901" s="17"/>
      <c r="F901" s="62"/>
      <c r="G901" s="17"/>
      <c r="H901" s="17"/>
      <c r="I901" s="17"/>
      <c r="J901" s="17"/>
      <c r="K901" s="17"/>
    </row>
    <row r="902" spans="1:11" ht="13">
      <c r="A902" s="17"/>
      <c r="B902" s="17"/>
      <c r="C902" s="17"/>
      <c r="D902" s="17"/>
      <c r="E902" s="17"/>
      <c r="F902" s="62"/>
      <c r="G902" s="17"/>
      <c r="H902" s="17"/>
      <c r="I902" s="17"/>
      <c r="J902" s="17"/>
      <c r="K902" s="17"/>
    </row>
    <row r="903" spans="1:11" ht="13">
      <c r="A903" s="17"/>
      <c r="B903" s="17"/>
      <c r="C903" s="17"/>
      <c r="D903" s="17"/>
      <c r="E903" s="17"/>
      <c r="F903" s="62"/>
      <c r="G903" s="17"/>
      <c r="H903" s="17"/>
      <c r="I903" s="17"/>
      <c r="J903" s="17"/>
      <c r="K903" s="17"/>
    </row>
    <row r="904" spans="1:11" ht="13">
      <c r="A904" s="17"/>
      <c r="B904" s="17"/>
      <c r="C904" s="17"/>
      <c r="D904" s="17"/>
      <c r="E904" s="17"/>
      <c r="F904" s="62"/>
      <c r="G904" s="17"/>
      <c r="H904" s="17"/>
      <c r="I904" s="17"/>
      <c r="J904" s="17"/>
      <c r="K904" s="17"/>
    </row>
    <row r="905" spans="1:11" ht="13">
      <c r="A905" s="17"/>
      <c r="B905" s="17"/>
      <c r="C905" s="17"/>
      <c r="D905" s="17"/>
      <c r="E905" s="17"/>
      <c r="F905" s="62"/>
      <c r="G905" s="17"/>
      <c r="H905" s="17"/>
      <c r="I905" s="17"/>
      <c r="J905" s="17"/>
      <c r="K905" s="17"/>
    </row>
    <row r="906" spans="1:11" ht="13">
      <c r="A906" s="17"/>
      <c r="B906" s="17"/>
      <c r="C906" s="17"/>
      <c r="D906" s="17"/>
      <c r="E906" s="17"/>
      <c r="F906" s="62"/>
      <c r="G906" s="17"/>
      <c r="H906" s="17"/>
      <c r="I906" s="17"/>
      <c r="J906" s="17"/>
      <c r="K906" s="17"/>
    </row>
    <row r="907" spans="1:11" ht="13">
      <c r="A907" s="17"/>
      <c r="B907" s="17"/>
      <c r="C907" s="17"/>
      <c r="D907" s="17"/>
      <c r="E907" s="17"/>
      <c r="F907" s="62"/>
      <c r="G907" s="17"/>
      <c r="H907" s="17"/>
      <c r="I907" s="17"/>
      <c r="J907" s="17"/>
      <c r="K907" s="17"/>
    </row>
    <row r="908" spans="1:11" ht="13">
      <c r="A908" s="17"/>
      <c r="B908" s="17"/>
      <c r="C908" s="17"/>
      <c r="D908" s="17"/>
      <c r="E908" s="17"/>
      <c r="F908" s="62"/>
      <c r="G908" s="17"/>
      <c r="H908" s="17"/>
      <c r="I908" s="17"/>
      <c r="J908" s="17"/>
      <c r="K908" s="17"/>
    </row>
    <row r="909" spans="1:11" ht="13">
      <c r="A909" s="17"/>
      <c r="B909" s="17"/>
      <c r="C909" s="17"/>
      <c r="D909" s="17"/>
      <c r="E909" s="17"/>
      <c r="F909" s="62"/>
      <c r="G909" s="17"/>
      <c r="H909" s="17"/>
      <c r="I909" s="17"/>
      <c r="J909" s="17"/>
      <c r="K909" s="17"/>
    </row>
    <row r="910" spans="1:11" ht="13">
      <c r="A910" s="17"/>
      <c r="B910" s="17"/>
      <c r="C910" s="17"/>
      <c r="D910" s="17"/>
      <c r="E910" s="17"/>
      <c r="F910" s="62"/>
      <c r="G910" s="17"/>
      <c r="H910" s="17"/>
      <c r="I910" s="17"/>
      <c r="J910" s="17"/>
      <c r="K910" s="17"/>
    </row>
    <row r="911" spans="1:11" ht="13">
      <c r="A911" s="17"/>
      <c r="B911" s="17"/>
      <c r="C911" s="17"/>
      <c r="D911" s="17"/>
      <c r="E911" s="17"/>
      <c r="F911" s="62"/>
      <c r="G911" s="17"/>
      <c r="H911" s="17"/>
      <c r="I911" s="17"/>
      <c r="J911" s="17"/>
      <c r="K911" s="17"/>
    </row>
    <row r="912" spans="1:11" ht="13">
      <c r="A912" s="17"/>
      <c r="B912" s="17"/>
      <c r="C912" s="17"/>
      <c r="D912" s="17"/>
      <c r="E912" s="17"/>
      <c r="F912" s="62"/>
      <c r="G912" s="17"/>
      <c r="H912" s="17"/>
      <c r="I912" s="17"/>
      <c r="J912" s="17"/>
      <c r="K912" s="17"/>
    </row>
    <row r="913" spans="1:11" ht="13">
      <c r="A913" s="17"/>
      <c r="B913" s="17"/>
      <c r="C913" s="17"/>
      <c r="D913" s="17"/>
      <c r="E913" s="17"/>
      <c r="F913" s="62"/>
      <c r="G913" s="17"/>
      <c r="H913" s="17"/>
      <c r="I913" s="17"/>
      <c r="J913" s="17"/>
      <c r="K913" s="17"/>
    </row>
    <row r="914" spans="1:11" ht="13">
      <c r="A914" s="17"/>
      <c r="B914" s="17"/>
      <c r="C914" s="17"/>
      <c r="D914" s="17"/>
      <c r="E914" s="17"/>
      <c r="F914" s="62"/>
      <c r="G914" s="17"/>
      <c r="H914" s="17"/>
      <c r="I914" s="17"/>
      <c r="J914" s="17"/>
      <c r="K914" s="17"/>
    </row>
    <row r="915" spans="1:11" ht="13">
      <c r="A915" s="17"/>
      <c r="B915" s="17"/>
      <c r="C915" s="17"/>
      <c r="D915" s="17"/>
      <c r="E915" s="17"/>
      <c r="F915" s="62"/>
      <c r="G915" s="17"/>
      <c r="H915" s="17"/>
      <c r="I915" s="17"/>
      <c r="J915" s="17"/>
      <c r="K915" s="17"/>
    </row>
    <row r="916" spans="1:11" ht="13">
      <c r="A916" s="17"/>
      <c r="B916" s="17"/>
      <c r="C916" s="17"/>
      <c r="D916" s="17"/>
      <c r="E916" s="17"/>
      <c r="F916" s="62"/>
      <c r="G916" s="17"/>
      <c r="H916" s="17"/>
      <c r="I916" s="17"/>
      <c r="J916" s="17"/>
      <c r="K916" s="17"/>
    </row>
    <row r="917" spans="1:11" ht="13">
      <c r="A917" s="17"/>
      <c r="B917" s="17"/>
      <c r="C917" s="17"/>
      <c r="D917" s="17"/>
      <c r="E917" s="17"/>
      <c r="F917" s="62"/>
      <c r="G917" s="17"/>
      <c r="H917" s="17"/>
      <c r="I917" s="17"/>
      <c r="J917" s="17"/>
      <c r="K917" s="17"/>
    </row>
    <row r="918" spans="1:11" ht="13">
      <c r="A918" s="17"/>
      <c r="B918" s="17"/>
      <c r="C918" s="17"/>
      <c r="D918" s="17"/>
      <c r="E918" s="17"/>
      <c r="F918" s="62"/>
      <c r="G918" s="17"/>
      <c r="H918" s="17"/>
      <c r="I918" s="17"/>
      <c r="J918" s="17"/>
      <c r="K918" s="17"/>
    </row>
    <row r="919" spans="1:11" ht="13">
      <c r="A919" s="17"/>
      <c r="B919" s="17"/>
      <c r="C919" s="17"/>
      <c r="D919" s="17"/>
      <c r="E919" s="17"/>
      <c r="F919" s="62"/>
      <c r="G919" s="17"/>
      <c r="H919" s="17"/>
      <c r="I919" s="17"/>
      <c r="J919" s="17"/>
      <c r="K919" s="17"/>
    </row>
    <row r="920" spans="1:11" ht="13">
      <c r="A920" s="17"/>
      <c r="B920" s="17"/>
      <c r="C920" s="17"/>
      <c r="D920" s="17"/>
      <c r="E920" s="17"/>
      <c r="F920" s="62"/>
      <c r="G920" s="17"/>
      <c r="H920" s="17"/>
      <c r="I920" s="17"/>
      <c r="J920" s="17"/>
      <c r="K920" s="17"/>
    </row>
    <row r="921" spans="1:11" ht="13">
      <c r="A921" s="17"/>
      <c r="B921" s="17"/>
      <c r="C921" s="17"/>
      <c r="D921" s="17"/>
      <c r="E921" s="17"/>
      <c r="F921" s="62"/>
      <c r="G921" s="17"/>
      <c r="H921" s="17"/>
      <c r="I921" s="17"/>
      <c r="J921" s="17"/>
      <c r="K921" s="17"/>
    </row>
    <row r="922" spans="1:11" ht="13">
      <c r="A922" s="17"/>
      <c r="B922" s="17"/>
      <c r="C922" s="17"/>
      <c r="D922" s="17"/>
      <c r="E922" s="17"/>
      <c r="F922" s="62"/>
      <c r="G922" s="17"/>
      <c r="H922" s="17"/>
      <c r="I922" s="17"/>
      <c r="J922" s="17"/>
      <c r="K922" s="17"/>
    </row>
    <row r="923" spans="1:11" ht="13">
      <c r="A923" s="17"/>
      <c r="B923" s="17"/>
      <c r="C923" s="17"/>
      <c r="D923" s="17"/>
      <c r="E923" s="17"/>
      <c r="F923" s="62"/>
      <c r="G923" s="17"/>
      <c r="H923" s="17"/>
      <c r="I923" s="17"/>
      <c r="J923" s="17"/>
      <c r="K923" s="17"/>
    </row>
    <row r="924" spans="1:11" ht="13">
      <c r="A924" s="17"/>
      <c r="B924" s="17"/>
      <c r="C924" s="17"/>
      <c r="D924" s="17"/>
      <c r="E924" s="17"/>
      <c r="F924" s="62"/>
      <c r="G924" s="17"/>
      <c r="H924" s="17"/>
      <c r="I924" s="17"/>
      <c r="J924" s="17"/>
      <c r="K924" s="17"/>
    </row>
    <row r="925" spans="1:11" ht="13">
      <c r="A925" s="17"/>
      <c r="B925" s="17"/>
      <c r="C925" s="17"/>
      <c r="D925" s="17"/>
      <c r="E925" s="17"/>
      <c r="F925" s="62"/>
      <c r="G925" s="17"/>
      <c r="H925" s="17"/>
      <c r="I925" s="17"/>
      <c r="J925" s="17"/>
      <c r="K925" s="17"/>
    </row>
    <row r="926" spans="1:11" ht="13">
      <c r="A926" s="17"/>
      <c r="B926" s="17"/>
      <c r="C926" s="17"/>
      <c r="D926" s="17"/>
      <c r="E926" s="17"/>
      <c r="F926" s="62"/>
      <c r="G926" s="17"/>
      <c r="H926" s="17"/>
      <c r="I926" s="17"/>
      <c r="J926" s="17"/>
      <c r="K926" s="17"/>
    </row>
    <row r="927" spans="1:11" ht="13">
      <c r="A927" s="17"/>
      <c r="B927" s="17"/>
      <c r="C927" s="17"/>
      <c r="D927" s="17"/>
      <c r="E927" s="17"/>
      <c r="F927" s="62"/>
      <c r="G927" s="17"/>
      <c r="H927" s="17"/>
      <c r="I927" s="17"/>
      <c r="J927" s="17"/>
      <c r="K927" s="17"/>
    </row>
    <row r="928" spans="1:11" ht="13">
      <c r="A928" s="17"/>
      <c r="B928" s="17"/>
      <c r="C928" s="17"/>
      <c r="D928" s="17"/>
      <c r="E928" s="17"/>
      <c r="F928" s="62"/>
      <c r="G928" s="17"/>
      <c r="H928" s="17"/>
      <c r="I928" s="17"/>
      <c r="J928" s="17"/>
      <c r="K928" s="17"/>
    </row>
    <row r="929" spans="1:11" ht="13">
      <c r="A929" s="17"/>
      <c r="B929" s="17"/>
      <c r="C929" s="17"/>
      <c r="D929" s="17"/>
      <c r="E929" s="17"/>
      <c r="F929" s="62"/>
      <c r="G929" s="17"/>
      <c r="H929" s="17"/>
      <c r="I929" s="17"/>
      <c r="J929" s="17"/>
      <c r="K929" s="17"/>
    </row>
    <row r="930" spans="1:11" ht="13">
      <c r="A930" s="17"/>
      <c r="B930" s="17"/>
      <c r="C930" s="17"/>
      <c r="D930" s="17"/>
      <c r="E930" s="17"/>
      <c r="F930" s="62"/>
      <c r="G930" s="17"/>
      <c r="H930" s="17"/>
      <c r="I930" s="17"/>
      <c r="J930" s="17"/>
      <c r="K930" s="17"/>
    </row>
    <row r="931" spans="1:11" ht="13">
      <c r="A931" s="17"/>
      <c r="B931" s="17"/>
      <c r="C931" s="17"/>
      <c r="D931" s="17"/>
      <c r="E931" s="17"/>
      <c r="F931" s="62"/>
      <c r="G931" s="17"/>
      <c r="H931" s="17"/>
      <c r="I931" s="17"/>
      <c r="J931" s="17"/>
      <c r="K931" s="17"/>
    </row>
    <row r="932" spans="1:11" ht="13">
      <c r="A932" s="17"/>
      <c r="B932" s="17"/>
      <c r="C932" s="17"/>
      <c r="D932" s="17"/>
      <c r="E932" s="17"/>
      <c r="F932" s="62"/>
      <c r="G932" s="17"/>
      <c r="H932" s="17"/>
      <c r="I932" s="17"/>
      <c r="J932" s="17"/>
      <c r="K932" s="17"/>
    </row>
    <row r="933" spans="1:11" ht="13">
      <c r="A933" s="17"/>
      <c r="B933" s="17"/>
      <c r="C933" s="17"/>
      <c r="D933" s="17"/>
      <c r="E933" s="17"/>
      <c r="F933" s="62"/>
      <c r="G933" s="17"/>
      <c r="H933" s="17"/>
      <c r="I933" s="17"/>
      <c r="J933" s="17"/>
      <c r="K933" s="17"/>
    </row>
    <row r="934" spans="1:11" ht="13">
      <c r="A934" s="17"/>
      <c r="B934" s="17"/>
      <c r="C934" s="17"/>
      <c r="D934" s="17"/>
      <c r="E934" s="17"/>
      <c r="F934" s="62"/>
      <c r="G934" s="17"/>
      <c r="H934" s="17"/>
      <c r="I934" s="17"/>
      <c r="J934" s="17"/>
      <c r="K934" s="17"/>
    </row>
    <row r="935" spans="1:11" ht="13">
      <c r="A935" s="17"/>
      <c r="B935" s="17"/>
      <c r="C935" s="17"/>
      <c r="D935" s="17"/>
      <c r="E935" s="17"/>
      <c r="F935" s="62"/>
      <c r="G935" s="17"/>
      <c r="H935" s="17"/>
      <c r="I935" s="17"/>
      <c r="J935" s="17"/>
      <c r="K935" s="17"/>
    </row>
    <row r="936" spans="1:11" ht="13">
      <c r="A936" s="17"/>
      <c r="B936" s="17"/>
      <c r="C936" s="17"/>
      <c r="D936" s="17"/>
      <c r="E936" s="17"/>
      <c r="F936" s="62"/>
      <c r="G936" s="17"/>
      <c r="H936" s="17"/>
      <c r="I936" s="17"/>
      <c r="J936" s="17"/>
      <c r="K936" s="17"/>
    </row>
    <row r="937" spans="1:11" ht="13">
      <c r="A937" s="17"/>
      <c r="B937" s="17"/>
      <c r="C937" s="17"/>
      <c r="D937" s="17"/>
      <c r="E937" s="17"/>
      <c r="F937" s="62"/>
      <c r="G937" s="17"/>
      <c r="H937" s="17"/>
      <c r="I937" s="17"/>
      <c r="J937" s="17"/>
      <c r="K937" s="17"/>
    </row>
    <row r="938" spans="1:11" ht="13">
      <c r="A938" s="17"/>
      <c r="B938" s="17"/>
      <c r="C938" s="17"/>
      <c r="D938" s="17"/>
      <c r="E938" s="17"/>
      <c r="F938" s="62"/>
      <c r="G938" s="17"/>
      <c r="H938" s="17"/>
      <c r="I938" s="17"/>
      <c r="J938" s="17"/>
      <c r="K938" s="17"/>
    </row>
    <row r="939" spans="1:11" ht="13">
      <c r="A939" s="17"/>
      <c r="B939" s="17"/>
      <c r="C939" s="17"/>
      <c r="D939" s="17"/>
      <c r="E939" s="17"/>
      <c r="F939" s="62"/>
      <c r="G939" s="17"/>
      <c r="H939" s="17"/>
      <c r="I939" s="17"/>
      <c r="J939" s="17"/>
      <c r="K939" s="17"/>
    </row>
    <row r="940" spans="1:11" ht="13">
      <c r="A940" s="17"/>
      <c r="B940" s="17"/>
      <c r="C940" s="17"/>
      <c r="D940" s="17"/>
      <c r="E940" s="17"/>
      <c r="F940" s="62"/>
      <c r="G940" s="17"/>
      <c r="H940" s="17"/>
      <c r="I940" s="17"/>
      <c r="J940" s="17"/>
      <c r="K940" s="17"/>
    </row>
    <row r="941" spans="1:11" ht="13">
      <c r="A941" s="17"/>
      <c r="B941" s="17"/>
      <c r="C941" s="17"/>
      <c r="D941" s="17"/>
      <c r="E941" s="17"/>
      <c r="F941" s="62"/>
      <c r="G941" s="17"/>
      <c r="H941" s="17"/>
      <c r="I941" s="17"/>
      <c r="J941" s="17"/>
      <c r="K941" s="17"/>
    </row>
    <row r="942" spans="1:11" ht="13">
      <c r="A942" s="17"/>
      <c r="B942" s="17"/>
      <c r="C942" s="17"/>
      <c r="D942" s="17"/>
      <c r="E942" s="17"/>
      <c r="F942" s="62"/>
      <c r="G942" s="17"/>
      <c r="H942" s="17"/>
      <c r="I942" s="17"/>
      <c r="J942" s="17"/>
      <c r="K942" s="17"/>
    </row>
    <row r="943" spans="1:11" ht="13">
      <c r="A943" s="17"/>
      <c r="B943" s="17"/>
      <c r="C943" s="17"/>
      <c r="D943" s="17"/>
      <c r="E943" s="17"/>
      <c r="F943" s="62"/>
      <c r="G943" s="17"/>
      <c r="H943" s="17"/>
      <c r="I943" s="17"/>
      <c r="J943" s="17"/>
      <c r="K943" s="17"/>
    </row>
    <row r="944" spans="1:11" ht="13">
      <c r="A944" s="17"/>
      <c r="B944" s="17"/>
      <c r="C944" s="17"/>
      <c r="D944" s="17"/>
      <c r="E944" s="17"/>
      <c r="F944" s="62"/>
      <c r="G944" s="17"/>
      <c r="H944" s="17"/>
      <c r="I944" s="17"/>
      <c r="J944" s="17"/>
      <c r="K944" s="17"/>
    </row>
    <row r="945" spans="1:11" ht="13">
      <c r="A945" s="17"/>
      <c r="B945" s="17"/>
      <c r="C945" s="17"/>
      <c r="D945" s="17"/>
      <c r="E945" s="17"/>
      <c r="F945" s="62"/>
      <c r="G945" s="17"/>
      <c r="H945" s="17"/>
      <c r="I945" s="17"/>
      <c r="J945" s="17"/>
      <c r="K945" s="17"/>
    </row>
    <row r="946" spans="1:11" ht="13">
      <c r="A946" s="17"/>
      <c r="B946" s="17"/>
      <c r="C946" s="17"/>
      <c r="D946" s="17"/>
      <c r="E946" s="17"/>
      <c r="F946" s="62"/>
      <c r="G946" s="17"/>
      <c r="H946" s="17"/>
      <c r="I946" s="17"/>
      <c r="J946" s="17"/>
      <c r="K946" s="17"/>
    </row>
    <row r="947" spans="1:11" ht="13">
      <c r="A947" s="17"/>
      <c r="B947" s="17"/>
      <c r="C947" s="17"/>
      <c r="D947" s="17"/>
      <c r="E947" s="17"/>
      <c r="F947" s="62"/>
      <c r="G947" s="17"/>
      <c r="H947" s="17"/>
      <c r="I947" s="17"/>
      <c r="J947" s="17"/>
      <c r="K947" s="17"/>
    </row>
    <row r="948" spans="1:11" ht="13">
      <c r="A948" s="17"/>
      <c r="B948" s="17"/>
      <c r="C948" s="17"/>
      <c r="D948" s="17"/>
      <c r="E948" s="17"/>
      <c r="F948" s="62"/>
      <c r="G948" s="17"/>
      <c r="H948" s="17"/>
      <c r="I948" s="17"/>
      <c r="J948" s="17"/>
      <c r="K948" s="17"/>
    </row>
    <row r="949" spans="1:11" ht="13">
      <c r="A949" s="17"/>
      <c r="B949" s="17"/>
      <c r="C949" s="17"/>
      <c r="D949" s="17"/>
      <c r="E949" s="17"/>
      <c r="F949" s="62"/>
      <c r="G949" s="17"/>
      <c r="H949" s="17"/>
      <c r="I949" s="17"/>
      <c r="J949" s="17"/>
      <c r="K949" s="17"/>
    </row>
    <row r="950" spans="1:11" ht="13">
      <c r="A950" s="17"/>
      <c r="B950" s="17"/>
      <c r="C950" s="17"/>
      <c r="D950" s="17"/>
      <c r="E950" s="17"/>
      <c r="F950" s="62"/>
      <c r="G950" s="17"/>
      <c r="H950" s="17"/>
      <c r="I950" s="17"/>
      <c r="J950" s="17"/>
      <c r="K950" s="17"/>
    </row>
    <row r="951" spans="1:11" ht="13">
      <c r="A951" s="17"/>
      <c r="B951" s="17"/>
      <c r="C951" s="17"/>
      <c r="D951" s="17"/>
      <c r="E951" s="17"/>
      <c r="F951" s="62"/>
      <c r="G951" s="17"/>
      <c r="H951" s="17"/>
      <c r="I951" s="17"/>
      <c r="J951" s="17"/>
      <c r="K951" s="17"/>
    </row>
    <row r="952" spans="1:11" ht="13">
      <c r="A952" s="17"/>
      <c r="B952" s="17"/>
      <c r="C952" s="17"/>
      <c r="D952" s="17"/>
      <c r="E952" s="17"/>
      <c r="F952" s="62"/>
      <c r="G952" s="17"/>
      <c r="H952" s="17"/>
      <c r="I952" s="17"/>
      <c r="J952" s="17"/>
      <c r="K952" s="17"/>
    </row>
    <row r="953" spans="1:11" ht="13">
      <c r="A953" s="17"/>
      <c r="B953" s="17"/>
      <c r="C953" s="17"/>
      <c r="D953" s="17"/>
      <c r="E953" s="17"/>
      <c r="F953" s="62"/>
      <c r="G953" s="17"/>
      <c r="H953" s="17"/>
      <c r="I953" s="17"/>
      <c r="J953" s="17"/>
      <c r="K953" s="17"/>
    </row>
    <row r="954" spans="1:11" ht="13">
      <c r="A954" s="17"/>
      <c r="B954" s="17"/>
      <c r="C954" s="17"/>
      <c r="D954" s="17"/>
      <c r="E954" s="17"/>
      <c r="F954" s="62"/>
      <c r="G954" s="17"/>
      <c r="H954" s="17"/>
      <c r="I954" s="17"/>
      <c r="J954" s="17"/>
      <c r="K954" s="17"/>
    </row>
    <row r="955" spans="1:11" ht="13">
      <c r="A955" s="17"/>
      <c r="B955" s="17"/>
      <c r="C955" s="17"/>
      <c r="D955" s="17"/>
      <c r="E955" s="17"/>
      <c r="F955" s="62"/>
      <c r="G955" s="17"/>
      <c r="H955" s="17"/>
      <c r="I955" s="17"/>
      <c r="J955" s="17"/>
      <c r="K955" s="17"/>
    </row>
    <row r="956" spans="1:11" ht="13">
      <c r="A956" s="17"/>
      <c r="B956" s="17"/>
      <c r="C956" s="17"/>
      <c r="D956" s="17"/>
      <c r="E956" s="17"/>
      <c r="F956" s="62"/>
      <c r="G956" s="17"/>
      <c r="H956" s="17"/>
      <c r="I956" s="17"/>
      <c r="J956" s="17"/>
      <c r="K956" s="17"/>
    </row>
    <row r="957" spans="1:11" ht="13">
      <c r="A957" s="17"/>
      <c r="B957" s="17"/>
      <c r="C957" s="17"/>
      <c r="D957" s="17"/>
      <c r="E957" s="17"/>
      <c r="F957" s="62"/>
      <c r="G957" s="17"/>
      <c r="H957" s="17"/>
      <c r="I957" s="17"/>
      <c r="J957" s="17"/>
      <c r="K957" s="17"/>
    </row>
    <row r="958" spans="1:11" ht="13">
      <c r="A958" s="17"/>
      <c r="B958" s="17"/>
      <c r="C958" s="17"/>
      <c r="D958" s="17"/>
      <c r="E958" s="17"/>
      <c r="F958" s="62"/>
      <c r="G958" s="17"/>
      <c r="H958" s="17"/>
      <c r="I958" s="17"/>
      <c r="J958" s="17"/>
      <c r="K958" s="17"/>
    </row>
    <row r="959" spans="1:11" ht="13">
      <c r="A959" s="17"/>
      <c r="B959" s="17"/>
      <c r="C959" s="17"/>
      <c r="D959" s="17"/>
      <c r="E959" s="17"/>
      <c r="F959" s="62"/>
      <c r="G959" s="17"/>
      <c r="H959" s="17"/>
      <c r="I959" s="17"/>
      <c r="J959" s="17"/>
      <c r="K959" s="17"/>
    </row>
    <row r="960" spans="1:11" ht="13">
      <c r="A960" s="17"/>
      <c r="B960" s="17"/>
      <c r="C960" s="17"/>
      <c r="D960" s="17"/>
      <c r="E960" s="17"/>
      <c r="F960" s="62"/>
      <c r="G960" s="17"/>
      <c r="H960" s="17"/>
      <c r="I960" s="17"/>
      <c r="J960" s="17"/>
      <c r="K960" s="17"/>
    </row>
    <row r="961" spans="1:11" ht="13">
      <c r="A961" s="17"/>
      <c r="B961" s="17"/>
      <c r="C961" s="17"/>
      <c r="D961" s="17"/>
      <c r="E961" s="17"/>
      <c r="F961" s="62"/>
      <c r="G961" s="17"/>
      <c r="H961" s="17"/>
      <c r="I961" s="17"/>
      <c r="J961" s="17"/>
      <c r="K961" s="17"/>
    </row>
    <row r="962" spans="1:11" ht="13">
      <c r="A962" s="17"/>
      <c r="B962" s="17"/>
      <c r="C962" s="17"/>
      <c r="D962" s="17"/>
      <c r="E962" s="17"/>
      <c r="F962" s="62"/>
      <c r="G962" s="17"/>
      <c r="H962" s="17"/>
      <c r="I962" s="17"/>
      <c r="J962" s="17"/>
      <c r="K962" s="17"/>
    </row>
    <row r="963" spans="1:11" ht="13">
      <c r="A963" s="17"/>
      <c r="B963" s="17"/>
      <c r="C963" s="17"/>
      <c r="D963" s="17"/>
      <c r="E963" s="17"/>
      <c r="F963" s="62"/>
      <c r="G963" s="17"/>
      <c r="H963" s="17"/>
      <c r="I963" s="17"/>
      <c r="J963" s="17"/>
      <c r="K963" s="17"/>
    </row>
    <row r="964" spans="1:11" ht="13">
      <c r="A964" s="17"/>
      <c r="B964" s="17"/>
      <c r="C964" s="17"/>
      <c r="D964" s="17"/>
      <c r="E964" s="17"/>
      <c r="F964" s="62"/>
      <c r="G964" s="17"/>
      <c r="H964" s="17"/>
      <c r="I964" s="17"/>
      <c r="J964" s="17"/>
      <c r="K964" s="17"/>
    </row>
    <row r="965" spans="1:11" ht="13">
      <c r="A965" s="17"/>
      <c r="B965" s="17"/>
      <c r="C965" s="17"/>
      <c r="D965" s="17"/>
      <c r="E965" s="17"/>
      <c r="F965" s="62"/>
      <c r="G965" s="17"/>
      <c r="H965" s="17"/>
      <c r="I965" s="17"/>
      <c r="J965" s="17"/>
      <c r="K965" s="17"/>
    </row>
    <row r="966" spans="1:11" ht="13">
      <c r="A966" s="17"/>
      <c r="B966" s="17"/>
      <c r="C966" s="17"/>
      <c r="D966" s="17"/>
      <c r="E966" s="17"/>
      <c r="F966" s="62"/>
      <c r="G966" s="17"/>
      <c r="H966" s="17"/>
      <c r="I966" s="17"/>
      <c r="J966" s="17"/>
      <c r="K966" s="17"/>
    </row>
    <row r="967" spans="1:11" ht="13">
      <c r="A967" s="17"/>
      <c r="B967" s="17"/>
      <c r="C967" s="17"/>
      <c r="D967" s="17"/>
      <c r="E967" s="17"/>
      <c r="F967" s="62"/>
      <c r="G967" s="17"/>
      <c r="H967" s="17"/>
      <c r="I967" s="17"/>
      <c r="J967" s="17"/>
      <c r="K967" s="17"/>
    </row>
    <row r="968" spans="1:11" ht="13">
      <c r="A968" s="17"/>
      <c r="B968" s="17"/>
      <c r="C968" s="17"/>
      <c r="D968" s="17"/>
      <c r="E968" s="17"/>
      <c r="F968" s="62"/>
      <c r="G968" s="17"/>
      <c r="H968" s="17"/>
      <c r="I968" s="17"/>
      <c r="J968" s="17"/>
      <c r="K968" s="17"/>
    </row>
    <row r="969" spans="1:11" ht="13">
      <c r="A969" s="17"/>
      <c r="B969" s="17"/>
      <c r="C969" s="17"/>
      <c r="D969" s="17"/>
      <c r="E969" s="17"/>
      <c r="F969" s="62"/>
      <c r="G969" s="17"/>
      <c r="H969" s="17"/>
      <c r="I969" s="17"/>
      <c r="J969" s="17"/>
      <c r="K969" s="17"/>
    </row>
    <row r="970" spans="1:11" ht="13">
      <c r="A970" s="17"/>
      <c r="B970" s="17"/>
      <c r="C970" s="17"/>
      <c r="D970" s="17"/>
      <c r="E970" s="17"/>
      <c r="F970" s="62"/>
      <c r="G970" s="17"/>
      <c r="H970" s="17"/>
      <c r="I970" s="17"/>
      <c r="J970" s="17"/>
      <c r="K970" s="17"/>
    </row>
    <row r="971" spans="1:11" ht="13">
      <c r="A971" s="17"/>
      <c r="B971" s="17"/>
      <c r="C971" s="17"/>
      <c r="D971" s="17"/>
      <c r="E971" s="17"/>
      <c r="F971" s="62"/>
      <c r="G971" s="17"/>
      <c r="H971" s="17"/>
      <c r="I971" s="17"/>
      <c r="J971" s="17"/>
      <c r="K971" s="17"/>
    </row>
    <row r="972" spans="1:11" ht="13">
      <c r="A972" s="17"/>
      <c r="B972" s="17"/>
      <c r="C972" s="17"/>
      <c r="D972" s="17"/>
      <c r="E972" s="17"/>
      <c r="F972" s="62"/>
      <c r="G972" s="17"/>
      <c r="H972" s="17"/>
      <c r="I972" s="17"/>
      <c r="J972" s="17"/>
      <c r="K972" s="17"/>
    </row>
    <row r="973" spans="1:11" ht="13">
      <c r="A973" s="17"/>
      <c r="B973" s="17"/>
      <c r="C973" s="17"/>
      <c r="D973" s="17"/>
      <c r="E973" s="17"/>
      <c r="F973" s="62"/>
      <c r="G973" s="17"/>
      <c r="H973" s="17"/>
      <c r="I973" s="17"/>
      <c r="J973" s="17"/>
      <c r="K973" s="17"/>
    </row>
    <row r="974" spans="1:11" ht="13">
      <c r="A974" s="17"/>
      <c r="B974" s="17"/>
      <c r="C974" s="17"/>
      <c r="D974" s="17"/>
      <c r="E974" s="17"/>
      <c r="F974" s="62"/>
      <c r="G974" s="17"/>
      <c r="H974" s="17"/>
      <c r="I974" s="17"/>
      <c r="J974" s="17"/>
      <c r="K974" s="17"/>
    </row>
    <row r="975" spans="1:11" ht="13">
      <c r="A975" s="17"/>
      <c r="B975" s="17"/>
      <c r="C975" s="17"/>
      <c r="D975" s="17"/>
      <c r="E975" s="17"/>
      <c r="F975" s="62"/>
      <c r="G975" s="17"/>
      <c r="H975" s="17"/>
      <c r="I975" s="17"/>
      <c r="J975" s="17"/>
      <c r="K975" s="17"/>
    </row>
    <row r="976" spans="1:11" ht="13">
      <c r="A976" s="17"/>
      <c r="B976" s="17"/>
      <c r="C976" s="17"/>
      <c r="D976" s="17"/>
      <c r="E976" s="17"/>
      <c r="F976" s="62"/>
      <c r="G976" s="17"/>
      <c r="H976" s="17"/>
      <c r="I976" s="17"/>
      <c r="J976" s="17"/>
      <c r="K976" s="17"/>
    </row>
    <row r="977" spans="1:11" ht="13">
      <c r="A977" s="17"/>
      <c r="B977" s="17"/>
      <c r="C977" s="17"/>
      <c r="D977" s="17"/>
      <c r="E977" s="17"/>
      <c r="F977" s="62"/>
      <c r="G977" s="17"/>
      <c r="H977" s="17"/>
      <c r="I977" s="17"/>
      <c r="J977" s="17"/>
      <c r="K977" s="17"/>
    </row>
    <row r="978" spans="1:11" ht="13">
      <c r="A978" s="17"/>
      <c r="B978" s="17"/>
      <c r="C978" s="17"/>
      <c r="D978" s="17"/>
      <c r="E978" s="17"/>
      <c r="F978" s="62"/>
      <c r="G978" s="17"/>
      <c r="H978" s="17"/>
      <c r="I978" s="17"/>
      <c r="J978" s="17"/>
      <c r="K978" s="17"/>
    </row>
    <row r="979" spans="1:11" ht="13">
      <c r="A979" s="17"/>
      <c r="B979" s="17"/>
      <c r="C979" s="17"/>
      <c r="D979" s="17"/>
      <c r="E979" s="17"/>
      <c r="F979" s="62"/>
      <c r="G979" s="17"/>
      <c r="H979" s="17"/>
      <c r="I979" s="17"/>
      <c r="J979" s="17"/>
      <c r="K979" s="17"/>
    </row>
    <row r="980" spans="1:11" ht="13">
      <c r="A980" s="17"/>
      <c r="B980" s="17"/>
      <c r="C980" s="17"/>
      <c r="D980" s="17"/>
      <c r="E980" s="17"/>
      <c r="F980" s="62"/>
      <c r="G980" s="17"/>
      <c r="H980" s="17"/>
      <c r="I980" s="17"/>
      <c r="J980" s="17"/>
      <c r="K980" s="17"/>
    </row>
    <row r="981" spans="1:11" ht="13">
      <c r="A981" s="17"/>
      <c r="B981" s="17"/>
      <c r="C981" s="17"/>
      <c r="D981" s="17"/>
      <c r="E981" s="17"/>
      <c r="F981" s="62"/>
      <c r="G981" s="17"/>
      <c r="H981" s="17"/>
      <c r="I981" s="17"/>
      <c r="J981" s="17"/>
      <c r="K981" s="17"/>
    </row>
    <row r="982" spans="1:11" ht="13">
      <c r="A982" s="17"/>
      <c r="B982" s="17"/>
      <c r="C982" s="17"/>
      <c r="D982" s="17"/>
      <c r="E982" s="17"/>
      <c r="F982" s="62"/>
      <c r="G982" s="17"/>
      <c r="H982" s="17"/>
      <c r="I982" s="17"/>
      <c r="J982" s="17"/>
      <c r="K982" s="17"/>
    </row>
    <row r="983" spans="1:11" ht="13">
      <c r="A983" s="17"/>
      <c r="B983" s="17"/>
      <c r="C983" s="17"/>
      <c r="D983" s="17"/>
      <c r="E983" s="17"/>
      <c r="F983" s="62"/>
      <c r="G983" s="17"/>
      <c r="H983" s="17"/>
      <c r="I983" s="17"/>
      <c r="J983" s="17"/>
      <c r="K983" s="17"/>
    </row>
    <row r="984" spans="1:11" ht="13">
      <c r="A984" s="17"/>
      <c r="B984" s="17"/>
      <c r="C984" s="17"/>
      <c r="D984" s="17"/>
      <c r="E984" s="17"/>
      <c r="F984" s="62"/>
      <c r="G984" s="17"/>
      <c r="H984" s="17"/>
      <c r="I984" s="17"/>
      <c r="J984" s="17"/>
      <c r="K984" s="17"/>
    </row>
    <row r="985" spans="1:11" ht="13">
      <c r="A985" s="17"/>
      <c r="B985" s="17"/>
      <c r="C985" s="17"/>
      <c r="D985" s="17"/>
      <c r="E985" s="17"/>
      <c r="F985" s="62"/>
      <c r="G985" s="17"/>
      <c r="H985" s="17"/>
      <c r="I985" s="17"/>
      <c r="J985" s="17"/>
      <c r="K985" s="17"/>
    </row>
    <row r="986" spans="1:11" ht="13">
      <c r="A986" s="17"/>
      <c r="B986" s="17"/>
      <c r="C986" s="17"/>
      <c r="D986" s="17"/>
      <c r="E986" s="17"/>
      <c r="F986" s="62"/>
      <c r="G986" s="17"/>
      <c r="H986" s="17"/>
      <c r="I986" s="17"/>
      <c r="J986" s="17"/>
      <c r="K986" s="17"/>
    </row>
    <row r="987" spans="1:11" ht="13">
      <c r="A987" s="17"/>
      <c r="B987" s="17"/>
      <c r="C987" s="17"/>
      <c r="D987" s="17"/>
      <c r="E987" s="17"/>
      <c r="F987" s="62"/>
      <c r="G987" s="17"/>
      <c r="H987" s="17"/>
      <c r="I987" s="17"/>
      <c r="J987" s="17"/>
      <c r="K987" s="17"/>
    </row>
    <row r="988" spans="1:11" ht="13">
      <c r="A988" s="17"/>
      <c r="B988" s="17"/>
      <c r="C988" s="17"/>
      <c r="D988" s="17"/>
      <c r="E988" s="17"/>
      <c r="F988" s="62"/>
      <c r="G988" s="17"/>
      <c r="H988" s="17"/>
      <c r="I988" s="17"/>
      <c r="J988" s="17"/>
      <c r="K988" s="17"/>
    </row>
    <row r="989" spans="1:11" ht="13">
      <c r="A989" s="17"/>
      <c r="B989" s="17"/>
      <c r="C989" s="17"/>
      <c r="D989" s="17"/>
      <c r="E989" s="17"/>
      <c r="F989" s="62"/>
      <c r="G989" s="17"/>
      <c r="H989" s="17"/>
      <c r="I989" s="17"/>
      <c r="J989" s="17"/>
      <c r="K989" s="17"/>
    </row>
    <row r="990" spans="1:11" ht="13">
      <c r="A990" s="17"/>
      <c r="B990" s="17"/>
      <c r="C990" s="17"/>
      <c r="D990" s="17"/>
      <c r="E990" s="17"/>
      <c r="F990" s="62"/>
      <c r="G990" s="17"/>
      <c r="H990" s="17"/>
      <c r="I990" s="17"/>
      <c r="J990" s="17"/>
      <c r="K990" s="17"/>
    </row>
    <row r="991" spans="1:11" ht="13">
      <c r="A991" s="17"/>
      <c r="B991" s="17"/>
      <c r="C991" s="17"/>
      <c r="D991" s="17"/>
      <c r="E991" s="17"/>
      <c r="F991" s="62"/>
      <c r="G991" s="17"/>
      <c r="H991" s="17"/>
      <c r="I991" s="17"/>
      <c r="J991" s="17"/>
      <c r="K991" s="17"/>
    </row>
    <row r="992" spans="1:11" ht="13">
      <c r="A992" s="17"/>
      <c r="B992" s="17"/>
      <c r="C992" s="17"/>
      <c r="D992" s="17"/>
      <c r="E992" s="17"/>
      <c r="F992" s="62"/>
      <c r="G992" s="17"/>
      <c r="H992" s="17"/>
      <c r="I992" s="17"/>
      <c r="J992" s="17"/>
      <c r="K992" s="17"/>
    </row>
    <row r="993" spans="1:11" ht="13">
      <c r="A993" s="17"/>
      <c r="B993" s="17"/>
      <c r="C993" s="17"/>
      <c r="D993" s="17"/>
      <c r="E993" s="17"/>
      <c r="F993" s="62"/>
      <c r="G993" s="17"/>
      <c r="H993" s="17"/>
      <c r="I993" s="17"/>
      <c r="J993" s="17"/>
      <c r="K993" s="17"/>
    </row>
    <row r="994" spans="1:11" ht="13">
      <c r="A994" s="17"/>
      <c r="B994" s="17"/>
      <c r="C994" s="17"/>
      <c r="D994" s="17"/>
      <c r="E994" s="17"/>
      <c r="F994" s="62"/>
      <c r="G994" s="17"/>
      <c r="H994" s="17"/>
      <c r="I994" s="17"/>
      <c r="J994" s="17"/>
      <c r="K994" s="17"/>
    </row>
    <row r="995" spans="1:11" ht="13">
      <c r="A995" s="17"/>
      <c r="B995" s="17"/>
      <c r="C995" s="17"/>
      <c r="D995" s="17"/>
      <c r="E995" s="17"/>
      <c r="F995" s="62"/>
      <c r="G995" s="17"/>
      <c r="H995" s="17"/>
      <c r="I995" s="17"/>
      <c r="J995" s="17"/>
      <c r="K995" s="17"/>
    </row>
    <row r="996" spans="1:11" ht="13">
      <c r="A996" s="17"/>
      <c r="B996" s="17"/>
      <c r="C996" s="17"/>
      <c r="D996" s="17"/>
      <c r="E996" s="17"/>
      <c r="F996" s="62"/>
      <c r="G996" s="17"/>
      <c r="H996" s="17"/>
      <c r="I996" s="17"/>
      <c r="J996" s="17"/>
      <c r="K996" s="17"/>
    </row>
    <row r="997" spans="1:11" ht="13">
      <c r="A997" s="17"/>
      <c r="B997" s="17"/>
      <c r="C997" s="17"/>
      <c r="D997" s="17"/>
      <c r="E997" s="17"/>
      <c r="F997" s="62"/>
      <c r="G997" s="17"/>
      <c r="H997" s="17"/>
      <c r="I997" s="17"/>
      <c r="J997" s="17"/>
      <c r="K997" s="17"/>
    </row>
    <row r="998" spans="1:11" ht="13">
      <c r="A998" s="17"/>
      <c r="B998" s="17"/>
      <c r="C998" s="17"/>
      <c r="D998" s="17"/>
      <c r="E998" s="17"/>
      <c r="F998" s="62"/>
      <c r="G998" s="17"/>
      <c r="H998" s="17"/>
      <c r="I998" s="17"/>
      <c r="J998" s="17"/>
      <c r="K998" s="17"/>
    </row>
    <row r="999" spans="1:11" ht="13">
      <c r="A999" s="17"/>
      <c r="B999" s="17"/>
      <c r="C999" s="17"/>
      <c r="D999" s="17"/>
      <c r="E999" s="17"/>
      <c r="F999" s="62"/>
      <c r="G999" s="17"/>
      <c r="H999" s="17"/>
      <c r="I999" s="17"/>
      <c r="J999" s="17"/>
      <c r="K999" s="17"/>
    </row>
    <row r="1000" spans="1:11" ht="13">
      <c r="A1000" s="17"/>
      <c r="B1000" s="17"/>
      <c r="C1000" s="17"/>
      <c r="D1000" s="17"/>
      <c r="E1000" s="17"/>
      <c r="F1000" s="62"/>
      <c r="G1000" s="17"/>
      <c r="H1000" s="17"/>
      <c r="I1000" s="17"/>
      <c r="J1000" s="17"/>
      <c r="K1000" s="17"/>
    </row>
    <row r="1001" spans="1:11" ht="13">
      <c r="A1001" s="17"/>
      <c r="B1001" s="17"/>
      <c r="C1001" s="17"/>
      <c r="D1001" s="17"/>
      <c r="E1001" s="17"/>
      <c r="F1001" s="62"/>
      <c r="G1001" s="17"/>
      <c r="H1001" s="17"/>
      <c r="I1001" s="17"/>
      <c r="J1001" s="17"/>
      <c r="K1001" s="17"/>
    </row>
    <row r="1002" spans="1:11" ht="13">
      <c r="A1002" s="17"/>
      <c r="B1002" s="17"/>
      <c r="C1002" s="17"/>
      <c r="D1002" s="17"/>
      <c r="E1002" s="17"/>
      <c r="F1002" s="62"/>
      <c r="G1002" s="17"/>
      <c r="H1002" s="17"/>
      <c r="I1002" s="17"/>
      <c r="J1002" s="17"/>
      <c r="K1002" s="17"/>
    </row>
    <row r="1003" spans="1:11" ht="13">
      <c r="A1003" s="17"/>
      <c r="B1003" s="17"/>
      <c r="C1003" s="17"/>
      <c r="D1003" s="17"/>
      <c r="E1003" s="17"/>
      <c r="F1003" s="62"/>
      <c r="G1003" s="17"/>
      <c r="H1003" s="17"/>
      <c r="I1003" s="17"/>
      <c r="J1003" s="17"/>
      <c r="K1003" s="17"/>
    </row>
    <row r="1004" spans="1:11" ht="13">
      <c r="A1004" s="17"/>
      <c r="B1004" s="17"/>
      <c r="C1004" s="17"/>
      <c r="D1004" s="17"/>
      <c r="E1004" s="17"/>
      <c r="F1004" s="62"/>
      <c r="G1004" s="17"/>
      <c r="H1004" s="17"/>
      <c r="I1004" s="17"/>
      <c r="J1004" s="17"/>
      <c r="K1004" s="17"/>
    </row>
  </sheetData>
  <mergeCells count="12">
    <mergeCell ref="H2:I2"/>
    <mergeCell ref="H3:I3"/>
    <mergeCell ref="A7:D19"/>
    <mergeCell ref="A22:D22"/>
    <mergeCell ref="A23:D35"/>
    <mergeCell ref="F6:I6"/>
    <mergeCell ref="F22:I22"/>
    <mergeCell ref="A2:B2"/>
    <mergeCell ref="A3:B3"/>
    <mergeCell ref="D2:F2"/>
    <mergeCell ref="D3:F3"/>
    <mergeCell ref="A6:D6"/>
  </mergeCells>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1006"/>
  <sheetViews>
    <sheetView tabSelected="1" workbookViewId="0">
      <pane ySplit="3" topLeftCell="A7" activePane="bottomLeft" state="frozen"/>
      <selection pane="bottomLeft" activeCell="D9" sqref="D9"/>
    </sheetView>
  </sheetViews>
  <sheetFormatPr baseColWidth="10" defaultColWidth="12.6640625" defaultRowHeight="15.75" customHeight="1"/>
  <cols>
    <col min="1" max="1" width="17.6640625" customWidth="1"/>
    <col min="2" max="2" width="51.5" customWidth="1"/>
    <col min="3" max="3" width="56.1640625" customWidth="1"/>
    <col min="4" max="4" width="57" customWidth="1"/>
    <col min="5" max="5" width="55.5" customWidth="1"/>
  </cols>
  <sheetData>
    <row r="1" spans="1:5" ht="15.75" customHeight="1">
      <c r="A1" s="114" t="s">
        <v>41</v>
      </c>
      <c r="B1" s="115"/>
      <c r="C1" s="116"/>
      <c r="D1" s="19"/>
      <c r="E1" s="19"/>
    </row>
    <row r="2" spans="1:5" ht="15.75" customHeight="1">
      <c r="A2" s="9"/>
      <c r="B2" s="9"/>
      <c r="C2" s="9"/>
      <c r="D2" s="9"/>
      <c r="E2" s="9"/>
    </row>
    <row r="3" spans="1:5" ht="15.75" customHeight="1">
      <c r="A3" s="20" t="s">
        <v>42</v>
      </c>
      <c r="B3" s="20" t="s">
        <v>43</v>
      </c>
      <c r="C3" s="20" t="s">
        <v>44</v>
      </c>
      <c r="D3" s="21" t="s">
        <v>45</v>
      </c>
      <c r="E3" s="21" t="s">
        <v>46</v>
      </c>
    </row>
    <row r="4" spans="1:5" ht="48">
      <c r="A4" s="14" t="s">
        <v>47</v>
      </c>
      <c r="B4" s="66" t="s">
        <v>48</v>
      </c>
      <c r="C4" s="67" t="s">
        <v>49</v>
      </c>
      <c r="D4" s="67" t="s">
        <v>50</v>
      </c>
      <c r="E4" s="67" t="s">
        <v>51</v>
      </c>
    </row>
    <row r="5" spans="1:5" ht="306">
      <c r="A5" s="68">
        <v>1</v>
      </c>
      <c r="B5" s="77" t="s">
        <v>31</v>
      </c>
      <c r="C5" s="71" t="s">
        <v>1130</v>
      </c>
      <c r="D5" s="71" t="s">
        <v>1131</v>
      </c>
      <c r="E5" s="72" t="s">
        <v>1132</v>
      </c>
    </row>
    <row r="6" spans="1:5" ht="204">
      <c r="A6" s="68">
        <v>2</v>
      </c>
      <c r="B6" s="77" t="s">
        <v>33</v>
      </c>
      <c r="C6" s="69" t="s">
        <v>98</v>
      </c>
      <c r="D6" s="73" t="s">
        <v>1133</v>
      </c>
      <c r="E6" s="74" t="s">
        <v>1134</v>
      </c>
    </row>
    <row r="7" spans="1:5" ht="187">
      <c r="A7" s="70">
        <v>3</v>
      </c>
      <c r="B7" s="77" t="s">
        <v>35</v>
      </c>
      <c r="C7" s="69" t="s">
        <v>1135</v>
      </c>
      <c r="D7" s="73" t="s">
        <v>1136</v>
      </c>
      <c r="E7" s="74" t="s">
        <v>1137</v>
      </c>
    </row>
    <row r="8" spans="1:5" ht="136">
      <c r="A8" s="68">
        <v>4</v>
      </c>
      <c r="B8" s="77" t="s">
        <v>37</v>
      </c>
      <c r="C8" s="69" t="s">
        <v>1138</v>
      </c>
      <c r="D8" s="73" t="s">
        <v>1139</v>
      </c>
      <c r="E8" s="74" t="s">
        <v>1140</v>
      </c>
    </row>
    <row r="9" spans="1:5" ht="238">
      <c r="A9" s="68">
        <v>5</v>
      </c>
      <c r="B9" s="77" t="s">
        <v>39</v>
      </c>
      <c r="C9" s="75" t="s">
        <v>1141</v>
      </c>
      <c r="D9" s="75" t="s">
        <v>1142</v>
      </c>
      <c r="E9" s="76" t="s">
        <v>1143</v>
      </c>
    </row>
    <row r="10" spans="1:5" ht="15.75" customHeight="1">
      <c r="A10" s="9"/>
      <c r="C10" s="9"/>
      <c r="D10" s="9"/>
      <c r="E10" s="9"/>
    </row>
    <row r="11" spans="1:5" ht="15.75" customHeight="1">
      <c r="A11" s="9"/>
      <c r="B11" s="9"/>
      <c r="C11" s="9"/>
      <c r="D11" s="9"/>
      <c r="E11" s="9"/>
    </row>
    <row r="12" spans="1:5" ht="15.75" customHeight="1">
      <c r="A12" s="9"/>
      <c r="B12" s="9"/>
      <c r="C12" s="9"/>
      <c r="D12" s="9"/>
      <c r="E12" s="9"/>
    </row>
    <row r="13" spans="1:5" ht="15.75" customHeight="1">
      <c r="A13" s="9"/>
      <c r="B13" s="9"/>
      <c r="C13" s="9"/>
      <c r="D13" s="9"/>
      <c r="E13" s="9"/>
    </row>
    <row r="14" spans="1:5" ht="15.75" customHeight="1">
      <c r="A14" s="9"/>
      <c r="B14" s="9"/>
      <c r="C14" s="9"/>
      <c r="D14" s="9"/>
      <c r="E14" s="9"/>
    </row>
    <row r="15" spans="1:5" ht="15.75" customHeight="1">
      <c r="A15" s="9"/>
      <c r="B15" s="9"/>
      <c r="C15" s="9"/>
      <c r="D15" s="9"/>
      <c r="E15" s="9"/>
    </row>
    <row r="16" spans="1:5" ht="15.75" customHeight="1">
      <c r="A16" s="9"/>
      <c r="B16" s="9"/>
      <c r="C16" s="9"/>
      <c r="D16" s="9"/>
      <c r="E16" s="9"/>
    </row>
    <row r="17" spans="1:5" ht="15.75" customHeight="1">
      <c r="A17" s="9"/>
      <c r="B17" s="9"/>
      <c r="C17" s="9"/>
      <c r="D17" s="9"/>
      <c r="E17" s="9"/>
    </row>
    <row r="18" spans="1:5" ht="15.75" customHeight="1">
      <c r="A18" s="9"/>
      <c r="B18" s="9"/>
      <c r="C18" s="9"/>
      <c r="D18" s="9"/>
      <c r="E18" s="9"/>
    </row>
    <row r="19" spans="1:5" ht="15.75" customHeight="1">
      <c r="A19" s="9"/>
      <c r="B19" s="9"/>
      <c r="C19" s="9"/>
      <c r="D19" s="9"/>
      <c r="E19" s="9"/>
    </row>
    <row r="20" spans="1:5" ht="15.75" customHeight="1">
      <c r="A20" s="9"/>
      <c r="B20" s="9"/>
      <c r="C20" s="9"/>
      <c r="D20" s="9"/>
      <c r="E20" s="9"/>
    </row>
    <row r="21" spans="1:5" ht="15.75" customHeight="1">
      <c r="A21" s="9"/>
      <c r="B21" s="9"/>
      <c r="C21" s="9"/>
      <c r="D21" s="9"/>
      <c r="E21" s="9"/>
    </row>
    <row r="22" spans="1:5" ht="15.75" customHeight="1">
      <c r="A22" s="9"/>
      <c r="B22" s="9"/>
      <c r="C22" s="9"/>
      <c r="D22" s="9"/>
      <c r="E22" s="9"/>
    </row>
    <row r="23" spans="1:5" ht="15.75" customHeight="1">
      <c r="A23" s="9"/>
      <c r="B23" s="9"/>
      <c r="C23" s="9"/>
      <c r="D23" s="9"/>
      <c r="E23" s="9"/>
    </row>
    <row r="24" spans="1:5" ht="15.75" customHeight="1">
      <c r="A24" s="9"/>
      <c r="B24" s="9"/>
      <c r="C24" s="9"/>
      <c r="D24" s="9"/>
      <c r="E24" s="9"/>
    </row>
    <row r="25" spans="1:5" ht="15.75" customHeight="1">
      <c r="A25" s="9"/>
      <c r="B25" s="9"/>
      <c r="C25" s="9"/>
      <c r="D25" s="9"/>
      <c r="E25" s="9"/>
    </row>
    <row r="26" spans="1:5" ht="15.75" customHeight="1">
      <c r="A26" s="9"/>
      <c r="B26" s="9"/>
      <c r="C26" s="9"/>
      <c r="D26" s="9"/>
      <c r="E26" s="9"/>
    </row>
    <row r="27" spans="1:5" ht="15.75" customHeight="1">
      <c r="A27" s="9"/>
      <c r="B27" s="9"/>
      <c r="C27" s="9"/>
      <c r="D27" s="9"/>
      <c r="E27" s="9"/>
    </row>
    <row r="28" spans="1:5" ht="15.75" customHeight="1">
      <c r="A28" s="9"/>
      <c r="B28" s="9"/>
      <c r="C28" s="9"/>
      <c r="D28" s="9"/>
      <c r="E28" s="9"/>
    </row>
    <row r="29" spans="1:5" ht="15.75" customHeight="1">
      <c r="A29" s="9"/>
      <c r="B29" s="9"/>
      <c r="C29" s="9"/>
      <c r="D29" s="9"/>
      <c r="E29" s="9"/>
    </row>
    <row r="30" spans="1:5" ht="15.75" customHeight="1">
      <c r="A30" s="9"/>
      <c r="B30" s="9"/>
      <c r="C30" s="9"/>
      <c r="D30" s="9"/>
      <c r="E30" s="9"/>
    </row>
    <row r="31" spans="1:5" ht="15.75" customHeight="1">
      <c r="A31" s="9"/>
      <c r="B31" s="9"/>
      <c r="C31" s="9"/>
      <c r="D31" s="9"/>
      <c r="E31" s="9"/>
    </row>
    <row r="32" spans="1:5" ht="15.75" customHeight="1">
      <c r="A32" s="9"/>
      <c r="B32" s="9"/>
      <c r="C32" s="9"/>
      <c r="D32" s="9"/>
      <c r="E32" s="9"/>
    </row>
    <row r="33" spans="1:5" ht="15.75" customHeight="1">
      <c r="A33" s="9"/>
      <c r="B33" s="9"/>
      <c r="C33" s="9"/>
      <c r="D33" s="9"/>
      <c r="E33" s="9"/>
    </row>
    <row r="34" spans="1:5" ht="15.75" customHeight="1">
      <c r="A34" s="9"/>
      <c r="B34" s="9"/>
      <c r="C34" s="9"/>
      <c r="D34" s="9"/>
      <c r="E34" s="9"/>
    </row>
    <row r="35" spans="1:5" ht="15.75" customHeight="1">
      <c r="A35" s="9"/>
      <c r="B35" s="9"/>
      <c r="C35" s="9"/>
      <c r="D35" s="9"/>
      <c r="E35" s="9"/>
    </row>
    <row r="36" spans="1:5" ht="15.75" customHeight="1">
      <c r="A36" s="9"/>
      <c r="B36" s="9"/>
      <c r="C36" s="9"/>
      <c r="D36" s="9"/>
      <c r="E36" s="9"/>
    </row>
    <row r="37" spans="1:5" ht="15.75" customHeight="1">
      <c r="A37" s="9"/>
      <c r="B37" s="9"/>
      <c r="C37" s="9"/>
      <c r="D37" s="9"/>
      <c r="E37" s="9"/>
    </row>
    <row r="38" spans="1:5" ht="15.75" customHeight="1">
      <c r="A38" s="9"/>
      <c r="B38" s="9"/>
      <c r="C38" s="9"/>
      <c r="D38" s="9"/>
      <c r="E38" s="9"/>
    </row>
    <row r="39" spans="1:5" ht="15.75" customHeight="1">
      <c r="A39" s="9"/>
      <c r="B39" s="9"/>
      <c r="C39" s="9"/>
      <c r="D39" s="9"/>
      <c r="E39" s="9"/>
    </row>
    <row r="40" spans="1:5" ht="15.75" customHeight="1">
      <c r="A40" s="9"/>
      <c r="B40" s="9"/>
      <c r="C40" s="9"/>
      <c r="D40" s="9"/>
      <c r="E40" s="9"/>
    </row>
    <row r="41" spans="1:5" ht="15.75" customHeight="1">
      <c r="A41" s="9"/>
      <c r="B41" s="9"/>
      <c r="C41" s="9"/>
      <c r="D41" s="9"/>
      <c r="E41" s="9"/>
    </row>
    <row r="42" spans="1:5" ht="15.75" customHeight="1">
      <c r="A42" s="9"/>
      <c r="B42" s="9"/>
      <c r="C42" s="9"/>
      <c r="D42" s="9"/>
      <c r="E42" s="9"/>
    </row>
    <row r="43" spans="1:5" ht="15.75" customHeight="1">
      <c r="A43" s="9"/>
      <c r="B43" s="9"/>
      <c r="C43" s="9"/>
      <c r="D43" s="9"/>
      <c r="E43" s="9"/>
    </row>
    <row r="44" spans="1:5" ht="15.75" customHeight="1">
      <c r="A44" s="9"/>
      <c r="B44" s="9"/>
      <c r="C44" s="9"/>
      <c r="D44" s="9"/>
      <c r="E44" s="9"/>
    </row>
    <row r="45" spans="1:5" ht="15.75" customHeight="1">
      <c r="A45" s="9"/>
      <c r="B45" s="9"/>
      <c r="C45" s="9"/>
      <c r="D45" s="9"/>
      <c r="E45" s="9"/>
    </row>
    <row r="46" spans="1:5" ht="15.75" customHeight="1">
      <c r="A46" s="9"/>
      <c r="B46" s="9"/>
      <c r="C46" s="9"/>
      <c r="D46" s="9"/>
      <c r="E46" s="9"/>
    </row>
    <row r="47" spans="1:5" ht="15.75" customHeight="1">
      <c r="A47" s="9"/>
      <c r="B47" s="9"/>
      <c r="C47" s="9"/>
      <c r="D47" s="9"/>
      <c r="E47" s="9"/>
    </row>
    <row r="48" spans="1:5" ht="15.75" customHeight="1">
      <c r="A48" s="9"/>
      <c r="B48" s="9"/>
      <c r="C48" s="9"/>
      <c r="D48" s="9"/>
      <c r="E48" s="9"/>
    </row>
    <row r="49" spans="1:5" ht="15.75" customHeight="1">
      <c r="A49" s="9"/>
      <c r="B49" s="9"/>
      <c r="C49" s="9"/>
      <c r="D49" s="9"/>
      <c r="E49" s="9"/>
    </row>
    <row r="50" spans="1:5" ht="15.75" customHeight="1">
      <c r="A50" s="9"/>
      <c r="B50" s="9"/>
      <c r="C50" s="9"/>
      <c r="D50" s="9"/>
      <c r="E50" s="9"/>
    </row>
    <row r="51" spans="1:5" ht="15.75" customHeight="1">
      <c r="A51" s="9"/>
      <c r="B51" s="9"/>
      <c r="C51" s="9"/>
      <c r="D51" s="9"/>
      <c r="E51" s="9"/>
    </row>
    <row r="52" spans="1:5" ht="15.75" customHeight="1">
      <c r="A52" s="9"/>
      <c r="B52" s="9"/>
      <c r="C52" s="9"/>
      <c r="D52" s="9"/>
      <c r="E52" s="9"/>
    </row>
    <row r="53" spans="1:5" ht="15.75" customHeight="1">
      <c r="A53" s="9"/>
      <c r="B53" s="9"/>
      <c r="C53" s="9"/>
      <c r="D53" s="9"/>
      <c r="E53" s="9"/>
    </row>
    <row r="54" spans="1:5" ht="13">
      <c r="A54" s="9"/>
      <c r="B54" s="9"/>
      <c r="C54" s="9"/>
      <c r="D54" s="9"/>
      <c r="E54" s="9"/>
    </row>
    <row r="55" spans="1:5" ht="13">
      <c r="A55" s="9"/>
      <c r="B55" s="9"/>
      <c r="C55" s="9"/>
      <c r="D55" s="9"/>
      <c r="E55" s="9"/>
    </row>
    <row r="56" spans="1:5" ht="13">
      <c r="A56" s="9"/>
      <c r="B56" s="9"/>
      <c r="C56" s="9"/>
      <c r="D56" s="9"/>
      <c r="E56" s="9"/>
    </row>
    <row r="57" spans="1:5" ht="13">
      <c r="A57" s="9"/>
      <c r="B57" s="9"/>
      <c r="C57" s="9"/>
      <c r="D57" s="9"/>
      <c r="E57" s="9"/>
    </row>
    <row r="58" spans="1:5" ht="13">
      <c r="A58" s="9"/>
      <c r="B58" s="9"/>
      <c r="C58" s="9"/>
      <c r="D58" s="9"/>
      <c r="E58" s="9"/>
    </row>
    <row r="59" spans="1:5" ht="13">
      <c r="A59" s="9"/>
      <c r="B59" s="9"/>
      <c r="C59" s="9"/>
      <c r="D59" s="9"/>
      <c r="E59" s="9"/>
    </row>
    <row r="60" spans="1:5" ht="13">
      <c r="A60" s="9"/>
      <c r="B60" s="9"/>
      <c r="C60" s="9"/>
      <c r="D60" s="9"/>
      <c r="E60" s="9"/>
    </row>
    <row r="61" spans="1:5" ht="13">
      <c r="A61" s="9"/>
      <c r="B61" s="9"/>
      <c r="C61" s="9"/>
      <c r="D61" s="9"/>
      <c r="E61" s="9"/>
    </row>
    <row r="62" spans="1:5" ht="13">
      <c r="A62" s="9"/>
      <c r="B62" s="9"/>
      <c r="C62" s="9"/>
      <c r="D62" s="9"/>
      <c r="E62" s="9"/>
    </row>
    <row r="63" spans="1:5" ht="13">
      <c r="A63" s="9"/>
      <c r="B63" s="9"/>
      <c r="C63" s="9"/>
      <c r="D63" s="9"/>
      <c r="E63" s="9"/>
    </row>
    <row r="64" spans="1:5" ht="13">
      <c r="A64" s="9"/>
      <c r="B64" s="9"/>
      <c r="C64" s="9"/>
      <c r="D64" s="9"/>
      <c r="E64" s="9"/>
    </row>
    <row r="65" spans="1:5" ht="13">
      <c r="A65" s="9"/>
      <c r="B65" s="9"/>
      <c r="C65" s="9"/>
      <c r="D65" s="9"/>
      <c r="E65" s="9"/>
    </row>
    <row r="66" spans="1:5" ht="13">
      <c r="A66" s="9"/>
      <c r="B66" s="9"/>
      <c r="C66" s="9"/>
      <c r="D66" s="9"/>
      <c r="E66" s="9"/>
    </row>
    <row r="67" spans="1:5" ht="13">
      <c r="A67" s="9"/>
      <c r="B67" s="9"/>
      <c r="C67" s="9"/>
      <c r="D67" s="9"/>
      <c r="E67" s="9"/>
    </row>
    <row r="68" spans="1:5" ht="13">
      <c r="A68" s="9"/>
      <c r="B68" s="9"/>
      <c r="C68" s="9"/>
      <c r="D68" s="9"/>
      <c r="E68" s="9"/>
    </row>
    <row r="69" spans="1:5" ht="13">
      <c r="A69" s="9"/>
      <c r="B69" s="9"/>
      <c r="C69" s="9"/>
      <c r="D69" s="9"/>
      <c r="E69" s="9"/>
    </row>
    <row r="70" spans="1:5" ht="13">
      <c r="A70" s="9"/>
      <c r="B70" s="9"/>
      <c r="C70" s="9"/>
      <c r="D70" s="9"/>
      <c r="E70" s="9"/>
    </row>
    <row r="71" spans="1:5" ht="13">
      <c r="A71" s="9"/>
      <c r="B71" s="9"/>
      <c r="C71" s="9"/>
      <c r="D71" s="9"/>
      <c r="E71" s="9"/>
    </row>
    <row r="72" spans="1:5" ht="13">
      <c r="A72" s="9"/>
      <c r="B72" s="9"/>
      <c r="C72" s="9"/>
      <c r="D72" s="9"/>
      <c r="E72" s="9"/>
    </row>
    <row r="73" spans="1:5" ht="13">
      <c r="A73" s="9"/>
      <c r="B73" s="9"/>
      <c r="C73" s="9"/>
      <c r="D73" s="9"/>
      <c r="E73" s="9"/>
    </row>
    <row r="74" spans="1:5" ht="13">
      <c r="A74" s="9"/>
      <c r="B74" s="9"/>
      <c r="C74" s="9"/>
      <c r="D74" s="9"/>
      <c r="E74" s="9"/>
    </row>
    <row r="75" spans="1:5" ht="13">
      <c r="A75" s="9"/>
      <c r="B75" s="9"/>
      <c r="C75" s="9"/>
      <c r="D75" s="9"/>
      <c r="E75" s="9"/>
    </row>
    <row r="76" spans="1:5" ht="13">
      <c r="A76" s="9"/>
      <c r="B76" s="9"/>
      <c r="C76" s="9"/>
      <c r="D76" s="9"/>
      <c r="E76" s="9"/>
    </row>
    <row r="77" spans="1:5" ht="13">
      <c r="A77" s="9"/>
      <c r="B77" s="9"/>
      <c r="C77" s="9"/>
      <c r="D77" s="9"/>
      <c r="E77" s="9"/>
    </row>
    <row r="78" spans="1:5" ht="13">
      <c r="A78" s="9"/>
      <c r="B78" s="9"/>
      <c r="C78" s="9"/>
      <c r="D78" s="9"/>
      <c r="E78" s="9"/>
    </row>
    <row r="79" spans="1:5" ht="13">
      <c r="A79" s="9"/>
      <c r="B79" s="9"/>
      <c r="C79" s="9"/>
      <c r="D79" s="9"/>
      <c r="E79" s="9"/>
    </row>
    <row r="80" spans="1:5" ht="13">
      <c r="A80" s="9"/>
      <c r="B80" s="9"/>
      <c r="C80" s="9"/>
      <c r="D80" s="9"/>
      <c r="E80" s="9"/>
    </row>
    <row r="81" spans="1:5" ht="13">
      <c r="A81" s="9"/>
      <c r="B81" s="9"/>
      <c r="C81" s="9"/>
      <c r="D81" s="9"/>
      <c r="E81" s="9"/>
    </row>
    <row r="82" spans="1:5" ht="13">
      <c r="A82" s="9"/>
      <c r="B82" s="9"/>
      <c r="C82" s="9"/>
      <c r="D82" s="9"/>
      <c r="E82" s="9"/>
    </row>
    <row r="83" spans="1:5" ht="13">
      <c r="A83" s="9"/>
      <c r="B83" s="9"/>
      <c r="C83" s="9"/>
      <c r="D83" s="9"/>
      <c r="E83" s="9"/>
    </row>
    <row r="84" spans="1:5" ht="13">
      <c r="A84" s="9"/>
      <c r="B84" s="9"/>
      <c r="C84" s="9"/>
      <c r="D84" s="9"/>
      <c r="E84" s="9"/>
    </row>
    <row r="85" spans="1:5" ht="13">
      <c r="A85" s="9"/>
      <c r="B85" s="9"/>
      <c r="C85" s="9"/>
      <c r="D85" s="9"/>
      <c r="E85" s="9"/>
    </row>
    <row r="86" spans="1:5" ht="13">
      <c r="A86" s="9"/>
      <c r="B86" s="9"/>
      <c r="C86" s="9"/>
      <c r="D86" s="9"/>
      <c r="E86" s="9"/>
    </row>
    <row r="87" spans="1:5" ht="13">
      <c r="A87" s="9"/>
      <c r="B87" s="9"/>
      <c r="C87" s="9"/>
      <c r="D87" s="9"/>
      <c r="E87" s="9"/>
    </row>
    <row r="88" spans="1:5" ht="13">
      <c r="A88" s="9"/>
      <c r="B88" s="9"/>
      <c r="C88" s="9"/>
      <c r="D88" s="9"/>
      <c r="E88" s="9"/>
    </row>
    <row r="89" spans="1:5" ht="13">
      <c r="A89" s="9"/>
      <c r="B89" s="9"/>
      <c r="C89" s="9"/>
      <c r="D89" s="9"/>
      <c r="E89" s="9"/>
    </row>
    <row r="90" spans="1:5" ht="13">
      <c r="A90" s="9"/>
      <c r="B90" s="9"/>
      <c r="C90" s="9"/>
      <c r="D90" s="9"/>
      <c r="E90" s="9"/>
    </row>
    <row r="91" spans="1:5" ht="13">
      <c r="A91" s="9"/>
      <c r="B91" s="9"/>
      <c r="C91" s="9"/>
      <c r="D91" s="9"/>
      <c r="E91" s="9"/>
    </row>
    <row r="92" spans="1:5" ht="13">
      <c r="A92" s="9"/>
      <c r="B92" s="9"/>
      <c r="C92" s="9"/>
      <c r="D92" s="9"/>
      <c r="E92" s="9"/>
    </row>
    <row r="93" spans="1:5" ht="13">
      <c r="A93" s="9"/>
      <c r="B93" s="9"/>
      <c r="C93" s="9"/>
      <c r="D93" s="9"/>
      <c r="E93" s="9"/>
    </row>
    <row r="94" spans="1:5" ht="13">
      <c r="A94" s="9"/>
      <c r="B94" s="9"/>
      <c r="C94" s="9"/>
      <c r="D94" s="9"/>
      <c r="E94" s="9"/>
    </row>
    <row r="95" spans="1:5" ht="13">
      <c r="A95" s="9"/>
      <c r="B95" s="9"/>
      <c r="C95" s="9"/>
      <c r="D95" s="9"/>
      <c r="E95" s="9"/>
    </row>
    <row r="96" spans="1:5" ht="13">
      <c r="A96" s="9"/>
      <c r="B96" s="9"/>
      <c r="C96" s="9"/>
      <c r="D96" s="9"/>
      <c r="E96" s="9"/>
    </row>
    <row r="97" spans="1:5" ht="13">
      <c r="A97" s="9"/>
      <c r="B97" s="9"/>
      <c r="C97" s="9"/>
      <c r="D97" s="9"/>
      <c r="E97" s="9"/>
    </row>
    <row r="98" spans="1:5" ht="13">
      <c r="A98" s="9"/>
      <c r="B98" s="9"/>
      <c r="C98" s="9"/>
      <c r="D98" s="9"/>
      <c r="E98" s="9"/>
    </row>
    <row r="99" spans="1:5" ht="13">
      <c r="A99" s="9"/>
      <c r="B99" s="9"/>
      <c r="C99" s="9"/>
      <c r="D99" s="9"/>
      <c r="E99" s="9"/>
    </row>
    <row r="100" spans="1:5" ht="13">
      <c r="A100" s="9"/>
      <c r="B100" s="9"/>
      <c r="C100" s="9"/>
      <c r="D100" s="9"/>
      <c r="E100" s="9"/>
    </row>
    <row r="101" spans="1:5" ht="13">
      <c r="A101" s="9"/>
      <c r="B101" s="9"/>
      <c r="C101" s="9"/>
      <c r="D101" s="9"/>
      <c r="E101" s="9"/>
    </row>
    <row r="102" spans="1:5" ht="13">
      <c r="A102" s="9"/>
      <c r="B102" s="9"/>
      <c r="C102" s="9"/>
      <c r="D102" s="9"/>
      <c r="E102" s="9"/>
    </row>
    <row r="103" spans="1:5" ht="13">
      <c r="A103" s="9"/>
      <c r="B103" s="9"/>
      <c r="C103" s="9"/>
      <c r="D103" s="9"/>
      <c r="E103" s="9"/>
    </row>
    <row r="104" spans="1:5" ht="13">
      <c r="A104" s="9"/>
      <c r="B104" s="9"/>
      <c r="C104" s="9"/>
      <c r="D104" s="9"/>
      <c r="E104" s="9"/>
    </row>
    <row r="105" spans="1:5" ht="13">
      <c r="A105" s="9"/>
      <c r="B105" s="9"/>
      <c r="C105" s="9"/>
      <c r="D105" s="9"/>
      <c r="E105" s="9"/>
    </row>
    <row r="106" spans="1:5" ht="13">
      <c r="A106" s="9"/>
      <c r="B106" s="9"/>
      <c r="C106" s="9"/>
      <c r="D106" s="9"/>
      <c r="E106" s="9"/>
    </row>
    <row r="107" spans="1:5" ht="13">
      <c r="A107" s="9"/>
      <c r="B107" s="9"/>
      <c r="C107" s="9"/>
      <c r="D107" s="9"/>
      <c r="E107" s="9"/>
    </row>
    <row r="108" spans="1:5" ht="13">
      <c r="A108" s="9"/>
      <c r="B108" s="9"/>
      <c r="C108" s="9"/>
      <c r="D108" s="9"/>
      <c r="E108" s="9"/>
    </row>
    <row r="109" spans="1:5" ht="13">
      <c r="A109" s="9"/>
      <c r="B109" s="9"/>
      <c r="C109" s="9"/>
      <c r="D109" s="9"/>
      <c r="E109" s="9"/>
    </row>
    <row r="110" spans="1:5" ht="13">
      <c r="A110" s="9"/>
      <c r="B110" s="9"/>
      <c r="C110" s="9"/>
      <c r="D110" s="9"/>
      <c r="E110" s="9"/>
    </row>
    <row r="111" spans="1:5" ht="13">
      <c r="A111" s="9"/>
      <c r="B111" s="9"/>
      <c r="C111" s="9"/>
      <c r="D111" s="9"/>
      <c r="E111" s="9"/>
    </row>
    <row r="112" spans="1:5" ht="13">
      <c r="A112" s="9"/>
      <c r="B112" s="9"/>
      <c r="C112" s="9"/>
      <c r="D112" s="9"/>
      <c r="E112" s="9"/>
    </row>
    <row r="113" spans="1:5" ht="13">
      <c r="A113" s="9"/>
      <c r="B113" s="9"/>
      <c r="C113" s="9"/>
      <c r="D113" s="9"/>
      <c r="E113" s="9"/>
    </row>
    <row r="114" spans="1:5" ht="13">
      <c r="A114" s="9"/>
      <c r="B114" s="9"/>
      <c r="C114" s="9"/>
      <c r="D114" s="9"/>
      <c r="E114" s="9"/>
    </row>
    <row r="115" spans="1:5" ht="13">
      <c r="A115" s="9"/>
      <c r="B115" s="9"/>
      <c r="C115" s="9"/>
      <c r="D115" s="9"/>
      <c r="E115" s="9"/>
    </row>
    <row r="116" spans="1:5" ht="13">
      <c r="A116" s="9"/>
      <c r="B116" s="9"/>
      <c r="C116" s="9"/>
      <c r="D116" s="9"/>
      <c r="E116" s="9"/>
    </row>
    <row r="117" spans="1:5" ht="13">
      <c r="A117" s="9"/>
      <c r="B117" s="9"/>
      <c r="C117" s="9"/>
      <c r="D117" s="9"/>
      <c r="E117" s="9"/>
    </row>
    <row r="118" spans="1:5" ht="13">
      <c r="A118" s="9"/>
      <c r="B118" s="9"/>
      <c r="C118" s="9"/>
      <c r="D118" s="9"/>
      <c r="E118" s="9"/>
    </row>
    <row r="119" spans="1:5" ht="13">
      <c r="A119" s="9"/>
      <c r="B119" s="9"/>
      <c r="C119" s="9"/>
      <c r="D119" s="9"/>
      <c r="E119" s="9"/>
    </row>
    <row r="120" spans="1:5" ht="13">
      <c r="A120" s="9"/>
      <c r="B120" s="9"/>
      <c r="C120" s="9"/>
      <c r="D120" s="9"/>
      <c r="E120" s="9"/>
    </row>
    <row r="121" spans="1:5" ht="13">
      <c r="A121" s="9"/>
      <c r="B121" s="9"/>
      <c r="C121" s="9"/>
      <c r="D121" s="9"/>
      <c r="E121" s="9"/>
    </row>
    <row r="122" spans="1:5" ht="13">
      <c r="A122" s="9"/>
      <c r="B122" s="9"/>
      <c r="C122" s="9"/>
      <c r="D122" s="9"/>
      <c r="E122" s="9"/>
    </row>
    <row r="123" spans="1:5" ht="13">
      <c r="A123" s="9"/>
      <c r="B123" s="9"/>
      <c r="C123" s="9"/>
      <c r="D123" s="9"/>
      <c r="E123" s="9"/>
    </row>
    <row r="124" spans="1:5" ht="13">
      <c r="A124" s="9"/>
      <c r="B124" s="9"/>
      <c r="C124" s="9"/>
      <c r="D124" s="9"/>
      <c r="E124" s="9"/>
    </row>
    <row r="125" spans="1:5" ht="13">
      <c r="A125" s="9"/>
      <c r="B125" s="9"/>
      <c r="C125" s="9"/>
      <c r="D125" s="9"/>
      <c r="E125" s="9"/>
    </row>
    <row r="126" spans="1:5" ht="13">
      <c r="A126" s="9"/>
      <c r="B126" s="9"/>
      <c r="C126" s="9"/>
      <c r="D126" s="9"/>
      <c r="E126" s="9"/>
    </row>
    <row r="127" spans="1:5" ht="13">
      <c r="A127" s="9"/>
      <c r="B127" s="9"/>
      <c r="C127" s="9"/>
      <c r="D127" s="9"/>
      <c r="E127" s="9"/>
    </row>
    <row r="128" spans="1:5" ht="13">
      <c r="A128" s="9"/>
      <c r="B128" s="9"/>
      <c r="C128" s="9"/>
      <c r="D128" s="9"/>
      <c r="E128" s="9"/>
    </row>
    <row r="129" spans="1:5" ht="13">
      <c r="A129" s="9"/>
      <c r="B129" s="9"/>
      <c r="C129" s="9"/>
      <c r="D129" s="9"/>
      <c r="E129" s="9"/>
    </row>
    <row r="130" spans="1:5" ht="13">
      <c r="A130" s="9"/>
      <c r="B130" s="9"/>
      <c r="C130" s="9"/>
      <c r="D130" s="9"/>
      <c r="E130" s="9"/>
    </row>
    <row r="131" spans="1:5" ht="13">
      <c r="A131" s="9"/>
      <c r="B131" s="9"/>
      <c r="C131" s="9"/>
      <c r="D131" s="9"/>
      <c r="E131" s="9"/>
    </row>
    <row r="132" spans="1:5" ht="13">
      <c r="A132" s="9"/>
      <c r="B132" s="9"/>
      <c r="C132" s="9"/>
      <c r="D132" s="9"/>
      <c r="E132" s="9"/>
    </row>
    <row r="133" spans="1:5" ht="13">
      <c r="A133" s="9"/>
      <c r="B133" s="9"/>
      <c r="C133" s="9"/>
      <c r="D133" s="9"/>
      <c r="E133" s="9"/>
    </row>
    <row r="134" spans="1:5" ht="13">
      <c r="A134" s="9"/>
      <c r="B134" s="9"/>
      <c r="C134" s="9"/>
      <c r="D134" s="9"/>
      <c r="E134" s="9"/>
    </row>
    <row r="135" spans="1:5" ht="13">
      <c r="A135" s="9"/>
      <c r="B135" s="9"/>
      <c r="C135" s="9"/>
      <c r="D135" s="9"/>
      <c r="E135" s="9"/>
    </row>
    <row r="136" spans="1:5" ht="13">
      <c r="A136" s="9"/>
      <c r="B136" s="9"/>
      <c r="C136" s="9"/>
      <c r="D136" s="9"/>
      <c r="E136" s="9"/>
    </row>
    <row r="137" spans="1:5" ht="13">
      <c r="A137" s="9"/>
      <c r="B137" s="9"/>
      <c r="C137" s="9"/>
      <c r="D137" s="9"/>
      <c r="E137" s="9"/>
    </row>
    <row r="138" spans="1:5" ht="13">
      <c r="A138" s="9"/>
      <c r="B138" s="9"/>
      <c r="C138" s="9"/>
      <c r="D138" s="9"/>
      <c r="E138" s="9"/>
    </row>
    <row r="139" spans="1:5" ht="13">
      <c r="A139" s="9"/>
      <c r="B139" s="9"/>
      <c r="C139" s="9"/>
      <c r="D139" s="9"/>
      <c r="E139" s="9"/>
    </row>
    <row r="140" spans="1:5" ht="13">
      <c r="A140" s="9"/>
      <c r="B140" s="9"/>
      <c r="C140" s="9"/>
      <c r="D140" s="9"/>
      <c r="E140" s="9"/>
    </row>
    <row r="141" spans="1:5" ht="13">
      <c r="A141" s="9"/>
      <c r="B141" s="9"/>
      <c r="C141" s="9"/>
      <c r="D141" s="9"/>
      <c r="E141" s="9"/>
    </row>
    <row r="142" spans="1:5" ht="13">
      <c r="A142" s="9"/>
      <c r="B142" s="9"/>
      <c r="C142" s="9"/>
      <c r="D142" s="9"/>
      <c r="E142" s="9"/>
    </row>
    <row r="143" spans="1:5" ht="13">
      <c r="A143" s="9"/>
      <c r="B143" s="9"/>
      <c r="C143" s="9"/>
      <c r="D143" s="9"/>
      <c r="E143" s="9"/>
    </row>
    <row r="144" spans="1:5" ht="13">
      <c r="A144" s="9"/>
      <c r="B144" s="9"/>
      <c r="C144" s="9"/>
      <c r="D144" s="9"/>
      <c r="E144" s="9"/>
    </row>
    <row r="145" spans="1:5" ht="13">
      <c r="A145" s="9"/>
      <c r="B145" s="9"/>
      <c r="C145" s="9"/>
      <c r="D145" s="9"/>
      <c r="E145" s="9"/>
    </row>
    <row r="146" spans="1:5" ht="13">
      <c r="A146" s="9"/>
      <c r="B146" s="9"/>
      <c r="C146" s="9"/>
      <c r="D146" s="9"/>
      <c r="E146" s="9"/>
    </row>
    <row r="147" spans="1:5" ht="13">
      <c r="A147" s="9"/>
      <c r="B147" s="9"/>
      <c r="C147" s="9"/>
      <c r="D147" s="9"/>
      <c r="E147" s="9"/>
    </row>
    <row r="148" spans="1:5" ht="13">
      <c r="A148" s="9"/>
      <c r="B148" s="9"/>
      <c r="C148" s="9"/>
      <c r="D148" s="9"/>
      <c r="E148" s="9"/>
    </row>
    <row r="149" spans="1:5" ht="13">
      <c r="A149" s="9"/>
      <c r="B149" s="9"/>
      <c r="C149" s="9"/>
      <c r="D149" s="9"/>
      <c r="E149" s="9"/>
    </row>
    <row r="150" spans="1:5" ht="13">
      <c r="A150" s="9"/>
      <c r="B150" s="9"/>
      <c r="C150" s="9"/>
      <c r="D150" s="9"/>
      <c r="E150" s="9"/>
    </row>
    <row r="151" spans="1:5" ht="13">
      <c r="A151" s="9"/>
      <c r="B151" s="9"/>
      <c r="C151" s="9"/>
      <c r="D151" s="9"/>
      <c r="E151" s="9"/>
    </row>
    <row r="152" spans="1:5" ht="13">
      <c r="A152" s="9"/>
      <c r="B152" s="9"/>
      <c r="C152" s="9"/>
      <c r="D152" s="9"/>
      <c r="E152" s="9"/>
    </row>
    <row r="153" spans="1:5" ht="13">
      <c r="A153" s="9"/>
      <c r="B153" s="9"/>
      <c r="C153" s="9"/>
      <c r="D153" s="9"/>
      <c r="E153" s="9"/>
    </row>
    <row r="154" spans="1:5" ht="13">
      <c r="A154" s="9"/>
      <c r="B154" s="9"/>
      <c r="C154" s="9"/>
      <c r="D154" s="9"/>
      <c r="E154" s="9"/>
    </row>
    <row r="155" spans="1:5" ht="13">
      <c r="A155" s="9"/>
      <c r="B155" s="9"/>
      <c r="C155" s="9"/>
      <c r="D155" s="9"/>
      <c r="E155" s="9"/>
    </row>
    <row r="156" spans="1:5" ht="13">
      <c r="A156" s="9"/>
      <c r="B156" s="9"/>
      <c r="C156" s="9"/>
      <c r="D156" s="9"/>
      <c r="E156" s="9"/>
    </row>
    <row r="157" spans="1:5" ht="13">
      <c r="A157" s="9"/>
      <c r="B157" s="9"/>
      <c r="C157" s="9"/>
      <c r="D157" s="9"/>
      <c r="E157" s="9"/>
    </row>
    <row r="158" spans="1:5" ht="13">
      <c r="A158" s="9"/>
      <c r="B158" s="9"/>
      <c r="C158" s="9"/>
      <c r="D158" s="9"/>
      <c r="E158" s="9"/>
    </row>
    <row r="159" spans="1:5" ht="13">
      <c r="A159" s="9"/>
      <c r="B159" s="9"/>
      <c r="C159" s="9"/>
      <c r="D159" s="9"/>
      <c r="E159" s="9"/>
    </row>
    <row r="160" spans="1:5" ht="13">
      <c r="A160" s="9"/>
      <c r="B160" s="9"/>
      <c r="C160" s="9"/>
      <c r="D160" s="9"/>
      <c r="E160" s="9"/>
    </row>
    <row r="161" spans="1:5" ht="13">
      <c r="A161" s="9"/>
      <c r="B161" s="9"/>
      <c r="C161" s="9"/>
      <c r="D161" s="9"/>
      <c r="E161" s="9"/>
    </row>
    <row r="162" spans="1:5" ht="13">
      <c r="A162" s="9"/>
      <c r="B162" s="9"/>
      <c r="C162" s="9"/>
      <c r="D162" s="9"/>
      <c r="E162" s="9"/>
    </row>
    <row r="163" spans="1:5" ht="13">
      <c r="A163" s="9"/>
      <c r="B163" s="9"/>
      <c r="C163" s="9"/>
      <c r="D163" s="9"/>
      <c r="E163" s="9"/>
    </row>
    <row r="164" spans="1:5" ht="13">
      <c r="A164" s="9"/>
      <c r="B164" s="9"/>
      <c r="C164" s="9"/>
      <c r="D164" s="9"/>
      <c r="E164" s="9"/>
    </row>
    <row r="165" spans="1:5" ht="13">
      <c r="A165" s="9"/>
      <c r="B165" s="9"/>
      <c r="C165" s="9"/>
      <c r="D165" s="9"/>
      <c r="E165" s="9"/>
    </row>
    <row r="166" spans="1:5" ht="13">
      <c r="A166" s="9"/>
      <c r="B166" s="9"/>
      <c r="C166" s="9"/>
      <c r="D166" s="9"/>
      <c r="E166" s="9"/>
    </row>
    <row r="167" spans="1:5" ht="13">
      <c r="A167" s="9"/>
      <c r="B167" s="9"/>
      <c r="C167" s="9"/>
      <c r="D167" s="9"/>
      <c r="E167" s="9"/>
    </row>
    <row r="168" spans="1:5" ht="13">
      <c r="A168" s="9"/>
      <c r="B168" s="9"/>
      <c r="C168" s="9"/>
      <c r="D168" s="9"/>
      <c r="E168" s="9"/>
    </row>
    <row r="169" spans="1:5" ht="13">
      <c r="A169" s="9"/>
      <c r="B169" s="9"/>
      <c r="C169" s="9"/>
      <c r="D169" s="9"/>
      <c r="E169" s="9"/>
    </row>
    <row r="170" spans="1:5" ht="13">
      <c r="A170" s="9"/>
      <c r="B170" s="9"/>
      <c r="C170" s="9"/>
      <c r="D170" s="9"/>
      <c r="E170" s="9"/>
    </row>
    <row r="171" spans="1:5" ht="13">
      <c r="A171" s="9"/>
      <c r="B171" s="9"/>
      <c r="C171" s="9"/>
      <c r="D171" s="9"/>
      <c r="E171" s="9"/>
    </row>
    <row r="172" spans="1:5" ht="13">
      <c r="A172" s="9"/>
      <c r="B172" s="9"/>
      <c r="C172" s="9"/>
      <c r="D172" s="9"/>
      <c r="E172" s="9"/>
    </row>
    <row r="173" spans="1:5" ht="13">
      <c r="A173" s="9"/>
      <c r="B173" s="9"/>
      <c r="C173" s="9"/>
      <c r="D173" s="9"/>
      <c r="E173" s="9"/>
    </row>
    <row r="174" spans="1:5" ht="13">
      <c r="A174" s="9"/>
      <c r="B174" s="9"/>
      <c r="C174" s="9"/>
      <c r="D174" s="9"/>
      <c r="E174" s="9"/>
    </row>
    <row r="175" spans="1:5" ht="13">
      <c r="A175" s="9"/>
      <c r="B175" s="9"/>
      <c r="C175" s="9"/>
      <c r="D175" s="9"/>
      <c r="E175" s="9"/>
    </row>
    <row r="176" spans="1:5" ht="13">
      <c r="A176" s="9"/>
      <c r="B176" s="9"/>
      <c r="C176" s="9"/>
      <c r="D176" s="9"/>
      <c r="E176" s="9"/>
    </row>
    <row r="177" spans="1:5" ht="13">
      <c r="A177" s="9"/>
      <c r="B177" s="9"/>
      <c r="C177" s="9"/>
      <c r="D177" s="9"/>
      <c r="E177" s="9"/>
    </row>
    <row r="178" spans="1:5" ht="13">
      <c r="A178" s="9"/>
      <c r="B178" s="9"/>
      <c r="C178" s="9"/>
      <c r="D178" s="9"/>
      <c r="E178" s="9"/>
    </row>
    <row r="179" spans="1:5" ht="13">
      <c r="A179" s="9"/>
      <c r="B179" s="9"/>
      <c r="C179" s="9"/>
      <c r="D179" s="9"/>
      <c r="E179" s="9"/>
    </row>
    <row r="180" spans="1:5" ht="13">
      <c r="A180" s="9"/>
      <c r="B180" s="9"/>
      <c r="C180" s="9"/>
      <c r="D180" s="9"/>
      <c r="E180" s="9"/>
    </row>
    <row r="181" spans="1:5" ht="13">
      <c r="A181" s="9"/>
      <c r="B181" s="9"/>
      <c r="C181" s="9"/>
      <c r="D181" s="9"/>
      <c r="E181" s="9"/>
    </row>
    <row r="182" spans="1:5" ht="13">
      <c r="A182" s="9"/>
      <c r="B182" s="9"/>
      <c r="C182" s="9"/>
      <c r="D182" s="9"/>
      <c r="E182" s="9"/>
    </row>
    <row r="183" spans="1:5" ht="13">
      <c r="A183" s="9"/>
      <c r="B183" s="9"/>
      <c r="C183" s="9"/>
      <c r="D183" s="9"/>
      <c r="E183" s="9"/>
    </row>
    <row r="184" spans="1:5" ht="13">
      <c r="A184" s="9"/>
      <c r="B184" s="9"/>
      <c r="C184" s="9"/>
      <c r="D184" s="9"/>
      <c r="E184" s="9"/>
    </row>
    <row r="185" spans="1:5" ht="13">
      <c r="A185" s="9"/>
      <c r="B185" s="9"/>
      <c r="C185" s="9"/>
      <c r="D185" s="9"/>
      <c r="E185" s="9"/>
    </row>
    <row r="186" spans="1:5" ht="13">
      <c r="A186" s="9"/>
      <c r="B186" s="9"/>
      <c r="C186" s="9"/>
      <c r="D186" s="9"/>
      <c r="E186" s="9"/>
    </row>
    <row r="187" spans="1:5" ht="13">
      <c r="A187" s="9"/>
      <c r="B187" s="9"/>
      <c r="C187" s="9"/>
      <c r="D187" s="9"/>
      <c r="E187" s="9"/>
    </row>
    <row r="188" spans="1:5" ht="13">
      <c r="A188" s="9"/>
      <c r="B188" s="9"/>
      <c r="C188" s="9"/>
      <c r="D188" s="9"/>
      <c r="E188" s="9"/>
    </row>
    <row r="189" spans="1:5" ht="13">
      <c r="A189" s="9"/>
      <c r="B189" s="9"/>
      <c r="C189" s="9"/>
      <c r="D189" s="9"/>
      <c r="E189" s="9"/>
    </row>
    <row r="190" spans="1:5" ht="13">
      <c r="A190" s="9"/>
      <c r="B190" s="9"/>
      <c r="C190" s="9"/>
      <c r="D190" s="9"/>
      <c r="E190" s="9"/>
    </row>
    <row r="191" spans="1:5" ht="13">
      <c r="A191" s="9"/>
      <c r="B191" s="9"/>
      <c r="C191" s="9"/>
      <c r="D191" s="9"/>
      <c r="E191" s="9"/>
    </row>
    <row r="192" spans="1:5" ht="13">
      <c r="A192" s="9"/>
      <c r="B192" s="9"/>
      <c r="C192" s="9"/>
      <c r="D192" s="9"/>
      <c r="E192" s="9"/>
    </row>
    <row r="193" spans="1:5" ht="13">
      <c r="A193" s="9"/>
      <c r="B193" s="9"/>
      <c r="C193" s="9"/>
      <c r="D193" s="9"/>
      <c r="E193" s="9"/>
    </row>
    <row r="194" spans="1:5" ht="13">
      <c r="A194" s="9"/>
      <c r="B194" s="9"/>
      <c r="C194" s="9"/>
      <c r="D194" s="9"/>
      <c r="E194" s="9"/>
    </row>
    <row r="195" spans="1:5" ht="13">
      <c r="A195" s="9"/>
      <c r="B195" s="9"/>
      <c r="C195" s="9"/>
      <c r="D195" s="9"/>
      <c r="E195" s="9"/>
    </row>
    <row r="196" spans="1:5" ht="13">
      <c r="A196" s="9"/>
      <c r="B196" s="9"/>
      <c r="C196" s="9"/>
      <c r="D196" s="9"/>
      <c r="E196" s="9"/>
    </row>
    <row r="197" spans="1:5" ht="13">
      <c r="A197" s="9"/>
      <c r="B197" s="9"/>
      <c r="C197" s="9"/>
      <c r="D197" s="9"/>
      <c r="E197" s="9"/>
    </row>
    <row r="198" spans="1:5" ht="13">
      <c r="A198" s="9"/>
      <c r="B198" s="9"/>
      <c r="C198" s="9"/>
      <c r="D198" s="9"/>
      <c r="E198" s="9"/>
    </row>
    <row r="199" spans="1:5" ht="13">
      <c r="A199" s="9"/>
      <c r="B199" s="9"/>
      <c r="C199" s="9"/>
      <c r="D199" s="9"/>
      <c r="E199" s="9"/>
    </row>
    <row r="200" spans="1:5" ht="13">
      <c r="A200" s="9"/>
      <c r="B200" s="9"/>
      <c r="C200" s="9"/>
      <c r="D200" s="9"/>
      <c r="E200" s="9"/>
    </row>
    <row r="201" spans="1:5" ht="13">
      <c r="A201" s="9"/>
      <c r="B201" s="9"/>
      <c r="C201" s="9"/>
      <c r="D201" s="9"/>
      <c r="E201" s="9"/>
    </row>
    <row r="202" spans="1:5" ht="13">
      <c r="A202" s="9"/>
      <c r="B202" s="9"/>
      <c r="C202" s="9"/>
      <c r="D202" s="9"/>
      <c r="E202" s="9"/>
    </row>
    <row r="203" spans="1:5" ht="13">
      <c r="A203" s="9"/>
      <c r="B203" s="9"/>
      <c r="C203" s="9"/>
      <c r="D203" s="9"/>
      <c r="E203" s="9"/>
    </row>
    <row r="204" spans="1:5" ht="13">
      <c r="A204" s="9"/>
      <c r="B204" s="9"/>
      <c r="C204" s="9"/>
      <c r="D204" s="9"/>
      <c r="E204" s="9"/>
    </row>
    <row r="205" spans="1:5" ht="13">
      <c r="A205" s="9"/>
      <c r="B205" s="9"/>
      <c r="C205" s="9"/>
      <c r="D205" s="9"/>
      <c r="E205" s="9"/>
    </row>
    <row r="206" spans="1:5" ht="13">
      <c r="A206" s="9"/>
      <c r="B206" s="9"/>
      <c r="C206" s="9"/>
      <c r="D206" s="9"/>
      <c r="E206" s="9"/>
    </row>
    <row r="207" spans="1:5" ht="13">
      <c r="A207" s="9"/>
      <c r="B207" s="9"/>
      <c r="C207" s="9"/>
      <c r="D207" s="9"/>
      <c r="E207" s="9"/>
    </row>
    <row r="208" spans="1:5" ht="13">
      <c r="A208" s="9"/>
      <c r="B208" s="9"/>
      <c r="C208" s="9"/>
      <c r="D208" s="9"/>
      <c r="E208" s="9"/>
    </row>
    <row r="209" spans="1:5" ht="13">
      <c r="A209" s="9"/>
      <c r="B209" s="9"/>
      <c r="C209" s="9"/>
      <c r="D209" s="9"/>
      <c r="E209" s="9"/>
    </row>
    <row r="210" spans="1:5" ht="13">
      <c r="A210" s="9"/>
      <c r="B210" s="9"/>
      <c r="C210" s="9"/>
      <c r="D210" s="9"/>
      <c r="E210" s="9"/>
    </row>
    <row r="211" spans="1:5" ht="13">
      <c r="A211" s="9"/>
      <c r="B211" s="9"/>
      <c r="C211" s="9"/>
      <c r="D211" s="9"/>
      <c r="E211" s="9"/>
    </row>
    <row r="212" spans="1:5" ht="13">
      <c r="A212" s="9"/>
      <c r="B212" s="9"/>
      <c r="C212" s="9"/>
      <c r="D212" s="9"/>
      <c r="E212" s="9"/>
    </row>
    <row r="213" spans="1:5" ht="13">
      <c r="A213" s="9"/>
      <c r="B213" s="9"/>
      <c r="C213" s="9"/>
      <c r="D213" s="9"/>
      <c r="E213" s="9"/>
    </row>
    <row r="214" spans="1:5" ht="13">
      <c r="A214" s="9"/>
      <c r="B214" s="9"/>
      <c r="C214" s="9"/>
      <c r="D214" s="9"/>
      <c r="E214" s="9"/>
    </row>
    <row r="215" spans="1:5" ht="13">
      <c r="A215" s="9"/>
      <c r="B215" s="9"/>
      <c r="C215" s="9"/>
      <c r="D215" s="9"/>
      <c r="E215" s="9"/>
    </row>
    <row r="216" spans="1:5" ht="13">
      <c r="A216" s="9"/>
      <c r="B216" s="9"/>
      <c r="C216" s="9"/>
      <c r="D216" s="9"/>
      <c r="E216" s="9"/>
    </row>
    <row r="217" spans="1:5" ht="13">
      <c r="A217" s="9"/>
      <c r="B217" s="9"/>
      <c r="C217" s="9"/>
      <c r="D217" s="9"/>
      <c r="E217" s="9"/>
    </row>
    <row r="218" spans="1:5" ht="13">
      <c r="A218" s="9"/>
      <c r="B218" s="9"/>
      <c r="C218" s="9"/>
      <c r="D218" s="9"/>
      <c r="E218" s="9"/>
    </row>
    <row r="219" spans="1:5" ht="13">
      <c r="A219" s="9"/>
      <c r="B219" s="9"/>
      <c r="C219" s="9"/>
      <c r="D219" s="9"/>
      <c r="E219" s="9"/>
    </row>
    <row r="220" spans="1:5" ht="13">
      <c r="A220" s="9"/>
      <c r="B220" s="9"/>
      <c r="C220" s="9"/>
      <c r="D220" s="9"/>
      <c r="E220" s="9"/>
    </row>
    <row r="221" spans="1:5" ht="13">
      <c r="A221" s="9"/>
      <c r="B221" s="9"/>
      <c r="C221" s="9"/>
      <c r="D221" s="9"/>
      <c r="E221" s="9"/>
    </row>
    <row r="222" spans="1:5" ht="13">
      <c r="A222" s="9"/>
      <c r="B222" s="9"/>
      <c r="C222" s="9"/>
      <c r="D222" s="9"/>
      <c r="E222" s="9"/>
    </row>
    <row r="223" spans="1:5" ht="13">
      <c r="A223" s="9"/>
      <c r="B223" s="9"/>
      <c r="C223" s="9"/>
      <c r="D223" s="9"/>
      <c r="E223" s="9"/>
    </row>
    <row r="224" spans="1:5" ht="13">
      <c r="A224" s="9"/>
      <c r="B224" s="9"/>
      <c r="C224" s="9"/>
      <c r="D224" s="9"/>
      <c r="E224" s="9"/>
    </row>
    <row r="225" spans="1:5" ht="13">
      <c r="A225" s="9"/>
      <c r="B225" s="9"/>
      <c r="C225" s="9"/>
      <c r="D225" s="9"/>
      <c r="E225" s="9"/>
    </row>
    <row r="226" spans="1:5" ht="13">
      <c r="A226" s="9"/>
      <c r="B226" s="9"/>
      <c r="C226" s="9"/>
      <c r="D226" s="9"/>
      <c r="E226" s="9"/>
    </row>
    <row r="227" spans="1:5" ht="13">
      <c r="A227" s="9"/>
      <c r="B227" s="9"/>
      <c r="C227" s="9"/>
      <c r="D227" s="9"/>
      <c r="E227" s="9"/>
    </row>
    <row r="228" spans="1:5" ht="13">
      <c r="A228" s="9"/>
      <c r="B228" s="9"/>
      <c r="C228" s="9"/>
      <c r="D228" s="9"/>
      <c r="E228" s="9"/>
    </row>
    <row r="229" spans="1:5" ht="13">
      <c r="A229" s="9"/>
      <c r="B229" s="9"/>
      <c r="C229" s="9"/>
      <c r="D229" s="9"/>
      <c r="E229" s="9"/>
    </row>
    <row r="230" spans="1:5" ht="13">
      <c r="A230" s="9"/>
      <c r="B230" s="9"/>
      <c r="C230" s="9"/>
      <c r="D230" s="9"/>
      <c r="E230" s="9"/>
    </row>
    <row r="231" spans="1:5" ht="13">
      <c r="A231" s="9"/>
      <c r="B231" s="9"/>
      <c r="C231" s="9"/>
      <c r="D231" s="9"/>
      <c r="E231" s="9"/>
    </row>
    <row r="232" spans="1:5" ht="13">
      <c r="A232" s="9"/>
      <c r="B232" s="9"/>
      <c r="C232" s="9"/>
      <c r="D232" s="9"/>
      <c r="E232" s="9"/>
    </row>
    <row r="233" spans="1:5" ht="13">
      <c r="A233" s="9"/>
      <c r="B233" s="9"/>
      <c r="C233" s="9"/>
      <c r="D233" s="9"/>
      <c r="E233" s="9"/>
    </row>
    <row r="234" spans="1:5" ht="13">
      <c r="A234" s="9"/>
      <c r="B234" s="9"/>
      <c r="C234" s="9"/>
      <c r="D234" s="9"/>
      <c r="E234" s="9"/>
    </row>
    <row r="235" spans="1:5" ht="13">
      <c r="A235" s="9"/>
      <c r="B235" s="9"/>
      <c r="C235" s="9"/>
      <c r="D235" s="9"/>
      <c r="E235" s="9"/>
    </row>
    <row r="236" spans="1:5" ht="13">
      <c r="A236" s="9"/>
      <c r="B236" s="9"/>
      <c r="C236" s="9"/>
      <c r="D236" s="9"/>
      <c r="E236" s="9"/>
    </row>
    <row r="237" spans="1:5" ht="13">
      <c r="A237" s="9"/>
      <c r="B237" s="9"/>
      <c r="C237" s="9"/>
      <c r="D237" s="9"/>
      <c r="E237" s="9"/>
    </row>
    <row r="238" spans="1:5" ht="13">
      <c r="A238" s="9"/>
      <c r="B238" s="9"/>
      <c r="C238" s="9"/>
      <c r="D238" s="9"/>
      <c r="E238" s="9"/>
    </row>
    <row r="239" spans="1:5" ht="13">
      <c r="A239" s="9"/>
      <c r="B239" s="9"/>
      <c r="C239" s="9"/>
      <c r="D239" s="9"/>
      <c r="E239" s="9"/>
    </row>
    <row r="240" spans="1:5" ht="13">
      <c r="A240" s="9"/>
      <c r="B240" s="9"/>
      <c r="C240" s="9"/>
      <c r="D240" s="9"/>
      <c r="E240" s="9"/>
    </row>
    <row r="241" spans="1:5" ht="13">
      <c r="A241" s="9"/>
      <c r="B241" s="9"/>
      <c r="C241" s="9"/>
      <c r="D241" s="9"/>
      <c r="E241" s="9"/>
    </row>
    <row r="242" spans="1:5" ht="13">
      <c r="A242" s="9"/>
      <c r="B242" s="9"/>
      <c r="C242" s="9"/>
      <c r="D242" s="9"/>
      <c r="E242" s="9"/>
    </row>
    <row r="243" spans="1:5" ht="13">
      <c r="A243" s="9"/>
      <c r="B243" s="9"/>
      <c r="C243" s="9"/>
      <c r="D243" s="9"/>
      <c r="E243" s="9"/>
    </row>
    <row r="244" spans="1:5" ht="13">
      <c r="A244" s="9"/>
      <c r="B244" s="9"/>
      <c r="C244" s="9"/>
      <c r="D244" s="9"/>
      <c r="E244" s="9"/>
    </row>
    <row r="245" spans="1:5" ht="13">
      <c r="A245" s="9"/>
      <c r="B245" s="9"/>
      <c r="C245" s="9"/>
      <c r="D245" s="9"/>
      <c r="E245" s="9"/>
    </row>
    <row r="246" spans="1:5" ht="13">
      <c r="A246" s="9"/>
      <c r="B246" s="9"/>
      <c r="C246" s="9"/>
      <c r="D246" s="9"/>
      <c r="E246" s="9"/>
    </row>
    <row r="247" spans="1:5" ht="13">
      <c r="A247" s="9"/>
      <c r="B247" s="9"/>
      <c r="C247" s="9"/>
      <c r="D247" s="9"/>
      <c r="E247" s="9"/>
    </row>
    <row r="248" spans="1:5" ht="13">
      <c r="A248" s="9"/>
      <c r="B248" s="9"/>
      <c r="C248" s="9"/>
      <c r="D248" s="9"/>
      <c r="E248" s="9"/>
    </row>
    <row r="249" spans="1:5" ht="13">
      <c r="A249" s="9"/>
      <c r="B249" s="9"/>
      <c r="C249" s="9"/>
      <c r="D249" s="9"/>
      <c r="E249" s="9"/>
    </row>
    <row r="250" spans="1:5" ht="13">
      <c r="A250" s="9"/>
      <c r="B250" s="9"/>
      <c r="C250" s="9"/>
      <c r="D250" s="9"/>
      <c r="E250" s="9"/>
    </row>
    <row r="251" spans="1:5" ht="13">
      <c r="A251" s="9"/>
      <c r="B251" s="9"/>
      <c r="C251" s="9"/>
      <c r="D251" s="9"/>
      <c r="E251" s="9"/>
    </row>
    <row r="252" spans="1:5" ht="13">
      <c r="A252" s="9"/>
      <c r="B252" s="9"/>
      <c r="C252" s="9"/>
      <c r="D252" s="9"/>
      <c r="E252" s="9"/>
    </row>
    <row r="253" spans="1:5" ht="13">
      <c r="A253" s="9"/>
      <c r="B253" s="9"/>
      <c r="C253" s="9"/>
      <c r="D253" s="9"/>
      <c r="E253" s="9"/>
    </row>
    <row r="254" spans="1:5" ht="13">
      <c r="A254" s="9"/>
      <c r="B254" s="9"/>
      <c r="C254" s="9"/>
      <c r="D254" s="9"/>
      <c r="E254" s="9"/>
    </row>
    <row r="255" spans="1:5" ht="13">
      <c r="A255" s="9"/>
      <c r="B255" s="9"/>
      <c r="C255" s="9"/>
      <c r="D255" s="9"/>
      <c r="E255" s="9"/>
    </row>
    <row r="256" spans="1:5" ht="13">
      <c r="A256" s="9"/>
      <c r="B256" s="9"/>
      <c r="C256" s="9"/>
      <c r="D256" s="9"/>
      <c r="E256" s="9"/>
    </row>
    <row r="257" spans="1:5" ht="13">
      <c r="A257" s="9"/>
      <c r="B257" s="9"/>
      <c r="C257" s="9"/>
      <c r="D257" s="9"/>
      <c r="E257" s="9"/>
    </row>
    <row r="258" spans="1:5" ht="13">
      <c r="A258" s="9"/>
      <c r="B258" s="9"/>
      <c r="C258" s="9"/>
      <c r="D258" s="9"/>
      <c r="E258" s="9"/>
    </row>
    <row r="259" spans="1:5" ht="13">
      <c r="A259" s="9"/>
      <c r="B259" s="9"/>
      <c r="C259" s="9"/>
      <c r="D259" s="9"/>
      <c r="E259" s="9"/>
    </row>
    <row r="260" spans="1:5" ht="13">
      <c r="A260" s="9"/>
      <c r="B260" s="9"/>
      <c r="C260" s="9"/>
      <c r="D260" s="9"/>
      <c r="E260" s="9"/>
    </row>
    <row r="261" spans="1:5" ht="13">
      <c r="A261" s="9"/>
      <c r="B261" s="9"/>
      <c r="C261" s="9"/>
      <c r="D261" s="9"/>
      <c r="E261" s="9"/>
    </row>
    <row r="262" spans="1:5" ht="13">
      <c r="A262" s="9"/>
      <c r="B262" s="9"/>
      <c r="C262" s="9"/>
      <c r="D262" s="9"/>
      <c r="E262" s="9"/>
    </row>
    <row r="263" spans="1:5" ht="13">
      <c r="A263" s="9"/>
      <c r="B263" s="9"/>
      <c r="C263" s="9"/>
      <c r="D263" s="9"/>
      <c r="E263" s="9"/>
    </row>
    <row r="264" spans="1:5" ht="13">
      <c r="A264" s="9"/>
      <c r="B264" s="9"/>
      <c r="C264" s="9"/>
      <c r="D264" s="9"/>
      <c r="E264" s="9"/>
    </row>
    <row r="265" spans="1:5" ht="13">
      <c r="A265" s="9"/>
      <c r="B265" s="9"/>
      <c r="C265" s="9"/>
      <c r="D265" s="9"/>
      <c r="E265" s="9"/>
    </row>
    <row r="266" spans="1:5" ht="13">
      <c r="A266" s="9"/>
      <c r="B266" s="9"/>
      <c r="C266" s="9"/>
      <c r="D266" s="9"/>
      <c r="E266" s="9"/>
    </row>
    <row r="267" spans="1:5" ht="13">
      <c r="A267" s="9"/>
      <c r="B267" s="9"/>
      <c r="C267" s="9"/>
      <c r="D267" s="9"/>
      <c r="E267" s="9"/>
    </row>
    <row r="268" spans="1:5" ht="13">
      <c r="A268" s="9"/>
      <c r="B268" s="9"/>
      <c r="C268" s="9"/>
      <c r="D268" s="9"/>
      <c r="E268" s="9"/>
    </row>
    <row r="269" spans="1:5" ht="13">
      <c r="A269" s="9"/>
      <c r="B269" s="9"/>
      <c r="C269" s="9"/>
      <c r="D269" s="9"/>
      <c r="E269" s="9"/>
    </row>
    <row r="270" spans="1:5" ht="13">
      <c r="A270" s="9"/>
      <c r="B270" s="9"/>
      <c r="C270" s="9"/>
      <c r="D270" s="9"/>
      <c r="E270" s="9"/>
    </row>
    <row r="271" spans="1:5" ht="13">
      <c r="A271" s="9"/>
      <c r="B271" s="9"/>
      <c r="C271" s="9"/>
      <c r="D271" s="9"/>
      <c r="E271" s="9"/>
    </row>
    <row r="272" spans="1:5" ht="13">
      <c r="A272" s="9"/>
      <c r="B272" s="9"/>
      <c r="C272" s="9"/>
      <c r="D272" s="9"/>
      <c r="E272" s="9"/>
    </row>
    <row r="273" spans="1:5" ht="13">
      <c r="A273" s="9"/>
      <c r="B273" s="9"/>
      <c r="C273" s="9"/>
      <c r="D273" s="9"/>
      <c r="E273" s="9"/>
    </row>
    <row r="274" spans="1:5" ht="13">
      <c r="A274" s="9"/>
      <c r="B274" s="9"/>
      <c r="C274" s="9"/>
      <c r="D274" s="9"/>
      <c r="E274" s="9"/>
    </row>
    <row r="275" spans="1:5" ht="13">
      <c r="A275" s="9"/>
      <c r="B275" s="9"/>
      <c r="C275" s="9"/>
      <c r="D275" s="9"/>
      <c r="E275" s="9"/>
    </row>
    <row r="276" spans="1:5" ht="13">
      <c r="A276" s="9"/>
      <c r="B276" s="9"/>
      <c r="C276" s="9"/>
      <c r="D276" s="9"/>
      <c r="E276" s="9"/>
    </row>
    <row r="277" spans="1:5" ht="13">
      <c r="A277" s="9"/>
      <c r="B277" s="9"/>
      <c r="C277" s="9"/>
      <c r="D277" s="9"/>
      <c r="E277" s="9"/>
    </row>
    <row r="278" spans="1:5" ht="13">
      <c r="A278" s="9"/>
      <c r="B278" s="9"/>
      <c r="C278" s="9"/>
      <c r="D278" s="9"/>
      <c r="E278" s="9"/>
    </row>
    <row r="279" spans="1:5" ht="13">
      <c r="A279" s="9"/>
      <c r="B279" s="9"/>
      <c r="C279" s="9"/>
      <c r="D279" s="9"/>
      <c r="E279" s="9"/>
    </row>
    <row r="280" spans="1:5" ht="13">
      <c r="A280" s="9"/>
      <c r="B280" s="9"/>
      <c r="C280" s="9"/>
      <c r="D280" s="9"/>
      <c r="E280" s="9"/>
    </row>
    <row r="281" spans="1:5" ht="13">
      <c r="A281" s="9"/>
      <c r="B281" s="9"/>
      <c r="C281" s="9"/>
      <c r="D281" s="9"/>
      <c r="E281" s="9"/>
    </row>
    <row r="282" spans="1:5" ht="13">
      <c r="A282" s="9"/>
      <c r="B282" s="9"/>
      <c r="C282" s="9"/>
      <c r="D282" s="9"/>
      <c r="E282" s="9"/>
    </row>
    <row r="283" spans="1:5" ht="13">
      <c r="A283" s="9"/>
      <c r="B283" s="9"/>
      <c r="C283" s="9"/>
      <c r="D283" s="9"/>
      <c r="E283" s="9"/>
    </row>
    <row r="284" spans="1:5" ht="13">
      <c r="A284" s="9"/>
      <c r="B284" s="9"/>
      <c r="C284" s="9"/>
      <c r="D284" s="9"/>
      <c r="E284" s="9"/>
    </row>
    <row r="285" spans="1:5" ht="13">
      <c r="A285" s="9"/>
      <c r="B285" s="9"/>
      <c r="C285" s="9"/>
      <c r="D285" s="9"/>
      <c r="E285" s="9"/>
    </row>
    <row r="286" spans="1:5" ht="13">
      <c r="A286" s="9"/>
      <c r="B286" s="9"/>
      <c r="C286" s="9"/>
      <c r="D286" s="9"/>
      <c r="E286" s="9"/>
    </row>
    <row r="287" spans="1:5" ht="13">
      <c r="A287" s="9"/>
      <c r="B287" s="9"/>
      <c r="C287" s="9"/>
      <c r="D287" s="9"/>
      <c r="E287" s="9"/>
    </row>
    <row r="288" spans="1:5" ht="13">
      <c r="A288" s="9"/>
      <c r="B288" s="9"/>
      <c r="C288" s="9"/>
      <c r="D288" s="9"/>
      <c r="E288" s="9"/>
    </row>
    <row r="289" spans="1:5" ht="13">
      <c r="A289" s="9"/>
      <c r="B289" s="9"/>
      <c r="C289" s="9"/>
      <c r="D289" s="9"/>
      <c r="E289" s="9"/>
    </row>
    <row r="290" spans="1:5" ht="13">
      <c r="A290" s="9"/>
      <c r="B290" s="9"/>
      <c r="C290" s="9"/>
      <c r="D290" s="9"/>
      <c r="E290" s="9"/>
    </row>
    <row r="291" spans="1:5" ht="13">
      <c r="A291" s="9"/>
      <c r="B291" s="9"/>
      <c r="C291" s="9"/>
      <c r="D291" s="9"/>
      <c r="E291" s="9"/>
    </row>
    <row r="292" spans="1:5" ht="13">
      <c r="A292" s="9"/>
      <c r="B292" s="9"/>
      <c r="C292" s="9"/>
      <c r="D292" s="9"/>
      <c r="E292" s="9"/>
    </row>
    <row r="293" spans="1:5" ht="13">
      <c r="A293" s="9"/>
      <c r="B293" s="9"/>
      <c r="C293" s="9"/>
      <c r="D293" s="9"/>
      <c r="E293" s="9"/>
    </row>
    <row r="294" spans="1:5" ht="13">
      <c r="A294" s="9"/>
      <c r="B294" s="9"/>
      <c r="C294" s="9"/>
      <c r="D294" s="9"/>
      <c r="E294" s="9"/>
    </row>
    <row r="295" spans="1:5" ht="13">
      <c r="A295" s="9"/>
      <c r="B295" s="9"/>
      <c r="C295" s="9"/>
      <c r="D295" s="9"/>
      <c r="E295" s="9"/>
    </row>
    <row r="296" spans="1:5" ht="13">
      <c r="A296" s="9"/>
      <c r="B296" s="9"/>
      <c r="C296" s="9"/>
      <c r="D296" s="9"/>
      <c r="E296" s="9"/>
    </row>
    <row r="297" spans="1:5" ht="13">
      <c r="A297" s="9"/>
      <c r="B297" s="9"/>
      <c r="C297" s="9"/>
      <c r="D297" s="9"/>
      <c r="E297" s="9"/>
    </row>
    <row r="298" spans="1:5" ht="13">
      <c r="A298" s="9"/>
      <c r="B298" s="9"/>
      <c r="C298" s="9"/>
      <c r="D298" s="9"/>
      <c r="E298" s="9"/>
    </row>
    <row r="299" spans="1:5" ht="13">
      <c r="A299" s="9"/>
      <c r="B299" s="9"/>
      <c r="C299" s="9"/>
      <c r="D299" s="9"/>
      <c r="E299" s="9"/>
    </row>
    <row r="300" spans="1:5" ht="13">
      <c r="A300" s="9"/>
      <c r="B300" s="9"/>
      <c r="C300" s="9"/>
      <c r="D300" s="9"/>
      <c r="E300" s="9"/>
    </row>
    <row r="301" spans="1:5" ht="13">
      <c r="A301" s="9"/>
      <c r="B301" s="9"/>
      <c r="C301" s="9"/>
      <c r="D301" s="9"/>
      <c r="E301" s="9"/>
    </row>
    <row r="302" spans="1:5" ht="13">
      <c r="A302" s="9"/>
      <c r="B302" s="9"/>
      <c r="C302" s="9"/>
      <c r="D302" s="9"/>
      <c r="E302" s="9"/>
    </row>
    <row r="303" spans="1:5" ht="13">
      <c r="A303" s="9"/>
      <c r="B303" s="9"/>
      <c r="C303" s="9"/>
      <c r="D303" s="9"/>
      <c r="E303" s="9"/>
    </row>
    <row r="304" spans="1:5" ht="13">
      <c r="A304" s="9"/>
      <c r="B304" s="9"/>
      <c r="C304" s="9"/>
      <c r="D304" s="9"/>
      <c r="E304" s="9"/>
    </row>
    <row r="305" spans="1:5" ht="13">
      <c r="A305" s="9"/>
      <c r="B305" s="9"/>
      <c r="C305" s="9"/>
      <c r="D305" s="9"/>
      <c r="E305" s="9"/>
    </row>
    <row r="306" spans="1:5" ht="13">
      <c r="A306" s="9"/>
      <c r="B306" s="9"/>
      <c r="C306" s="9"/>
      <c r="D306" s="9"/>
      <c r="E306" s="9"/>
    </row>
    <row r="307" spans="1:5" ht="13">
      <c r="A307" s="9"/>
      <c r="B307" s="9"/>
      <c r="C307" s="9"/>
      <c r="D307" s="9"/>
      <c r="E307" s="9"/>
    </row>
    <row r="308" spans="1:5" ht="13">
      <c r="A308" s="9"/>
      <c r="B308" s="9"/>
      <c r="C308" s="9"/>
      <c r="D308" s="9"/>
      <c r="E308" s="9"/>
    </row>
    <row r="309" spans="1:5" ht="13">
      <c r="A309" s="9"/>
      <c r="B309" s="9"/>
      <c r="C309" s="9"/>
      <c r="D309" s="9"/>
      <c r="E309" s="9"/>
    </row>
    <row r="310" spans="1:5" ht="13">
      <c r="A310" s="9"/>
      <c r="B310" s="9"/>
      <c r="C310" s="9"/>
      <c r="D310" s="9"/>
      <c r="E310" s="9"/>
    </row>
    <row r="311" spans="1:5" ht="13">
      <c r="A311" s="9"/>
      <c r="B311" s="9"/>
      <c r="C311" s="9"/>
      <c r="D311" s="9"/>
      <c r="E311" s="9"/>
    </row>
    <row r="312" spans="1:5" ht="13">
      <c r="A312" s="9"/>
      <c r="B312" s="9"/>
      <c r="C312" s="9"/>
      <c r="D312" s="9"/>
      <c r="E312" s="9"/>
    </row>
    <row r="313" spans="1:5" ht="13">
      <c r="A313" s="9"/>
      <c r="B313" s="9"/>
      <c r="C313" s="9"/>
      <c r="D313" s="9"/>
      <c r="E313" s="9"/>
    </row>
    <row r="314" spans="1:5" ht="13">
      <c r="A314" s="9"/>
      <c r="B314" s="9"/>
      <c r="C314" s="9"/>
      <c r="D314" s="9"/>
      <c r="E314" s="9"/>
    </row>
    <row r="315" spans="1:5" ht="13">
      <c r="A315" s="9"/>
      <c r="B315" s="9"/>
      <c r="C315" s="9"/>
      <c r="D315" s="9"/>
      <c r="E315" s="9"/>
    </row>
    <row r="316" spans="1:5" ht="13">
      <c r="A316" s="9"/>
      <c r="B316" s="9"/>
      <c r="C316" s="9"/>
      <c r="D316" s="9"/>
      <c r="E316" s="9"/>
    </row>
    <row r="317" spans="1:5" ht="13">
      <c r="A317" s="9"/>
      <c r="B317" s="9"/>
      <c r="C317" s="9"/>
      <c r="D317" s="9"/>
      <c r="E317" s="9"/>
    </row>
    <row r="318" spans="1:5" ht="13">
      <c r="A318" s="9"/>
      <c r="B318" s="9"/>
      <c r="C318" s="9"/>
      <c r="D318" s="9"/>
      <c r="E318" s="9"/>
    </row>
    <row r="319" spans="1:5" ht="13">
      <c r="A319" s="9"/>
      <c r="B319" s="9"/>
      <c r="C319" s="9"/>
      <c r="D319" s="9"/>
      <c r="E319" s="9"/>
    </row>
    <row r="320" spans="1:5" ht="13">
      <c r="A320" s="9"/>
      <c r="B320" s="9"/>
      <c r="C320" s="9"/>
      <c r="D320" s="9"/>
      <c r="E320" s="9"/>
    </row>
    <row r="321" spans="1:5" ht="13">
      <c r="A321" s="9"/>
      <c r="B321" s="9"/>
      <c r="C321" s="9"/>
      <c r="D321" s="9"/>
      <c r="E321" s="9"/>
    </row>
    <row r="322" spans="1:5" ht="13">
      <c r="A322" s="9"/>
      <c r="B322" s="9"/>
      <c r="C322" s="9"/>
      <c r="D322" s="9"/>
      <c r="E322" s="9"/>
    </row>
    <row r="323" spans="1:5" ht="13">
      <c r="A323" s="9"/>
      <c r="B323" s="9"/>
      <c r="C323" s="9"/>
      <c r="D323" s="9"/>
      <c r="E323" s="9"/>
    </row>
    <row r="324" spans="1:5" ht="13">
      <c r="A324" s="9"/>
      <c r="B324" s="9"/>
      <c r="C324" s="9"/>
      <c r="D324" s="9"/>
      <c r="E324" s="9"/>
    </row>
    <row r="325" spans="1:5" ht="13">
      <c r="A325" s="9"/>
      <c r="B325" s="9"/>
      <c r="C325" s="9"/>
      <c r="D325" s="9"/>
      <c r="E325" s="9"/>
    </row>
    <row r="326" spans="1:5" ht="13">
      <c r="A326" s="9"/>
      <c r="B326" s="9"/>
      <c r="C326" s="9"/>
      <c r="D326" s="9"/>
      <c r="E326" s="9"/>
    </row>
    <row r="327" spans="1:5" ht="13">
      <c r="A327" s="9"/>
      <c r="B327" s="9"/>
      <c r="C327" s="9"/>
      <c r="D327" s="9"/>
      <c r="E327" s="9"/>
    </row>
    <row r="328" spans="1:5" ht="13">
      <c r="A328" s="9"/>
      <c r="B328" s="9"/>
      <c r="C328" s="9"/>
      <c r="D328" s="9"/>
      <c r="E328" s="9"/>
    </row>
    <row r="329" spans="1:5" ht="13">
      <c r="A329" s="9"/>
      <c r="B329" s="9"/>
      <c r="C329" s="9"/>
      <c r="D329" s="9"/>
      <c r="E329" s="9"/>
    </row>
    <row r="330" spans="1:5" ht="13">
      <c r="A330" s="9"/>
      <c r="B330" s="9"/>
      <c r="C330" s="9"/>
      <c r="D330" s="9"/>
      <c r="E330" s="9"/>
    </row>
    <row r="331" spans="1:5" ht="13">
      <c r="A331" s="9"/>
      <c r="B331" s="9"/>
      <c r="C331" s="9"/>
      <c r="D331" s="9"/>
      <c r="E331" s="9"/>
    </row>
    <row r="332" spans="1:5" ht="13">
      <c r="A332" s="9"/>
      <c r="B332" s="9"/>
      <c r="C332" s="9"/>
      <c r="D332" s="9"/>
      <c r="E332" s="9"/>
    </row>
    <row r="333" spans="1:5" ht="13">
      <c r="A333" s="9"/>
      <c r="B333" s="9"/>
      <c r="C333" s="9"/>
      <c r="D333" s="9"/>
      <c r="E333" s="9"/>
    </row>
    <row r="334" spans="1:5" ht="13">
      <c r="A334" s="9"/>
      <c r="B334" s="9"/>
      <c r="C334" s="9"/>
      <c r="D334" s="9"/>
      <c r="E334" s="9"/>
    </row>
    <row r="335" spans="1:5" ht="13">
      <c r="A335" s="9"/>
      <c r="B335" s="9"/>
      <c r="C335" s="9"/>
      <c r="D335" s="9"/>
      <c r="E335" s="9"/>
    </row>
    <row r="336" spans="1:5" ht="13">
      <c r="A336" s="9"/>
      <c r="B336" s="9"/>
      <c r="C336" s="9"/>
      <c r="D336" s="9"/>
      <c r="E336" s="9"/>
    </row>
    <row r="337" spans="1:5" ht="13">
      <c r="A337" s="9"/>
      <c r="B337" s="9"/>
      <c r="C337" s="9"/>
      <c r="D337" s="9"/>
      <c r="E337" s="9"/>
    </row>
    <row r="338" spans="1:5" ht="13">
      <c r="A338" s="9"/>
      <c r="B338" s="9"/>
      <c r="C338" s="9"/>
      <c r="D338" s="9"/>
      <c r="E338" s="9"/>
    </row>
    <row r="339" spans="1:5" ht="13">
      <c r="A339" s="9"/>
      <c r="B339" s="9"/>
      <c r="C339" s="9"/>
      <c r="D339" s="9"/>
      <c r="E339" s="9"/>
    </row>
    <row r="340" spans="1:5" ht="13">
      <c r="A340" s="9"/>
      <c r="B340" s="9"/>
      <c r="C340" s="9"/>
      <c r="D340" s="9"/>
      <c r="E340" s="9"/>
    </row>
    <row r="341" spans="1:5" ht="13">
      <c r="A341" s="9"/>
      <c r="B341" s="9"/>
      <c r="C341" s="9"/>
      <c r="D341" s="9"/>
      <c r="E341" s="9"/>
    </row>
    <row r="342" spans="1:5" ht="13">
      <c r="A342" s="9"/>
      <c r="B342" s="9"/>
      <c r="C342" s="9"/>
      <c r="D342" s="9"/>
      <c r="E342" s="9"/>
    </row>
    <row r="343" spans="1:5" ht="13">
      <c r="A343" s="9"/>
      <c r="B343" s="9"/>
      <c r="C343" s="9"/>
      <c r="D343" s="9"/>
      <c r="E343" s="9"/>
    </row>
    <row r="344" spans="1:5" ht="13">
      <c r="A344" s="9"/>
      <c r="B344" s="9"/>
      <c r="C344" s="9"/>
      <c r="D344" s="9"/>
      <c r="E344" s="9"/>
    </row>
    <row r="345" spans="1:5" ht="13">
      <c r="A345" s="9"/>
      <c r="B345" s="9"/>
      <c r="C345" s="9"/>
      <c r="D345" s="9"/>
      <c r="E345" s="9"/>
    </row>
    <row r="346" spans="1:5" ht="13">
      <c r="A346" s="9"/>
      <c r="B346" s="9"/>
      <c r="C346" s="9"/>
      <c r="D346" s="9"/>
      <c r="E346" s="9"/>
    </row>
    <row r="347" spans="1:5" ht="13">
      <c r="A347" s="9"/>
      <c r="B347" s="9"/>
      <c r="C347" s="9"/>
      <c r="D347" s="9"/>
      <c r="E347" s="9"/>
    </row>
    <row r="348" spans="1:5" ht="13">
      <c r="A348" s="9"/>
      <c r="B348" s="9"/>
      <c r="C348" s="9"/>
      <c r="D348" s="9"/>
      <c r="E348" s="9"/>
    </row>
    <row r="349" spans="1:5" ht="13">
      <c r="A349" s="9"/>
      <c r="B349" s="9"/>
      <c r="C349" s="9"/>
      <c r="D349" s="9"/>
      <c r="E349" s="9"/>
    </row>
    <row r="350" spans="1:5" ht="13">
      <c r="A350" s="9"/>
      <c r="B350" s="9"/>
      <c r="C350" s="9"/>
      <c r="D350" s="9"/>
      <c r="E350" s="9"/>
    </row>
    <row r="351" spans="1:5" ht="13">
      <c r="A351" s="9"/>
      <c r="B351" s="9"/>
      <c r="C351" s="9"/>
      <c r="D351" s="9"/>
      <c r="E351" s="9"/>
    </row>
    <row r="352" spans="1:5" ht="13">
      <c r="A352" s="9"/>
      <c r="B352" s="9"/>
      <c r="C352" s="9"/>
      <c r="D352" s="9"/>
      <c r="E352" s="9"/>
    </row>
    <row r="353" spans="1:5" ht="13">
      <c r="A353" s="9"/>
      <c r="B353" s="9"/>
      <c r="C353" s="9"/>
      <c r="D353" s="9"/>
      <c r="E353" s="9"/>
    </row>
    <row r="354" spans="1:5" ht="13">
      <c r="A354" s="9"/>
      <c r="B354" s="9"/>
      <c r="C354" s="9"/>
      <c r="D354" s="9"/>
      <c r="E354" s="9"/>
    </row>
    <row r="355" spans="1:5" ht="13">
      <c r="A355" s="9"/>
      <c r="B355" s="9"/>
      <c r="C355" s="9"/>
      <c r="D355" s="9"/>
      <c r="E355" s="9"/>
    </row>
    <row r="356" spans="1:5" ht="13">
      <c r="A356" s="9"/>
      <c r="B356" s="9"/>
      <c r="C356" s="9"/>
      <c r="D356" s="9"/>
      <c r="E356" s="9"/>
    </row>
    <row r="357" spans="1:5" ht="13">
      <c r="A357" s="9"/>
      <c r="B357" s="9"/>
      <c r="C357" s="9"/>
      <c r="D357" s="9"/>
      <c r="E357" s="9"/>
    </row>
    <row r="358" spans="1:5" ht="13">
      <c r="A358" s="9"/>
      <c r="B358" s="9"/>
      <c r="C358" s="9"/>
      <c r="D358" s="9"/>
      <c r="E358" s="9"/>
    </row>
    <row r="359" spans="1:5" ht="13">
      <c r="A359" s="9"/>
      <c r="B359" s="9"/>
      <c r="C359" s="9"/>
      <c r="D359" s="9"/>
      <c r="E359" s="9"/>
    </row>
    <row r="360" spans="1:5" ht="13">
      <c r="A360" s="9"/>
      <c r="B360" s="9"/>
      <c r="C360" s="9"/>
      <c r="D360" s="9"/>
      <c r="E360" s="9"/>
    </row>
    <row r="361" spans="1:5" ht="13">
      <c r="A361" s="9"/>
      <c r="B361" s="9"/>
      <c r="C361" s="9"/>
      <c r="D361" s="9"/>
      <c r="E361" s="9"/>
    </row>
    <row r="362" spans="1:5" ht="13">
      <c r="A362" s="9"/>
      <c r="B362" s="9"/>
      <c r="C362" s="9"/>
      <c r="D362" s="9"/>
      <c r="E362" s="9"/>
    </row>
    <row r="363" spans="1:5" ht="13">
      <c r="A363" s="9"/>
      <c r="B363" s="9"/>
      <c r="C363" s="9"/>
      <c r="D363" s="9"/>
      <c r="E363" s="9"/>
    </row>
    <row r="364" spans="1:5" ht="13">
      <c r="A364" s="9"/>
      <c r="B364" s="9"/>
      <c r="C364" s="9"/>
      <c r="D364" s="9"/>
      <c r="E364" s="9"/>
    </row>
    <row r="365" spans="1:5" ht="13">
      <c r="A365" s="9"/>
      <c r="B365" s="9"/>
      <c r="C365" s="9"/>
      <c r="D365" s="9"/>
      <c r="E365" s="9"/>
    </row>
    <row r="366" spans="1:5" ht="13">
      <c r="A366" s="9"/>
      <c r="B366" s="9"/>
      <c r="C366" s="9"/>
      <c r="D366" s="9"/>
      <c r="E366" s="9"/>
    </row>
    <row r="367" spans="1:5" ht="13">
      <c r="A367" s="9"/>
      <c r="B367" s="9"/>
      <c r="C367" s="9"/>
      <c r="D367" s="9"/>
      <c r="E367" s="9"/>
    </row>
    <row r="368" spans="1:5" ht="13">
      <c r="A368" s="9"/>
      <c r="B368" s="9"/>
      <c r="C368" s="9"/>
      <c r="D368" s="9"/>
      <c r="E368" s="9"/>
    </row>
    <row r="369" spans="1:5" ht="13">
      <c r="A369" s="9"/>
      <c r="B369" s="9"/>
      <c r="C369" s="9"/>
      <c r="D369" s="9"/>
      <c r="E369" s="9"/>
    </row>
    <row r="370" spans="1:5" ht="13">
      <c r="A370" s="9"/>
      <c r="B370" s="9"/>
      <c r="C370" s="9"/>
      <c r="D370" s="9"/>
      <c r="E370" s="9"/>
    </row>
    <row r="371" spans="1:5" ht="13">
      <c r="A371" s="9"/>
      <c r="B371" s="9"/>
      <c r="C371" s="9"/>
      <c r="D371" s="9"/>
      <c r="E371" s="9"/>
    </row>
    <row r="372" spans="1:5" ht="13">
      <c r="A372" s="9"/>
      <c r="B372" s="9"/>
      <c r="C372" s="9"/>
      <c r="D372" s="9"/>
      <c r="E372" s="9"/>
    </row>
    <row r="373" spans="1:5" ht="13">
      <c r="A373" s="9"/>
      <c r="B373" s="9"/>
      <c r="C373" s="9"/>
      <c r="D373" s="9"/>
      <c r="E373" s="9"/>
    </row>
    <row r="374" spans="1:5" ht="13">
      <c r="A374" s="9"/>
      <c r="B374" s="9"/>
      <c r="C374" s="9"/>
      <c r="D374" s="9"/>
      <c r="E374" s="9"/>
    </row>
    <row r="375" spans="1:5" ht="13">
      <c r="A375" s="9"/>
      <c r="B375" s="9"/>
      <c r="C375" s="9"/>
      <c r="D375" s="9"/>
      <c r="E375" s="9"/>
    </row>
    <row r="376" spans="1:5" ht="13">
      <c r="A376" s="9"/>
      <c r="B376" s="9"/>
      <c r="C376" s="9"/>
      <c r="D376" s="9"/>
      <c r="E376" s="9"/>
    </row>
    <row r="377" spans="1:5" ht="13">
      <c r="A377" s="9"/>
      <c r="B377" s="9"/>
      <c r="C377" s="9"/>
      <c r="D377" s="9"/>
      <c r="E377" s="9"/>
    </row>
    <row r="378" spans="1:5" ht="13">
      <c r="A378" s="9"/>
      <c r="B378" s="9"/>
      <c r="C378" s="9"/>
      <c r="D378" s="9"/>
      <c r="E378" s="9"/>
    </row>
    <row r="379" spans="1:5" ht="13">
      <c r="A379" s="9"/>
      <c r="B379" s="9"/>
      <c r="C379" s="9"/>
      <c r="D379" s="9"/>
      <c r="E379" s="9"/>
    </row>
    <row r="380" spans="1:5" ht="13">
      <c r="A380" s="9"/>
      <c r="B380" s="9"/>
      <c r="C380" s="9"/>
      <c r="D380" s="9"/>
      <c r="E380" s="9"/>
    </row>
    <row r="381" spans="1:5" ht="13">
      <c r="A381" s="9"/>
      <c r="B381" s="9"/>
      <c r="C381" s="9"/>
      <c r="D381" s="9"/>
      <c r="E381" s="9"/>
    </row>
    <row r="382" spans="1:5" ht="13">
      <c r="A382" s="9"/>
      <c r="B382" s="9"/>
      <c r="C382" s="9"/>
      <c r="D382" s="9"/>
      <c r="E382" s="9"/>
    </row>
    <row r="383" spans="1:5" ht="13">
      <c r="A383" s="9"/>
      <c r="B383" s="9"/>
      <c r="C383" s="9"/>
      <c r="D383" s="9"/>
      <c r="E383" s="9"/>
    </row>
    <row r="384" spans="1:5" ht="13">
      <c r="A384" s="9"/>
      <c r="B384" s="9"/>
      <c r="C384" s="9"/>
      <c r="D384" s="9"/>
      <c r="E384" s="9"/>
    </row>
    <row r="385" spans="1:5" ht="13">
      <c r="A385" s="9"/>
      <c r="B385" s="9"/>
      <c r="C385" s="9"/>
      <c r="D385" s="9"/>
      <c r="E385" s="9"/>
    </row>
    <row r="386" spans="1:5" ht="13">
      <c r="A386" s="9"/>
      <c r="B386" s="9"/>
      <c r="C386" s="9"/>
      <c r="D386" s="9"/>
      <c r="E386" s="9"/>
    </row>
    <row r="387" spans="1:5" ht="13">
      <c r="A387" s="9"/>
      <c r="B387" s="9"/>
      <c r="C387" s="9"/>
      <c r="D387" s="9"/>
      <c r="E387" s="9"/>
    </row>
    <row r="388" spans="1:5" ht="13">
      <c r="A388" s="9"/>
      <c r="B388" s="9"/>
      <c r="C388" s="9"/>
      <c r="D388" s="9"/>
      <c r="E388" s="9"/>
    </row>
    <row r="389" spans="1:5" ht="13">
      <c r="A389" s="9"/>
      <c r="B389" s="9"/>
      <c r="C389" s="9"/>
      <c r="D389" s="9"/>
      <c r="E389" s="9"/>
    </row>
    <row r="390" spans="1:5" ht="13">
      <c r="A390" s="9"/>
      <c r="B390" s="9"/>
      <c r="C390" s="9"/>
      <c r="D390" s="9"/>
      <c r="E390" s="9"/>
    </row>
    <row r="391" spans="1:5" ht="13">
      <c r="A391" s="9"/>
      <c r="B391" s="9"/>
      <c r="C391" s="9"/>
      <c r="D391" s="9"/>
      <c r="E391" s="9"/>
    </row>
    <row r="392" spans="1:5" ht="13">
      <c r="A392" s="9"/>
      <c r="B392" s="9"/>
      <c r="C392" s="9"/>
      <c r="D392" s="9"/>
      <c r="E392" s="9"/>
    </row>
    <row r="393" spans="1:5" ht="13">
      <c r="A393" s="9"/>
      <c r="B393" s="9"/>
      <c r="C393" s="9"/>
      <c r="D393" s="9"/>
      <c r="E393" s="9"/>
    </row>
    <row r="394" spans="1:5" ht="13">
      <c r="A394" s="9"/>
      <c r="B394" s="9"/>
      <c r="C394" s="9"/>
      <c r="D394" s="9"/>
      <c r="E394" s="9"/>
    </row>
    <row r="395" spans="1:5" ht="13">
      <c r="A395" s="9"/>
      <c r="B395" s="9"/>
      <c r="C395" s="9"/>
      <c r="D395" s="9"/>
      <c r="E395" s="9"/>
    </row>
    <row r="396" spans="1:5" ht="13">
      <c r="A396" s="9"/>
      <c r="B396" s="9"/>
      <c r="C396" s="9"/>
      <c r="D396" s="9"/>
      <c r="E396" s="9"/>
    </row>
    <row r="397" spans="1:5" ht="13">
      <c r="A397" s="9"/>
      <c r="B397" s="9"/>
      <c r="C397" s="9"/>
      <c r="D397" s="9"/>
      <c r="E397" s="9"/>
    </row>
    <row r="398" spans="1:5" ht="13">
      <c r="A398" s="9"/>
      <c r="B398" s="9"/>
      <c r="C398" s="9"/>
      <c r="D398" s="9"/>
      <c r="E398" s="9"/>
    </row>
    <row r="399" spans="1:5" ht="13">
      <c r="A399" s="9"/>
      <c r="B399" s="9"/>
      <c r="C399" s="9"/>
      <c r="D399" s="9"/>
      <c r="E399" s="9"/>
    </row>
    <row r="400" spans="1:5" ht="13">
      <c r="A400" s="9"/>
      <c r="B400" s="9"/>
      <c r="C400" s="9"/>
      <c r="D400" s="9"/>
      <c r="E400" s="9"/>
    </row>
    <row r="401" spans="1:5" ht="13">
      <c r="A401" s="9"/>
      <c r="B401" s="9"/>
      <c r="C401" s="9"/>
      <c r="D401" s="9"/>
      <c r="E401" s="9"/>
    </row>
    <row r="402" spans="1:5" ht="13">
      <c r="A402" s="9"/>
      <c r="B402" s="9"/>
      <c r="C402" s="9"/>
      <c r="D402" s="9"/>
      <c r="E402" s="9"/>
    </row>
    <row r="403" spans="1:5" ht="13">
      <c r="A403" s="9"/>
      <c r="B403" s="9"/>
      <c r="C403" s="9"/>
      <c r="D403" s="9"/>
      <c r="E403" s="9"/>
    </row>
    <row r="404" spans="1:5" ht="13">
      <c r="A404" s="9"/>
      <c r="B404" s="9"/>
      <c r="C404" s="9"/>
      <c r="D404" s="9"/>
      <c r="E404" s="9"/>
    </row>
    <row r="405" spans="1:5" ht="13">
      <c r="A405" s="9"/>
      <c r="B405" s="9"/>
      <c r="C405" s="9"/>
      <c r="D405" s="9"/>
      <c r="E405" s="9"/>
    </row>
    <row r="406" spans="1:5" ht="13">
      <c r="A406" s="9"/>
      <c r="B406" s="9"/>
      <c r="C406" s="9"/>
      <c r="D406" s="9"/>
      <c r="E406" s="9"/>
    </row>
    <row r="407" spans="1:5" ht="13">
      <c r="A407" s="9"/>
      <c r="B407" s="9"/>
      <c r="C407" s="9"/>
      <c r="D407" s="9"/>
      <c r="E407" s="9"/>
    </row>
    <row r="408" spans="1:5" ht="13">
      <c r="A408" s="9"/>
      <c r="B408" s="9"/>
      <c r="C408" s="9"/>
      <c r="D408" s="9"/>
      <c r="E408" s="9"/>
    </row>
    <row r="409" spans="1:5" ht="13">
      <c r="A409" s="9"/>
      <c r="B409" s="9"/>
      <c r="C409" s="9"/>
      <c r="D409" s="9"/>
      <c r="E409" s="9"/>
    </row>
    <row r="410" spans="1:5" ht="13">
      <c r="A410" s="9"/>
      <c r="B410" s="9"/>
      <c r="C410" s="9"/>
      <c r="D410" s="9"/>
      <c r="E410" s="9"/>
    </row>
    <row r="411" spans="1:5" ht="13">
      <c r="A411" s="9"/>
      <c r="B411" s="9"/>
      <c r="C411" s="9"/>
      <c r="D411" s="9"/>
      <c r="E411" s="9"/>
    </row>
    <row r="412" spans="1:5" ht="13">
      <c r="A412" s="9"/>
      <c r="B412" s="9"/>
      <c r="C412" s="9"/>
      <c r="D412" s="9"/>
      <c r="E412" s="9"/>
    </row>
    <row r="413" spans="1:5" ht="13">
      <c r="A413" s="9"/>
      <c r="B413" s="9"/>
      <c r="C413" s="9"/>
      <c r="D413" s="9"/>
      <c r="E413" s="9"/>
    </row>
    <row r="414" spans="1:5" ht="13">
      <c r="A414" s="9"/>
      <c r="B414" s="9"/>
      <c r="C414" s="9"/>
      <c r="D414" s="9"/>
      <c r="E414" s="9"/>
    </row>
    <row r="415" spans="1:5" ht="13">
      <c r="A415" s="9"/>
      <c r="B415" s="9"/>
      <c r="C415" s="9"/>
      <c r="D415" s="9"/>
      <c r="E415" s="9"/>
    </row>
    <row r="416" spans="1:5" ht="13">
      <c r="A416" s="9"/>
      <c r="B416" s="9"/>
      <c r="C416" s="9"/>
      <c r="D416" s="9"/>
      <c r="E416" s="9"/>
    </row>
    <row r="417" spans="1:5" ht="13">
      <c r="A417" s="9"/>
      <c r="B417" s="9"/>
      <c r="C417" s="9"/>
      <c r="D417" s="9"/>
      <c r="E417" s="9"/>
    </row>
    <row r="418" spans="1:5" ht="13">
      <c r="A418" s="9"/>
      <c r="B418" s="9"/>
      <c r="C418" s="9"/>
      <c r="D418" s="9"/>
      <c r="E418" s="9"/>
    </row>
    <row r="419" spans="1:5" ht="13">
      <c r="A419" s="9"/>
      <c r="B419" s="9"/>
      <c r="C419" s="9"/>
      <c r="D419" s="9"/>
      <c r="E419" s="9"/>
    </row>
    <row r="420" spans="1:5" ht="13">
      <c r="A420" s="9"/>
      <c r="B420" s="9"/>
      <c r="C420" s="9"/>
      <c r="D420" s="9"/>
      <c r="E420" s="9"/>
    </row>
    <row r="421" spans="1:5" ht="13">
      <c r="A421" s="9"/>
      <c r="B421" s="9"/>
      <c r="C421" s="9"/>
      <c r="D421" s="9"/>
      <c r="E421" s="9"/>
    </row>
    <row r="422" spans="1:5" ht="13">
      <c r="A422" s="9"/>
      <c r="B422" s="9"/>
      <c r="C422" s="9"/>
      <c r="D422" s="9"/>
      <c r="E422" s="9"/>
    </row>
    <row r="423" spans="1:5" ht="13">
      <c r="A423" s="9"/>
      <c r="B423" s="9"/>
      <c r="C423" s="9"/>
      <c r="D423" s="9"/>
      <c r="E423" s="9"/>
    </row>
    <row r="424" spans="1:5" ht="13">
      <c r="A424" s="9"/>
      <c r="B424" s="9"/>
      <c r="C424" s="9"/>
      <c r="D424" s="9"/>
      <c r="E424" s="9"/>
    </row>
    <row r="425" spans="1:5" ht="13">
      <c r="A425" s="9"/>
      <c r="B425" s="9"/>
      <c r="C425" s="9"/>
      <c r="D425" s="9"/>
      <c r="E425" s="9"/>
    </row>
    <row r="426" spans="1:5" ht="13">
      <c r="A426" s="9"/>
      <c r="B426" s="9"/>
      <c r="C426" s="9"/>
      <c r="D426" s="9"/>
      <c r="E426" s="9"/>
    </row>
    <row r="427" spans="1:5" ht="13">
      <c r="A427" s="9"/>
      <c r="B427" s="9"/>
      <c r="C427" s="9"/>
      <c r="D427" s="9"/>
      <c r="E427" s="9"/>
    </row>
    <row r="428" spans="1:5" ht="13">
      <c r="A428" s="9"/>
      <c r="B428" s="9"/>
      <c r="C428" s="9"/>
      <c r="D428" s="9"/>
      <c r="E428" s="9"/>
    </row>
    <row r="429" spans="1:5" ht="13">
      <c r="A429" s="9"/>
      <c r="B429" s="9"/>
      <c r="C429" s="9"/>
      <c r="D429" s="9"/>
      <c r="E429" s="9"/>
    </row>
    <row r="430" spans="1:5" ht="13">
      <c r="A430" s="9"/>
      <c r="B430" s="9"/>
      <c r="C430" s="9"/>
      <c r="D430" s="9"/>
      <c r="E430" s="9"/>
    </row>
    <row r="431" spans="1:5" ht="13">
      <c r="A431" s="9"/>
      <c r="B431" s="9"/>
      <c r="C431" s="9"/>
      <c r="D431" s="9"/>
      <c r="E431" s="9"/>
    </row>
    <row r="432" spans="1:5" ht="13">
      <c r="A432" s="9"/>
      <c r="B432" s="9"/>
      <c r="C432" s="9"/>
      <c r="D432" s="9"/>
      <c r="E432" s="9"/>
    </row>
    <row r="433" spans="1:5" ht="13">
      <c r="A433" s="9"/>
      <c r="B433" s="9"/>
      <c r="C433" s="9"/>
      <c r="D433" s="9"/>
      <c r="E433" s="9"/>
    </row>
    <row r="434" spans="1:5" ht="13">
      <c r="A434" s="9"/>
      <c r="B434" s="9"/>
      <c r="C434" s="9"/>
      <c r="D434" s="9"/>
      <c r="E434" s="9"/>
    </row>
    <row r="435" spans="1:5" ht="13">
      <c r="A435" s="9"/>
      <c r="B435" s="9"/>
      <c r="C435" s="9"/>
      <c r="D435" s="9"/>
      <c r="E435" s="9"/>
    </row>
    <row r="436" spans="1:5" ht="13">
      <c r="A436" s="9"/>
      <c r="B436" s="9"/>
      <c r="C436" s="9"/>
      <c r="D436" s="9"/>
      <c r="E436" s="9"/>
    </row>
    <row r="437" spans="1:5" ht="13">
      <c r="A437" s="9"/>
      <c r="B437" s="9"/>
      <c r="C437" s="9"/>
      <c r="D437" s="9"/>
      <c r="E437" s="9"/>
    </row>
    <row r="438" spans="1:5" ht="13">
      <c r="A438" s="9"/>
      <c r="B438" s="9"/>
      <c r="C438" s="9"/>
      <c r="D438" s="9"/>
      <c r="E438" s="9"/>
    </row>
    <row r="439" spans="1:5" ht="13">
      <c r="A439" s="9"/>
      <c r="B439" s="9"/>
      <c r="C439" s="9"/>
      <c r="D439" s="9"/>
      <c r="E439" s="9"/>
    </row>
    <row r="440" spans="1:5" ht="13">
      <c r="A440" s="9"/>
      <c r="B440" s="9"/>
      <c r="C440" s="9"/>
      <c r="D440" s="9"/>
      <c r="E440" s="9"/>
    </row>
    <row r="441" spans="1:5" ht="13">
      <c r="A441" s="9"/>
      <c r="B441" s="9"/>
      <c r="C441" s="9"/>
      <c r="D441" s="9"/>
      <c r="E441" s="9"/>
    </row>
    <row r="442" spans="1:5" ht="13">
      <c r="A442" s="9"/>
      <c r="B442" s="9"/>
      <c r="C442" s="9"/>
      <c r="D442" s="9"/>
      <c r="E442" s="9"/>
    </row>
    <row r="443" spans="1:5" ht="13">
      <c r="A443" s="9"/>
      <c r="B443" s="9"/>
      <c r="C443" s="9"/>
      <c r="D443" s="9"/>
      <c r="E443" s="9"/>
    </row>
    <row r="444" spans="1:5" ht="13">
      <c r="A444" s="9"/>
      <c r="B444" s="9"/>
      <c r="C444" s="9"/>
      <c r="D444" s="9"/>
      <c r="E444" s="9"/>
    </row>
    <row r="445" spans="1:5" ht="13">
      <c r="A445" s="9"/>
      <c r="B445" s="9"/>
      <c r="C445" s="9"/>
      <c r="D445" s="9"/>
      <c r="E445" s="9"/>
    </row>
    <row r="446" spans="1:5" ht="13">
      <c r="A446" s="9"/>
      <c r="B446" s="9"/>
      <c r="C446" s="9"/>
      <c r="D446" s="9"/>
      <c r="E446" s="9"/>
    </row>
    <row r="447" spans="1:5" ht="13">
      <c r="A447" s="9"/>
      <c r="B447" s="9"/>
      <c r="C447" s="9"/>
      <c r="D447" s="9"/>
      <c r="E447" s="9"/>
    </row>
    <row r="448" spans="1:5" ht="13">
      <c r="A448" s="9"/>
      <c r="B448" s="9"/>
      <c r="C448" s="9"/>
      <c r="D448" s="9"/>
      <c r="E448" s="9"/>
    </row>
    <row r="449" spans="1:5" ht="13">
      <c r="A449" s="9"/>
      <c r="B449" s="9"/>
      <c r="C449" s="9"/>
      <c r="D449" s="9"/>
      <c r="E449" s="9"/>
    </row>
    <row r="450" spans="1:5" ht="13">
      <c r="A450" s="9"/>
      <c r="B450" s="9"/>
      <c r="C450" s="9"/>
      <c r="D450" s="9"/>
      <c r="E450" s="9"/>
    </row>
    <row r="451" spans="1:5" ht="13">
      <c r="A451" s="9"/>
      <c r="B451" s="9"/>
      <c r="C451" s="9"/>
      <c r="D451" s="9"/>
      <c r="E451" s="9"/>
    </row>
    <row r="452" spans="1:5" ht="13">
      <c r="A452" s="9"/>
      <c r="B452" s="9"/>
      <c r="C452" s="9"/>
      <c r="D452" s="9"/>
      <c r="E452" s="9"/>
    </row>
    <row r="453" spans="1:5" ht="13">
      <c r="A453" s="9"/>
      <c r="B453" s="9"/>
      <c r="C453" s="9"/>
      <c r="D453" s="9"/>
      <c r="E453" s="9"/>
    </row>
    <row r="454" spans="1:5" ht="13">
      <c r="A454" s="9"/>
      <c r="B454" s="9"/>
      <c r="C454" s="9"/>
      <c r="D454" s="9"/>
      <c r="E454" s="9"/>
    </row>
    <row r="455" spans="1:5" ht="13">
      <c r="A455" s="9"/>
      <c r="B455" s="9"/>
      <c r="C455" s="9"/>
      <c r="D455" s="9"/>
      <c r="E455" s="9"/>
    </row>
    <row r="456" spans="1:5" ht="13">
      <c r="A456" s="9"/>
      <c r="B456" s="9"/>
      <c r="C456" s="9"/>
      <c r="D456" s="9"/>
      <c r="E456" s="9"/>
    </row>
    <row r="457" spans="1:5" ht="13">
      <c r="A457" s="9"/>
      <c r="B457" s="9"/>
      <c r="C457" s="9"/>
      <c r="D457" s="9"/>
      <c r="E457" s="9"/>
    </row>
    <row r="458" spans="1:5" ht="13">
      <c r="A458" s="9"/>
      <c r="B458" s="9"/>
      <c r="C458" s="9"/>
      <c r="D458" s="9"/>
      <c r="E458" s="9"/>
    </row>
    <row r="459" spans="1:5" ht="13">
      <c r="A459" s="9"/>
      <c r="B459" s="9"/>
      <c r="C459" s="9"/>
      <c r="D459" s="9"/>
      <c r="E459" s="9"/>
    </row>
    <row r="460" spans="1:5" ht="13">
      <c r="A460" s="9"/>
      <c r="B460" s="9"/>
      <c r="C460" s="9"/>
      <c r="D460" s="9"/>
      <c r="E460" s="9"/>
    </row>
    <row r="461" spans="1:5" ht="13">
      <c r="A461" s="9"/>
      <c r="B461" s="9"/>
      <c r="C461" s="9"/>
      <c r="D461" s="9"/>
      <c r="E461" s="9"/>
    </row>
    <row r="462" spans="1:5" ht="13">
      <c r="A462" s="9"/>
      <c r="B462" s="9"/>
      <c r="C462" s="9"/>
      <c r="D462" s="9"/>
      <c r="E462" s="9"/>
    </row>
    <row r="463" spans="1:5" ht="13">
      <c r="A463" s="9"/>
      <c r="B463" s="9"/>
      <c r="C463" s="9"/>
      <c r="D463" s="9"/>
      <c r="E463" s="9"/>
    </row>
    <row r="464" spans="1:5" ht="13">
      <c r="A464" s="9"/>
      <c r="B464" s="9"/>
      <c r="C464" s="9"/>
      <c r="D464" s="9"/>
      <c r="E464" s="9"/>
    </row>
    <row r="465" spans="1:5" ht="13">
      <c r="A465" s="9"/>
      <c r="B465" s="9"/>
      <c r="C465" s="9"/>
      <c r="D465" s="9"/>
      <c r="E465" s="9"/>
    </row>
    <row r="466" spans="1:5" ht="13">
      <c r="A466" s="9"/>
      <c r="B466" s="9"/>
      <c r="C466" s="9"/>
      <c r="D466" s="9"/>
      <c r="E466" s="9"/>
    </row>
    <row r="467" spans="1:5" ht="13">
      <c r="A467" s="9"/>
      <c r="B467" s="9"/>
      <c r="C467" s="9"/>
      <c r="D467" s="9"/>
      <c r="E467" s="9"/>
    </row>
    <row r="468" spans="1:5" ht="13">
      <c r="A468" s="9"/>
      <c r="B468" s="9"/>
      <c r="C468" s="9"/>
      <c r="D468" s="9"/>
      <c r="E468" s="9"/>
    </row>
    <row r="469" spans="1:5" ht="13">
      <c r="A469" s="9"/>
      <c r="B469" s="9"/>
      <c r="C469" s="9"/>
      <c r="D469" s="9"/>
      <c r="E469" s="9"/>
    </row>
    <row r="470" spans="1:5" ht="13">
      <c r="A470" s="9"/>
      <c r="B470" s="9"/>
      <c r="C470" s="9"/>
      <c r="D470" s="9"/>
      <c r="E470" s="9"/>
    </row>
    <row r="471" spans="1:5" ht="13">
      <c r="A471" s="9"/>
      <c r="B471" s="9"/>
      <c r="C471" s="9"/>
      <c r="D471" s="9"/>
      <c r="E471" s="9"/>
    </row>
    <row r="472" spans="1:5" ht="13">
      <c r="A472" s="9"/>
      <c r="B472" s="9"/>
      <c r="C472" s="9"/>
      <c r="D472" s="9"/>
      <c r="E472" s="9"/>
    </row>
    <row r="473" spans="1:5" ht="13">
      <c r="A473" s="9"/>
      <c r="B473" s="9"/>
      <c r="C473" s="9"/>
      <c r="D473" s="9"/>
      <c r="E473" s="9"/>
    </row>
    <row r="474" spans="1:5" ht="13">
      <c r="A474" s="9"/>
      <c r="B474" s="9"/>
      <c r="C474" s="9"/>
      <c r="D474" s="9"/>
      <c r="E474" s="9"/>
    </row>
    <row r="475" spans="1:5" ht="13">
      <c r="A475" s="9"/>
      <c r="B475" s="9"/>
      <c r="C475" s="9"/>
      <c r="D475" s="9"/>
      <c r="E475" s="9"/>
    </row>
    <row r="476" spans="1:5" ht="13">
      <c r="A476" s="9"/>
      <c r="B476" s="9"/>
      <c r="C476" s="9"/>
      <c r="D476" s="9"/>
      <c r="E476" s="9"/>
    </row>
    <row r="477" spans="1:5" ht="13">
      <c r="A477" s="9"/>
      <c r="B477" s="9"/>
      <c r="C477" s="9"/>
      <c r="D477" s="9"/>
      <c r="E477" s="9"/>
    </row>
    <row r="478" spans="1:5" ht="13">
      <c r="A478" s="9"/>
      <c r="B478" s="9"/>
      <c r="C478" s="9"/>
      <c r="D478" s="9"/>
      <c r="E478" s="9"/>
    </row>
    <row r="479" spans="1:5" ht="13">
      <c r="A479" s="9"/>
      <c r="B479" s="9"/>
      <c r="C479" s="9"/>
      <c r="D479" s="9"/>
      <c r="E479" s="9"/>
    </row>
    <row r="480" spans="1:5" ht="13">
      <c r="A480" s="9"/>
      <c r="B480" s="9"/>
      <c r="C480" s="9"/>
      <c r="D480" s="9"/>
      <c r="E480" s="9"/>
    </row>
    <row r="481" spans="1:5" ht="13">
      <c r="A481" s="9"/>
      <c r="B481" s="9"/>
      <c r="C481" s="9"/>
      <c r="D481" s="9"/>
      <c r="E481" s="9"/>
    </row>
    <row r="482" spans="1:5" ht="13">
      <c r="A482" s="9"/>
      <c r="B482" s="9"/>
      <c r="C482" s="9"/>
      <c r="D482" s="9"/>
      <c r="E482" s="9"/>
    </row>
    <row r="483" spans="1:5" ht="13">
      <c r="A483" s="9"/>
      <c r="B483" s="9"/>
      <c r="C483" s="9"/>
      <c r="D483" s="9"/>
      <c r="E483" s="9"/>
    </row>
    <row r="484" spans="1:5" ht="13">
      <c r="A484" s="9"/>
      <c r="B484" s="9"/>
      <c r="C484" s="9"/>
      <c r="D484" s="9"/>
      <c r="E484" s="9"/>
    </row>
    <row r="485" spans="1:5" ht="13">
      <c r="A485" s="9"/>
      <c r="B485" s="9"/>
      <c r="C485" s="9"/>
      <c r="D485" s="9"/>
      <c r="E485" s="9"/>
    </row>
    <row r="486" spans="1:5" ht="13">
      <c r="A486" s="9"/>
      <c r="B486" s="9"/>
      <c r="C486" s="9"/>
      <c r="D486" s="9"/>
      <c r="E486" s="9"/>
    </row>
    <row r="487" spans="1:5" ht="13">
      <c r="A487" s="9"/>
      <c r="B487" s="9"/>
      <c r="C487" s="9"/>
      <c r="D487" s="9"/>
      <c r="E487" s="9"/>
    </row>
    <row r="488" spans="1:5" ht="13">
      <c r="A488" s="9"/>
      <c r="B488" s="9"/>
      <c r="C488" s="9"/>
      <c r="D488" s="9"/>
      <c r="E488" s="9"/>
    </row>
    <row r="489" spans="1:5" ht="13">
      <c r="A489" s="9"/>
      <c r="B489" s="9"/>
      <c r="C489" s="9"/>
      <c r="D489" s="9"/>
      <c r="E489" s="9"/>
    </row>
    <row r="490" spans="1:5" ht="13">
      <c r="A490" s="9"/>
      <c r="B490" s="9"/>
      <c r="C490" s="9"/>
      <c r="D490" s="9"/>
      <c r="E490" s="9"/>
    </row>
    <row r="491" spans="1:5" ht="13">
      <c r="A491" s="9"/>
      <c r="B491" s="9"/>
      <c r="C491" s="9"/>
      <c r="D491" s="9"/>
      <c r="E491" s="9"/>
    </row>
    <row r="492" spans="1:5" ht="13">
      <c r="A492" s="9"/>
      <c r="B492" s="9"/>
      <c r="C492" s="9"/>
      <c r="D492" s="9"/>
      <c r="E492" s="9"/>
    </row>
    <row r="493" spans="1:5" ht="13">
      <c r="A493" s="9"/>
      <c r="B493" s="9"/>
      <c r="C493" s="9"/>
      <c r="D493" s="9"/>
      <c r="E493" s="9"/>
    </row>
    <row r="494" spans="1:5" ht="13">
      <c r="A494" s="9"/>
      <c r="B494" s="9"/>
      <c r="C494" s="9"/>
      <c r="D494" s="9"/>
      <c r="E494" s="9"/>
    </row>
    <row r="495" spans="1:5" ht="13">
      <c r="A495" s="9"/>
      <c r="B495" s="9"/>
      <c r="C495" s="9"/>
      <c r="D495" s="9"/>
      <c r="E495" s="9"/>
    </row>
    <row r="496" spans="1:5" ht="13">
      <c r="A496" s="9"/>
      <c r="B496" s="9"/>
      <c r="C496" s="9"/>
      <c r="D496" s="9"/>
      <c r="E496" s="9"/>
    </row>
    <row r="497" spans="1:5" ht="13">
      <c r="A497" s="9"/>
      <c r="B497" s="9"/>
      <c r="C497" s="9"/>
      <c r="D497" s="9"/>
      <c r="E497" s="9"/>
    </row>
    <row r="498" spans="1:5" ht="13">
      <c r="A498" s="9"/>
      <c r="B498" s="9"/>
      <c r="C498" s="9"/>
      <c r="D498" s="9"/>
      <c r="E498" s="9"/>
    </row>
    <row r="499" spans="1:5" ht="13">
      <c r="A499" s="9"/>
      <c r="B499" s="9"/>
      <c r="C499" s="9"/>
      <c r="D499" s="9"/>
      <c r="E499" s="9"/>
    </row>
    <row r="500" spans="1:5" ht="13">
      <c r="A500" s="9"/>
      <c r="B500" s="9"/>
      <c r="C500" s="9"/>
      <c r="D500" s="9"/>
      <c r="E500" s="9"/>
    </row>
    <row r="501" spans="1:5" ht="13">
      <c r="A501" s="9"/>
      <c r="B501" s="9"/>
      <c r="C501" s="9"/>
      <c r="D501" s="9"/>
      <c r="E501" s="9"/>
    </row>
    <row r="502" spans="1:5" ht="13">
      <c r="A502" s="9"/>
      <c r="B502" s="9"/>
      <c r="C502" s="9"/>
      <c r="D502" s="9"/>
      <c r="E502" s="9"/>
    </row>
    <row r="503" spans="1:5" ht="13">
      <c r="A503" s="9"/>
      <c r="B503" s="9"/>
      <c r="C503" s="9"/>
      <c r="D503" s="9"/>
      <c r="E503" s="9"/>
    </row>
    <row r="504" spans="1:5" ht="13">
      <c r="A504" s="9"/>
      <c r="B504" s="9"/>
      <c r="C504" s="9"/>
      <c r="D504" s="9"/>
      <c r="E504" s="9"/>
    </row>
    <row r="505" spans="1:5" ht="13">
      <c r="A505" s="9"/>
      <c r="B505" s="9"/>
      <c r="C505" s="9"/>
      <c r="D505" s="9"/>
      <c r="E505" s="9"/>
    </row>
    <row r="506" spans="1:5" ht="13">
      <c r="A506" s="9"/>
      <c r="B506" s="9"/>
      <c r="C506" s="9"/>
      <c r="D506" s="9"/>
      <c r="E506" s="9"/>
    </row>
    <row r="507" spans="1:5" ht="13">
      <c r="A507" s="9"/>
      <c r="B507" s="9"/>
      <c r="C507" s="9"/>
      <c r="D507" s="9"/>
      <c r="E507" s="9"/>
    </row>
    <row r="508" spans="1:5" ht="13">
      <c r="A508" s="9"/>
      <c r="B508" s="9"/>
      <c r="C508" s="9"/>
      <c r="D508" s="9"/>
      <c r="E508" s="9"/>
    </row>
    <row r="509" spans="1:5" ht="13">
      <c r="A509" s="9"/>
      <c r="B509" s="9"/>
      <c r="C509" s="9"/>
      <c r="D509" s="9"/>
      <c r="E509" s="9"/>
    </row>
    <row r="510" spans="1:5" ht="13">
      <c r="A510" s="9"/>
      <c r="B510" s="9"/>
      <c r="C510" s="9"/>
      <c r="D510" s="9"/>
      <c r="E510" s="9"/>
    </row>
    <row r="511" spans="1:5" ht="13">
      <c r="A511" s="9"/>
      <c r="B511" s="9"/>
      <c r="C511" s="9"/>
      <c r="D511" s="9"/>
      <c r="E511" s="9"/>
    </row>
    <row r="512" spans="1:5" ht="13">
      <c r="A512" s="9"/>
      <c r="B512" s="9"/>
      <c r="C512" s="9"/>
      <c r="D512" s="9"/>
      <c r="E512" s="9"/>
    </row>
    <row r="513" spans="1:5" ht="13">
      <c r="A513" s="9"/>
      <c r="B513" s="9"/>
      <c r="C513" s="9"/>
      <c r="D513" s="9"/>
      <c r="E513" s="9"/>
    </row>
    <row r="514" spans="1:5" ht="13">
      <c r="A514" s="9"/>
      <c r="B514" s="9"/>
      <c r="C514" s="9"/>
      <c r="D514" s="9"/>
      <c r="E514" s="9"/>
    </row>
    <row r="515" spans="1:5" ht="13">
      <c r="A515" s="9"/>
      <c r="B515" s="9"/>
      <c r="C515" s="9"/>
      <c r="D515" s="9"/>
      <c r="E515" s="9"/>
    </row>
    <row r="516" spans="1:5" ht="13">
      <c r="A516" s="9"/>
      <c r="B516" s="9"/>
      <c r="C516" s="9"/>
      <c r="D516" s="9"/>
      <c r="E516" s="9"/>
    </row>
    <row r="517" spans="1:5" ht="13">
      <c r="A517" s="9"/>
      <c r="B517" s="9"/>
      <c r="C517" s="9"/>
      <c r="D517" s="9"/>
      <c r="E517" s="9"/>
    </row>
    <row r="518" spans="1:5" ht="13">
      <c r="A518" s="9"/>
      <c r="B518" s="9"/>
      <c r="C518" s="9"/>
      <c r="D518" s="9"/>
      <c r="E518" s="9"/>
    </row>
    <row r="519" spans="1:5" ht="13">
      <c r="A519" s="9"/>
      <c r="B519" s="9"/>
      <c r="C519" s="9"/>
      <c r="D519" s="9"/>
      <c r="E519" s="9"/>
    </row>
    <row r="520" spans="1:5" ht="13">
      <c r="A520" s="9"/>
      <c r="B520" s="9"/>
      <c r="C520" s="9"/>
      <c r="D520" s="9"/>
      <c r="E520" s="9"/>
    </row>
    <row r="521" spans="1:5" ht="13">
      <c r="A521" s="9"/>
      <c r="B521" s="9"/>
      <c r="C521" s="9"/>
      <c r="D521" s="9"/>
      <c r="E521" s="9"/>
    </row>
    <row r="522" spans="1:5" ht="13">
      <c r="A522" s="9"/>
      <c r="B522" s="9"/>
      <c r="C522" s="9"/>
      <c r="D522" s="9"/>
      <c r="E522" s="9"/>
    </row>
    <row r="523" spans="1:5" ht="13">
      <c r="A523" s="9"/>
      <c r="B523" s="9"/>
      <c r="C523" s="9"/>
      <c r="D523" s="9"/>
      <c r="E523" s="9"/>
    </row>
    <row r="524" spans="1:5" ht="13">
      <c r="A524" s="9"/>
      <c r="B524" s="9"/>
      <c r="C524" s="9"/>
      <c r="D524" s="9"/>
      <c r="E524" s="9"/>
    </row>
    <row r="525" spans="1:5" ht="13">
      <c r="A525" s="9"/>
      <c r="B525" s="9"/>
      <c r="C525" s="9"/>
      <c r="D525" s="9"/>
      <c r="E525" s="9"/>
    </row>
    <row r="526" spans="1:5" ht="13">
      <c r="A526" s="9"/>
      <c r="B526" s="9"/>
      <c r="C526" s="9"/>
      <c r="D526" s="9"/>
      <c r="E526" s="9"/>
    </row>
    <row r="527" spans="1:5" ht="13">
      <c r="A527" s="9"/>
      <c r="B527" s="9"/>
      <c r="C527" s="9"/>
      <c r="D527" s="9"/>
      <c r="E527" s="9"/>
    </row>
    <row r="528" spans="1:5" ht="13">
      <c r="A528" s="9"/>
      <c r="B528" s="9"/>
      <c r="C528" s="9"/>
      <c r="D528" s="9"/>
      <c r="E528" s="9"/>
    </row>
    <row r="529" spans="1:5" ht="13">
      <c r="A529" s="9"/>
      <c r="B529" s="9"/>
      <c r="C529" s="9"/>
      <c r="D529" s="9"/>
      <c r="E529" s="9"/>
    </row>
    <row r="530" spans="1:5" ht="13">
      <c r="A530" s="9"/>
      <c r="B530" s="9"/>
      <c r="C530" s="9"/>
      <c r="D530" s="9"/>
      <c r="E530" s="9"/>
    </row>
    <row r="531" spans="1:5" ht="13">
      <c r="A531" s="9"/>
      <c r="B531" s="9"/>
      <c r="C531" s="9"/>
      <c r="D531" s="9"/>
      <c r="E531" s="9"/>
    </row>
    <row r="532" spans="1:5" ht="13">
      <c r="A532" s="9"/>
      <c r="B532" s="9"/>
      <c r="C532" s="9"/>
      <c r="D532" s="9"/>
      <c r="E532" s="9"/>
    </row>
    <row r="533" spans="1:5" ht="13">
      <c r="A533" s="9"/>
      <c r="B533" s="9"/>
      <c r="C533" s="9"/>
      <c r="D533" s="9"/>
      <c r="E533" s="9"/>
    </row>
    <row r="534" spans="1:5" ht="13">
      <c r="A534" s="9"/>
      <c r="B534" s="9"/>
      <c r="C534" s="9"/>
      <c r="D534" s="9"/>
      <c r="E534" s="9"/>
    </row>
    <row r="535" spans="1:5" ht="13">
      <c r="A535" s="9"/>
      <c r="B535" s="9"/>
      <c r="C535" s="9"/>
      <c r="D535" s="9"/>
      <c r="E535" s="9"/>
    </row>
    <row r="536" spans="1:5" ht="13">
      <c r="A536" s="9"/>
      <c r="B536" s="9"/>
      <c r="C536" s="9"/>
      <c r="D536" s="9"/>
      <c r="E536" s="9"/>
    </row>
    <row r="537" spans="1:5" ht="13">
      <c r="A537" s="9"/>
      <c r="B537" s="9"/>
      <c r="C537" s="9"/>
      <c r="D537" s="9"/>
      <c r="E537" s="9"/>
    </row>
    <row r="538" spans="1:5" ht="13">
      <c r="A538" s="9"/>
      <c r="B538" s="9"/>
      <c r="C538" s="9"/>
      <c r="D538" s="9"/>
      <c r="E538" s="9"/>
    </row>
    <row r="539" spans="1:5" ht="13">
      <c r="A539" s="9"/>
      <c r="B539" s="9"/>
      <c r="C539" s="9"/>
      <c r="D539" s="9"/>
      <c r="E539" s="9"/>
    </row>
    <row r="540" spans="1:5" ht="13">
      <c r="A540" s="9"/>
      <c r="B540" s="9"/>
      <c r="C540" s="9"/>
      <c r="D540" s="9"/>
      <c r="E540" s="9"/>
    </row>
    <row r="541" spans="1:5" ht="13">
      <c r="A541" s="9"/>
      <c r="B541" s="9"/>
      <c r="C541" s="9"/>
      <c r="D541" s="9"/>
      <c r="E541" s="9"/>
    </row>
    <row r="542" spans="1:5" ht="13">
      <c r="A542" s="9"/>
      <c r="B542" s="9"/>
      <c r="C542" s="9"/>
      <c r="D542" s="9"/>
      <c r="E542" s="9"/>
    </row>
    <row r="543" spans="1:5" ht="13">
      <c r="A543" s="9"/>
      <c r="B543" s="9"/>
      <c r="C543" s="9"/>
      <c r="D543" s="9"/>
      <c r="E543" s="9"/>
    </row>
    <row r="544" spans="1:5" ht="13">
      <c r="A544" s="9"/>
      <c r="B544" s="9"/>
      <c r="C544" s="9"/>
      <c r="D544" s="9"/>
      <c r="E544" s="9"/>
    </row>
    <row r="545" spans="1:5" ht="13">
      <c r="A545" s="9"/>
      <c r="B545" s="9"/>
      <c r="C545" s="9"/>
      <c r="D545" s="9"/>
      <c r="E545" s="9"/>
    </row>
    <row r="546" spans="1:5" ht="13">
      <c r="A546" s="9"/>
      <c r="B546" s="9"/>
      <c r="C546" s="9"/>
      <c r="D546" s="9"/>
      <c r="E546" s="9"/>
    </row>
    <row r="547" spans="1:5" ht="13">
      <c r="A547" s="9"/>
      <c r="B547" s="9"/>
      <c r="C547" s="9"/>
      <c r="D547" s="9"/>
      <c r="E547" s="9"/>
    </row>
    <row r="548" spans="1:5" ht="13">
      <c r="A548" s="9"/>
      <c r="B548" s="9"/>
      <c r="C548" s="9"/>
      <c r="D548" s="9"/>
      <c r="E548" s="9"/>
    </row>
    <row r="549" spans="1:5" ht="13">
      <c r="A549" s="9"/>
      <c r="B549" s="9"/>
      <c r="C549" s="9"/>
      <c r="D549" s="9"/>
      <c r="E549" s="9"/>
    </row>
    <row r="550" spans="1:5" ht="13">
      <c r="A550" s="9"/>
      <c r="B550" s="9"/>
      <c r="C550" s="9"/>
      <c r="D550" s="9"/>
      <c r="E550" s="9"/>
    </row>
    <row r="551" spans="1:5" ht="13">
      <c r="A551" s="9"/>
      <c r="B551" s="9"/>
      <c r="C551" s="9"/>
      <c r="D551" s="9"/>
      <c r="E551" s="9"/>
    </row>
    <row r="552" spans="1:5" ht="13">
      <c r="A552" s="9"/>
      <c r="B552" s="9"/>
      <c r="C552" s="9"/>
      <c r="D552" s="9"/>
      <c r="E552" s="9"/>
    </row>
    <row r="553" spans="1:5" ht="13">
      <c r="A553" s="9"/>
      <c r="B553" s="9"/>
      <c r="C553" s="9"/>
      <c r="D553" s="9"/>
      <c r="E553" s="9"/>
    </row>
    <row r="554" spans="1:5" ht="13">
      <c r="A554" s="9"/>
      <c r="B554" s="9"/>
      <c r="C554" s="9"/>
      <c r="D554" s="9"/>
      <c r="E554" s="9"/>
    </row>
    <row r="555" spans="1:5" ht="13">
      <c r="A555" s="9"/>
      <c r="B555" s="9"/>
      <c r="C555" s="9"/>
      <c r="D555" s="9"/>
      <c r="E555" s="9"/>
    </row>
    <row r="556" spans="1:5" ht="13">
      <c r="A556" s="9"/>
      <c r="B556" s="9"/>
      <c r="C556" s="9"/>
      <c r="D556" s="9"/>
      <c r="E556" s="9"/>
    </row>
    <row r="557" spans="1:5" ht="13">
      <c r="A557" s="9"/>
      <c r="B557" s="9"/>
      <c r="C557" s="9"/>
      <c r="D557" s="9"/>
      <c r="E557" s="9"/>
    </row>
    <row r="558" spans="1:5" ht="13">
      <c r="A558" s="9"/>
      <c r="B558" s="9"/>
      <c r="C558" s="9"/>
      <c r="D558" s="9"/>
      <c r="E558" s="9"/>
    </row>
    <row r="559" spans="1:5" ht="13">
      <c r="A559" s="9"/>
      <c r="B559" s="9"/>
      <c r="C559" s="9"/>
      <c r="D559" s="9"/>
      <c r="E559" s="9"/>
    </row>
    <row r="560" spans="1:5" ht="13">
      <c r="A560" s="9"/>
      <c r="B560" s="9"/>
      <c r="C560" s="9"/>
      <c r="D560" s="9"/>
      <c r="E560" s="9"/>
    </row>
    <row r="561" spans="1:5" ht="13">
      <c r="A561" s="9"/>
      <c r="B561" s="9"/>
      <c r="C561" s="9"/>
      <c r="D561" s="9"/>
      <c r="E561" s="9"/>
    </row>
    <row r="562" spans="1:5" ht="13">
      <c r="A562" s="9"/>
      <c r="B562" s="9"/>
      <c r="C562" s="9"/>
      <c r="D562" s="9"/>
      <c r="E562" s="9"/>
    </row>
    <row r="563" spans="1:5" ht="13">
      <c r="A563" s="9"/>
      <c r="B563" s="9"/>
      <c r="C563" s="9"/>
      <c r="D563" s="9"/>
      <c r="E563" s="9"/>
    </row>
    <row r="564" spans="1:5" ht="13">
      <c r="A564" s="9"/>
      <c r="B564" s="9"/>
      <c r="C564" s="9"/>
      <c r="D564" s="9"/>
      <c r="E564" s="9"/>
    </row>
    <row r="565" spans="1:5" ht="13">
      <c r="A565" s="9"/>
      <c r="B565" s="9"/>
      <c r="C565" s="9"/>
      <c r="D565" s="9"/>
      <c r="E565" s="9"/>
    </row>
    <row r="566" spans="1:5" ht="13">
      <c r="A566" s="9"/>
      <c r="B566" s="9"/>
      <c r="C566" s="9"/>
      <c r="D566" s="9"/>
      <c r="E566" s="9"/>
    </row>
    <row r="567" spans="1:5" ht="13">
      <c r="A567" s="9"/>
      <c r="B567" s="9"/>
      <c r="C567" s="9"/>
      <c r="D567" s="9"/>
      <c r="E567" s="9"/>
    </row>
    <row r="568" spans="1:5" ht="13">
      <c r="A568" s="9"/>
      <c r="B568" s="9"/>
      <c r="C568" s="9"/>
      <c r="D568" s="9"/>
      <c r="E568" s="9"/>
    </row>
    <row r="569" spans="1:5" ht="13">
      <c r="A569" s="9"/>
      <c r="B569" s="9"/>
      <c r="C569" s="9"/>
      <c r="D569" s="9"/>
      <c r="E569" s="9"/>
    </row>
    <row r="570" spans="1:5" ht="13">
      <c r="A570" s="9"/>
      <c r="B570" s="9"/>
      <c r="C570" s="9"/>
      <c r="D570" s="9"/>
      <c r="E570" s="9"/>
    </row>
    <row r="571" spans="1:5" ht="13">
      <c r="A571" s="9"/>
      <c r="B571" s="9"/>
      <c r="C571" s="9"/>
      <c r="D571" s="9"/>
      <c r="E571" s="9"/>
    </row>
    <row r="572" spans="1:5" ht="13">
      <c r="A572" s="9"/>
      <c r="B572" s="9"/>
      <c r="C572" s="9"/>
      <c r="D572" s="9"/>
      <c r="E572" s="9"/>
    </row>
    <row r="573" spans="1:5" ht="13">
      <c r="A573" s="9"/>
      <c r="B573" s="9"/>
      <c r="C573" s="9"/>
      <c r="D573" s="9"/>
      <c r="E573" s="9"/>
    </row>
    <row r="574" spans="1:5" ht="13">
      <c r="A574" s="9"/>
      <c r="B574" s="9"/>
      <c r="C574" s="9"/>
      <c r="D574" s="9"/>
      <c r="E574" s="9"/>
    </row>
    <row r="575" spans="1:5" ht="13">
      <c r="A575" s="9"/>
      <c r="B575" s="9"/>
      <c r="C575" s="9"/>
      <c r="D575" s="9"/>
      <c r="E575" s="9"/>
    </row>
    <row r="576" spans="1:5" ht="13">
      <c r="A576" s="9"/>
      <c r="B576" s="9"/>
      <c r="C576" s="9"/>
      <c r="D576" s="9"/>
      <c r="E576" s="9"/>
    </row>
    <row r="577" spans="1:5" ht="13">
      <c r="A577" s="9"/>
      <c r="B577" s="9"/>
      <c r="C577" s="9"/>
      <c r="D577" s="9"/>
      <c r="E577" s="9"/>
    </row>
    <row r="578" spans="1:5" ht="13">
      <c r="A578" s="9"/>
      <c r="B578" s="9"/>
      <c r="C578" s="9"/>
      <c r="D578" s="9"/>
      <c r="E578" s="9"/>
    </row>
    <row r="579" spans="1:5" ht="13">
      <c r="A579" s="9"/>
      <c r="B579" s="9"/>
      <c r="C579" s="9"/>
      <c r="D579" s="9"/>
      <c r="E579" s="9"/>
    </row>
    <row r="580" spans="1:5" ht="13">
      <c r="A580" s="9"/>
      <c r="B580" s="9"/>
      <c r="C580" s="9"/>
      <c r="D580" s="9"/>
      <c r="E580" s="9"/>
    </row>
    <row r="581" spans="1:5" ht="13">
      <c r="A581" s="9"/>
      <c r="B581" s="9"/>
      <c r="C581" s="9"/>
      <c r="D581" s="9"/>
      <c r="E581" s="9"/>
    </row>
    <row r="582" spans="1:5" ht="13">
      <c r="A582" s="9"/>
      <c r="B582" s="9"/>
      <c r="C582" s="9"/>
      <c r="D582" s="9"/>
      <c r="E582" s="9"/>
    </row>
    <row r="583" spans="1:5" ht="13">
      <c r="A583" s="9"/>
      <c r="B583" s="9"/>
      <c r="C583" s="9"/>
      <c r="D583" s="9"/>
      <c r="E583" s="9"/>
    </row>
    <row r="584" spans="1:5" ht="13">
      <c r="A584" s="9"/>
      <c r="B584" s="9"/>
      <c r="C584" s="9"/>
      <c r="D584" s="9"/>
      <c r="E584" s="9"/>
    </row>
    <row r="585" spans="1:5" ht="13">
      <c r="A585" s="9"/>
      <c r="B585" s="9"/>
      <c r="C585" s="9"/>
      <c r="D585" s="9"/>
      <c r="E585" s="9"/>
    </row>
    <row r="586" spans="1:5" ht="13">
      <c r="A586" s="9"/>
      <c r="B586" s="9"/>
      <c r="C586" s="9"/>
      <c r="D586" s="9"/>
      <c r="E586" s="9"/>
    </row>
    <row r="587" spans="1:5" ht="13">
      <c r="A587" s="9"/>
      <c r="B587" s="9"/>
      <c r="C587" s="9"/>
      <c r="D587" s="9"/>
      <c r="E587" s="9"/>
    </row>
    <row r="588" spans="1:5" ht="13">
      <c r="A588" s="9"/>
      <c r="B588" s="9"/>
      <c r="C588" s="9"/>
      <c r="D588" s="9"/>
      <c r="E588" s="9"/>
    </row>
    <row r="589" spans="1:5" ht="13">
      <c r="A589" s="9"/>
      <c r="B589" s="9"/>
      <c r="C589" s="9"/>
      <c r="D589" s="9"/>
      <c r="E589" s="9"/>
    </row>
    <row r="590" spans="1:5" ht="13">
      <c r="A590" s="9"/>
      <c r="B590" s="9"/>
      <c r="C590" s="9"/>
      <c r="D590" s="9"/>
      <c r="E590" s="9"/>
    </row>
    <row r="591" spans="1:5" ht="13">
      <c r="A591" s="9"/>
      <c r="B591" s="9"/>
      <c r="C591" s="9"/>
      <c r="D591" s="9"/>
      <c r="E591" s="9"/>
    </row>
    <row r="592" spans="1:5" ht="13">
      <c r="A592" s="9"/>
      <c r="B592" s="9"/>
      <c r="C592" s="9"/>
      <c r="D592" s="9"/>
      <c r="E592" s="9"/>
    </row>
    <row r="593" spans="1:5" ht="13">
      <c r="A593" s="9"/>
      <c r="B593" s="9"/>
      <c r="C593" s="9"/>
      <c r="D593" s="9"/>
      <c r="E593" s="9"/>
    </row>
    <row r="594" spans="1:5" ht="13">
      <c r="A594" s="9"/>
      <c r="B594" s="9"/>
      <c r="C594" s="9"/>
      <c r="D594" s="9"/>
      <c r="E594" s="9"/>
    </row>
    <row r="595" spans="1:5" ht="13">
      <c r="A595" s="9"/>
      <c r="B595" s="9"/>
      <c r="C595" s="9"/>
      <c r="D595" s="9"/>
      <c r="E595" s="9"/>
    </row>
    <row r="596" spans="1:5" ht="13">
      <c r="A596" s="9"/>
      <c r="B596" s="9"/>
      <c r="C596" s="9"/>
      <c r="D596" s="9"/>
      <c r="E596" s="9"/>
    </row>
    <row r="597" spans="1:5" ht="13">
      <c r="A597" s="9"/>
      <c r="B597" s="9"/>
      <c r="C597" s="9"/>
      <c r="D597" s="9"/>
      <c r="E597" s="9"/>
    </row>
    <row r="598" spans="1:5" ht="13">
      <c r="A598" s="9"/>
      <c r="B598" s="9"/>
      <c r="C598" s="9"/>
      <c r="D598" s="9"/>
      <c r="E598" s="9"/>
    </row>
    <row r="599" spans="1:5" ht="13">
      <c r="A599" s="9"/>
      <c r="B599" s="9"/>
      <c r="C599" s="9"/>
      <c r="D599" s="9"/>
      <c r="E599" s="9"/>
    </row>
    <row r="600" spans="1:5" ht="13">
      <c r="A600" s="9"/>
      <c r="B600" s="9"/>
      <c r="C600" s="9"/>
      <c r="D600" s="9"/>
      <c r="E600" s="9"/>
    </row>
    <row r="601" spans="1:5" ht="13">
      <c r="A601" s="9"/>
      <c r="B601" s="9"/>
      <c r="C601" s="9"/>
      <c r="D601" s="9"/>
      <c r="E601" s="9"/>
    </row>
    <row r="602" spans="1:5" ht="13">
      <c r="A602" s="9"/>
      <c r="B602" s="9"/>
      <c r="C602" s="9"/>
      <c r="D602" s="9"/>
      <c r="E602" s="9"/>
    </row>
    <row r="603" spans="1:5" ht="13">
      <c r="A603" s="9"/>
      <c r="B603" s="9"/>
      <c r="C603" s="9"/>
      <c r="D603" s="9"/>
      <c r="E603" s="9"/>
    </row>
    <row r="604" spans="1:5" ht="13">
      <c r="A604" s="9"/>
      <c r="B604" s="9"/>
      <c r="C604" s="9"/>
      <c r="D604" s="9"/>
      <c r="E604" s="9"/>
    </row>
    <row r="605" spans="1:5" ht="13">
      <c r="A605" s="9"/>
      <c r="B605" s="9"/>
      <c r="C605" s="9"/>
      <c r="D605" s="9"/>
      <c r="E605" s="9"/>
    </row>
    <row r="606" spans="1:5" ht="13">
      <c r="A606" s="9"/>
      <c r="B606" s="9"/>
      <c r="C606" s="9"/>
      <c r="D606" s="9"/>
      <c r="E606" s="9"/>
    </row>
    <row r="607" spans="1:5" ht="13">
      <c r="A607" s="9"/>
      <c r="B607" s="9"/>
      <c r="C607" s="9"/>
      <c r="D607" s="9"/>
      <c r="E607" s="9"/>
    </row>
    <row r="608" spans="1:5" ht="13">
      <c r="A608" s="9"/>
      <c r="B608" s="9"/>
      <c r="C608" s="9"/>
      <c r="D608" s="9"/>
      <c r="E608" s="9"/>
    </row>
    <row r="609" spans="1:5" ht="13">
      <c r="A609" s="9"/>
      <c r="B609" s="9"/>
      <c r="C609" s="9"/>
      <c r="D609" s="9"/>
      <c r="E609" s="9"/>
    </row>
    <row r="610" spans="1:5" ht="13">
      <c r="A610" s="9"/>
      <c r="B610" s="9"/>
      <c r="C610" s="9"/>
      <c r="D610" s="9"/>
      <c r="E610" s="9"/>
    </row>
    <row r="611" spans="1:5" ht="13">
      <c r="A611" s="9"/>
      <c r="B611" s="9"/>
      <c r="C611" s="9"/>
      <c r="D611" s="9"/>
      <c r="E611" s="9"/>
    </row>
    <row r="612" spans="1:5" ht="13">
      <c r="A612" s="9"/>
      <c r="B612" s="9"/>
      <c r="C612" s="9"/>
      <c r="D612" s="9"/>
      <c r="E612" s="9"/>
    </row>
    <row r="613" spans="1:5" ht="13">
      <c r="A613" s="9"/>
      <c r="B613" s="9"/>
      <c r="C613" s="9"/>
      <c r="D613" s="9"/>
      <c r="E613" s="9"/>
    </row>
    <row r="614" spans="1:5" ht="13">
      <c r="A614" s="9"/>
      <c r="B614" s="9"/>
      <c r="C614" s="9"/>
      <c r="D614" s="9"/>
      <c r="E614" s="9"/>
    </row>
    <row r="615" spans="1:5" ht="13">
      <c r="A615" s="9"/>
      <c r="B615" s="9"/>
      <c r="C615" s="9"/>
      <c r="D615" s="9"/>
      <c r="E615" s="9"/>
    </row>
    <row r="616" spans="1:5" ht="13">
      <c r="A616" s="9"/>
      <c r="B616" s="9"/>
      <c r="C616" s="9"/>
      <c r="D616" s="9"/>
      <c r="E616" s="9"/>
    </row>
    <row r="617" spans="1:5" ht="13">
      <c r="A617" s="9"/>
      <c r="B617" s="9"/>
      <c r="C617" s="9"/>
      <c r="D617" s="9"/>
      <c r="E617" s="9"/>
    </row>
    <row r="618" spans="1:5" ht="13">
      <c r="A618" s="9"/>
      <c r="B618" s="9"/>
      <c r="C618" s="9"/>
      <c r="D618" s="9"/>
      <c r="E618" s="9"/>
    </row>
    <row r="619" spans="1:5" ht="13">
      <c r="A619" s="9"/>
      <c r="B619" s="9"/>
      <c r="C619" s="9"/>
      <c r="D619" s="9"/>
      <c r="E619" s="9"/>
    </row>
    <row r="620" spans="1:5" ht="13">
      <c r="A620" s="9"/>
      <c r="B620" s="9"/>
      <c r="C620" s="9"/>
      <c r="D620" s="9"/>
      <c r="E620" s="9"/>
    </row>
    <row r="621" spans="1:5" ht="13">
      <c r="A621" s="9"/>
      <c r="B621" s="9"/>
      <c r="C621" s="9"/>
      <c r="D621" s="9"/>
      <c r="E621" s="9"/>
    </row>
    <row r="622" spans="1:5" ht="13">
      <c r="A622" s="9"/>
      <c r="B622" s="9"/>
      <c r="C622" s="9"/>
      <c r="D622" s="9"/>
      <c r="E622" s="9"/>
    </row>
    <row r="623" spans="1:5" ht="13">
      <c r="A623" s="9"/>
      <c r="B623" s="9"/>
      <c r="C623" s="9"/>
      <c r="D623" s="9"/>
      <c r="E623" s="9"/>
    </row>
    <row r="624" spans="1:5" ht="13">
      <c r="A624" s="9"/>
      <c r="B624" s="9"/>
      <c r="C624" s="9"/>
      <c r="D624" s="9"/>
      <c r="E624" s="9"/>
    </row>
    <row r="625" spans="1:5" ht="13">
      <c r="A625" s="9"/>
      <c r="B625" s="9"/>
      <c r="C625" s="9"/>
      <c r="D625" s="9"/>
      <c r="E625" s="9"/>
    </row>
    <row r="626" spans="1:5" ht="13">
      <c r="A626" s="9"/>
      <c r="B626" s="9"/>
      <c r="C626" s="9"/>
      <c r="D626" s="9"/>
      <c r="E626" s="9"/>
    </row>
    <row r="627" spans="1:5" ht="13">
      <c r="A627" s="9"/>
      <c r="B627" s="9"/>
      <c r="C627" s="9"/>
      <c r="D627" s="9"/>
      <c r="E627" s="9"/>
    </row>
    <row r="628" spans="1:5" ht="13">
      <c r="A628" s="9"/>
      <c r="B628" s="9"/>
      <c r="C628" s="9"/>
      <c r="D628" s="9"/>
      <c r="E628" s="9"/>
    </row>
    <row r="629" spans="1:5" ht="13">
      <c r="A629" s="9"/>
      <c r="B629" s="9"/>
      <c r="C629" s="9"/>
      <c r="D629" s="9"/>
      <c r="E629" s="9"/>
    </row>
    <row r="630" spans="1:5" ht="13">
      <c r="A630" s="9"/>
      <c r="B630" s="9"/>
      <c r="C630" s="9"/>
      <c r="D630" s="9"/>
      <c r="E630" s="9"/>
    </row>
    <row r="631" spans="1:5" ht="13">
      <c r="A631" s="9"/>
      <c r="B631" s="9"/>
      <c r="C631" s="9"/>
      <c r="D631" s="9"/>
      <c r="E631" s="9"/>
    </row>
    <row r="632" spans="1:5" ht="13">
      <c r="A632" s="9"/>
      <c r="B632" s="9"/>
      <c r="C632" s="9"/>
      <c r="D632" s="9"/>
      <c r="E632" s="9"/>
    </row>
    <row r="633" spans="1:5" ht="13">
      <c r="A633" s="9"/>
      <c r="B633" s="9"/>
      <c r="C633" s="9"/>
      <c r="D633" s="9"/>
      <c r="E633" s="9"/>
    </row>
    <row r="634" spans="1:5" ht="13">
      <c r="A634" s="9"/>
      <c r="B634" s="9"/>
      <c r="C634" s="9"/>
      <c r="D634" s="9"/>
      <c r="E634" s="9"/>
    </row>
    <row r="635" spans="1:5" ht="13">
      <c r="A635" s="9"/>
      <c r="B635" s="9"/>
      <c r="C635" s="9"/>
      <c r="D635" s="9"/>
      <c r="E635" s="9"/>
    </row>
    <row r="636" spans="1:5" ht="13">
      <c r="A636" s="9"/>
      <c r="B636" s="9"/>
      <c r="C636" s="9"/>
      <c r="D636" s="9"/>
      <c r="E636" s="9"/>
    </row>
    <row r="637" spans="1:5" ht="13">
      <c r="A637" s="9"/>
      <c r="B637" s="9"/>
      <c r="C637" s="9"/>
      <c r="D637" s="9"/>
      <c r="E637" s="9"/>
    </row>
    <row r="638" spans="1:5" ht="13">
      <c r="A638" s="9"/>
      <c r="B638" s="9"/>
      <c r="C638" s="9"/>
      <c r="D638" s="9"/>
      <c r="E638" s="9"/>
    </row>
    <row r="639" spans="1:5" ht="13">
      <c r="A639" s="9"/>
      <c r="B639" s="9"/>
      <c r="C639" s="9"/>
      <c r="D639" s="9"/>
      <c r="E639" s="9"/>
    </row>
    <row r="640" spans="1:5" ht="13">
      <c r="A640" s="9"/>
      <c r="B640" s="9"/>
      <c r="C640" s="9"/>
      <c r="D640" s="9"/>
      <c r="E640" s="9"/>
    </row>
    <row r="641" spans="1:5" ht="13">
      <c r="A641" s="9"/>
      <c r="B641" s="9"/>
      <c r="C641" s="9"/>
      <c r="D641" s="9"/>
      <c r="E641" s="9"/>
    </row>
    <row r="642" spans="1:5" ht="13">
      <c r="A642" s="9"/>
      <c r="B642" s="9"/>
      <c r="C642" s="9"/>
      <c r="D642" s="9"/>
      <c r="E642" s="9"/>
    </row>
    <row r="643" spans="1:5" ht="13">
      <c r="A643" s="9"/>
      <c r="B643" s="9"/>
      <c r="C643" s="9"/>
      <c r="D643" s="9"/>
      <c r="E643" s="9"/>
    </row>
    <row r="644" spans="1:5" ht="13">
      <c r="A644" s="9"/>
      <c r="B644" s="9"/>
      <c r="C644" s="9"/>
      <c r="D644" s="9"/>
      <c r="E644" s="9"/>
    </row>
    <row r="645" spans="1:5" ht="13">
      <c r="A645" s="9"/>
      <c r="B645" s="9"/>
      <c r="C645" s="9"/>
      <c r="D645" s="9"/>
      <c r="E645" s="9"/>
    </row>
    <row r="646" spans="1:5" ht="13">
      <c r="A646" s="9"/>
      <c r="B646" s="9"/>
      <c r="C646" s="9"/>
      <c r="D646" s="9"/>
      <c r="E646" s="9"/>
    </row>
    <row r="647" spans="1:5" ht="13">
      <c r="A647" s="9"/>
      <c r="B647" s="9"/>
      <c r="C647" s="9"/>
      <c r="D647" s="9"/>
      <c r="E647" s="9"/>
    </row>
    <row r="648" spans="1:5" ht="13">
      <c r="A648" s="9"/>
      <c r="B648" s="9"/>
      <c r="C648" s="9"/>
      <c r="D648" s="9"/>
      <c r="E648" s="9"/>
    </row>
    <row r="649" spans="1:5" ht="13">
      <c r="A649" s="9"/>
      <c r="B649" s="9"/>
      <c r="C649" s="9"/>
      <c r="D649" s="9"/>
      <c r="E649" s="9"/>
    </row>
    <row r="650" spans="1:5" ht="13">
      <c r="A650" s="9"/>
      <c r="B650" s="9"/>
      <c r="C650" s="9"/>
      <c r="D650" s="9"/>
      <c r="E650" s="9"/>
    </row>
    <row r="651" spans="1:5" ht="13">
      <c r="A651" s="9"/>
      <c r="B651" s="9"/>
      <c r="C651" s="9"/>
      <c r="D651" s="9"/>
      <c r="E651" s="9"/>
    </row>
    <row r="652" spans="1:5" ht="13">
      <c r="A652" s="9"/>
      <c r="B652" s="9"/>
      <c r="C652" s="9"/>
      <c r="D652" s="9"/>
      <c r="E652" s="9"/>
    </row>
    <row r="653" spans="1:5" ht="13">
      <c r="A653" s="9"/>
      <c r="B653" s="9"/>
      <c r="C653" s="9"/>
      <c r="D653" s="9"/>
      <c r="E653" s="9"/>
    </row>
    <row r="654" spans="1:5" ht="13">
      <c r="A654" s="9"/>
      <c r="B654" s="9"/>
      <c r="C654" s="9"/>
      <c r="D654" s="9"/>
      <c r="E654" s="9"/>
    </row>
    <row r="655" spans="1:5" ht="13">
      <c r="A655" s="9"/>
      <c r="B655" s="9"/>
      <c r="C655" s="9"/>
      <c r="D655" s="9"/>
      <c r="E655" s="9"/>
    </row>
    <row r="656" spans="1:5" ht="13">
      <c r="A656" s="9"/>
      <c r="B656" s="9"/>
      <c r="C656" s="9"/>
      <c r="D656" s="9"/>
      <c r="E656" s="9"/>
    </row>
    <row r="657" spans="1:5" ht="13">
      <c r="A657" s="9"/>
      <c r="B657" s="9"/>
      <c r="C657" s="9"/>
      <c r="D657" s="9"/>
      <c r="E657" s="9"/>
    </row>
    <row r="658" spans="1:5" ht="13">
      <c r="A658" s="9"/>
      <c r="B658" s="9"/>
      <c r="C658" s="9"/>
      <c r="D658" s="9"/>
      <c r="E658" s="9"/>
    </row>
    <row r="659" spans="1:5" ht="13">
      <c r="A659" s="9"/>
      <c r="B659" s="9"/>
      <c r="C659" s="9"/>
      <c r="D659" s="9"/>
      <c r="E659" s="9"/>
    </row>
    <row r="660" spans="1:5" ht="13">
      <c r="A660" s="9"/>
      <c r="B660" s="9"/>
      <c r="C660" s="9"/>
      <c r="D660" s="9"/>
      <c r="E660" s="9"/>
    </row>
    <row r="661" spans="1:5" ht="13">
      <c r="A661" s="9"/>
      <c r="B661" s="9"/>
      <c r="C661" s="9"/>
      <c r="D661" s="9"/>
      <c r="E661" s="9"/>
    </row>
    <row r="662" spans="1:5" ht="13">
      <c r="A662" s="9"/>
      <c r="B662" s="9"/>
      <c r="C662" s="9"/>
      <c r="D662" s="9"/>
      <c r="E662" s="9"/>
    </row>
    <row r="663" spans="1:5" ht="13">
      <c r="A663" s="9"/>
      <c r="B663" s="9"/>
      <c r="C663" s="9"/>
      <c r="D663" s="9"/>
      <c r="E663" s="9"/>
    </row>
    <row r="664" spans="1:5" ht="13">
      <c r="A664" s="9"/>
      <c r="B664" s="9"/>
      <c r="C664" s="9"/>
      <c r="D664" s="9"/>
      <c r="E664" s="9"/>
    </row>
    <row r="665" spans="1:5" ht="13">
      <c r="A665" s="9"/>
      <c r="B665" s="9"/>
      <c r="C665" s="9"/>
      <c r="D665" s="9"/>
      <c r="E665" s="9"/>
    </row>
    <row r="666" spans="1:5" ht="13">
      <c r="A666" s="9"/>
      <c r="B666" s="9"/>
      <c r="C666" s="9"/>
      <c r="D666" s="9"/>
      <c r="E666" s="9"/>
    </row>
    <row r="667" spans="1:5" ht="13">
      <c r="A667" s="9"/>
      <c r="B667" s="9"/>
      <c r="C667" s="9"/>
      <c r="D667" s="9"/>
      <c r="E667" s="9"/>
    </row>
    <row r="668" spans="1:5" ht="13">
      <c r="A668" s="9"/>
      <c r="B668" s="9"/>
      <c r="C668" s="9"/>
      <c r="D668" s="9"/>
      <c r="E668" s="9"/>
    </row>
    <row r="669" spans="1:5" ht="13">
      <c r="A669" s="9"/>
      <c r="B669" s="9"/>
      <c r="C669" s="9"/>
      <c r="D669" s="9"/>
      <c r="E669" s="9"/>
    </row>
    <row r="670" spans="1:5" ht="13">
      <c r="A670" s="9"/>
      <c r="B670" s="9"/>
      <c r="C670" s="9"/>
      <c r="D670" s="9"/>
      <c r="E670" s="9"/>
    </row>
    <row r="671" spans="1:5" ht="13">
      <c r="A671" s="9"/>
      <c r="B671" s="9"/>
      <c r="C671" s="9"/>
      <c r="D671" s="9"/>
      <c r="E671" s="9"/>
    </row>
    <row r="672" spans="1:5" ht="13">
      <c r="A672" s="9"/>
      <c r="B672" s="9"/>
      <c r="C672" s="9"/>
      <c r="D672" s="9"/>
      <c r="E672" s="9"/>
    </row>
    <row r="673" spans="1:5" ht="13">
      <c r="A673" s="9"/>
      <c r="B673" s="9"/>
      <c r="C673" s="9"/>
      <c r="D673" s="9"/>
      <c r="E673" s="9"/>
    </row>
    <row r="674" spans="1:5" ht="13">
      <c r="A674" s="9"/>
      <c r="B674" s="9"/>
      <c r="C674" s="9"/>
      <c r="D674" s="9"/>
      <c r="E674" s="9"/>
    </row>
    <row r="675" spans="1:5" ht="13">
      <c r="A675" s="9"/>
      <c r="B675" s="9"/>
      <c r="C675" s="9"/>
      <c r="D675" s="9"/>
      <c r="E675" s="9"/>
    </row>
    <row r="676" spans="1:5" ht="13">
      <c r="A676" s="9"/>
      <c r="B676" s="9"/>
      <c r="C676" s="9"/>
      <c r="D676" s="9"/>
      <c r="E676" s="9"/>
    </row>
    <row r="677" spans="1:5" ht="13">
      <c r="A677" s="9"/>
      <c r="B677" s="9"/>
      <c r="C677" s="9"/>
      <c r="D677" s="9"/>
      <c r="E677" s="9"/>
    </row>
    <row r="678" spans="1:5" ht="13">
      <c r="A678" s="9"/>
      <c r="B678" s="9"/>
      <c r="C678" s="9"/>
      <c r="D678" s="9"/>
      <c r="E678" s="9"/>
    </row>
    <row r="679" spans="1:5" ht="13">
      <c r="A679" s="9"/>
      <c r="B679" s="9"/>
      <c r="C679" s="9"/>
      <c r="D679" s="9"/>
      <c r="E679" s="9"/>
    </row>
    <row r="680" spans="1:5" ht="13">
      <c r="A680" s="9"/>
      <c r="B680" s="9"/>
      <c r="C680" s="9"/>
      <c r="D680" s="9"/>
      <c r="E680" s="9"/>
    </row>
    <row r="681" spans="1:5" ht="13">
      <c r="A681" s="9"/>
      <c r="B681" s="9"/>
      <c r="C681" s="9"/>
      <c r="D681" s="9"/>
      <c r="E681" s="9"/>
    </row>
    <row r="682" spans="1:5" ht="13">
      <c r="A682" s="9"/>
      <c r="B682" s="9"/>
      <c r="C682" s="9"/>
      <c r="D682" s="9"/>
      <c r="E682" s="9"/>
    </row>
    <row r="683" spans="1:5" ht="13">
      <c r="A683" s="9"/>
      <c r="B683" s="9"/>
      <c r="C683" s="9"/>
      <c r="D683" s="9"/>
      <c r="E683" s="9"/>
    </row>
    <row r="684" spans="1:5" ht="13">
      <c r="A684" s="9"/>
      <c r="B684" s="9"/>
      <c r="C684" s="9"/>
      <c r="D684" s="9"/>
      <c r="E684" s="9"/>
    </row>
    <row r="685" spans="1:5" ht="13">
      <c r="A685" s="9"/>
      <c r="B685" s="9"/>
      <c r="C685" s="9"/>
      <c r="D685" s="9"/>
      <c r="E685" s="9"/>
    </row>
    <row r="686" spans="1:5" ht="13">
      <c r="A686" s="9"/>
      <c r="B686" s="9"/>
      <c r="C686" s="9"/>
      <c r="D686" s="9"/>
      <c r="E686" s="9"/>
    </row>
    <row r="687" spans="1:5" ht="13">
      <c r="A687" s="9"/>
      <c r="B687" s="9"/>
      <c r="C687" s="9"/>
      <c r="D687" s="9"/>
      <c r="E687" s="9"/>
    </row>
    <row r="688" spans="1:5" ht="13">
      <c r="A688" s="9"/>
      <c r="B688" s="9"/>
      <c r="C688" s="9"/>
      <c r="D688" s="9"/>
      <c r="E688" s="9"/>
    </row>
    <row r="689" spans="1:5" ht="13">
      <c r="A689" s="9"/>
      <c r="B689" s="9"/>
      <c r="C689" s="9"/>
      <c r="D689" s="9"/>
      <c r="E689" s="9"/>
    </row>
    <row r="690" spans="1:5" ht="13">
      <c r="A690" s="9"/>
      <c r="B690" s="9"/>
      <c r="C690" s="9"/>
      <c r="D690" s="9"/>
      <c r="E690" s="9"/>
    </row>
    <row r="691" spans="1:5" ht="13">
      <c r="A691" s="9"/>
      <c r="B691" s="9"/>
      <c r="C691" s="9"/>
      <c r="D691" s="9"/>
      <c r="E691" s="9"/>
    </row>
    <row r="692" spans="1:5" ht="13">
      <c r="A692" s="9"/>
      <c r="B692" s="9"/>
      <c r="C692" s="9"/>
      <c r="D692" s="9"/>
      <c r="E692" s="9"/>
    </row>
    <row r="693" spans="1:5" ht="13">
      <c r="A693" s="9"/>
      <c r="B693" s="9"/>
      <c r="C693" s="9"/>
      <c r="D693" s="9"/>
      <c r="E693" s="9"/>
    </row>
    <row r="694" spans="1:5" ht="13">
      <c r="A694" s="9"/>
      <c r="B694" s="9"/>
      <c r="C694" s="9"/>
      <c r="D694" s="9"/>
      <c r="E694" s="9"/>
    </row>
    <row r="695" spans="1:5" ht="13">
      <c r="A695" s="9"/>
      <c r="B695" s="9"/>
      <c r="C695" s="9"/>
      <c r="D695" s="9"/>
      <c r="E695" s="9"/>
    </row>
    <row r="696" spans="1:5" ht="13">
      <c r="A696" s="9"/>
      <c r="B696" s="9"/>
      <c r="C696" s="9"/>
      <c r="D696" s="9"/>
      <c r="E696" s="9"/>
    </row>
    <row r="697" spans="1:5" ht="13">
      <c r="A697" s="9"/>
      <c r="B697" s="9"/>
      <c r="C697" s="9"/>
      <c r="D697" s="9"/>
      <c r="E697" s="9"/>
    </row>
    <row r="698" spans="1:5" ht="13">
      <c r="A698" s="9"/>
      <c r="B698" s="9"/>
      <c r="C698" s="9"/>
      <c r="D698" s="9"/>
      <c r="E698" s="9"/>
    </row>
    <row r="699" spans="1:5" ht="13">
      <c r="A699" s="9"/>
      <c r="B699" s="9"/>
      <c r="C699" s="9"/>
      <c r="D699" s="9"/>
      <c r="E699" s="9"/>
    </row>
    <row r="700" spans="1:5" ht="13">
      <c r="A700" s="9"/>
      <c r="B700" s="9"/>
      <c r="C700" s="9"/>
      <c r="D700" s="9"/>
      <c r="E700" s="9"/>
    </row>
    <row r="701" spans="1:5" ht="13">
      <c r="A701" s="9"/>
      <c r="B701" s="9"/>
      <c r="C701" s="9"/>
      <c r="D701" s="9"/>
      <c r="E701" s="9"/>
    </row>
    <row r="702" spans="1:5" ht="13">
      <c r="A702" s="9"/>
      <c r="B702" s="9"/>
      <c r="C702" s="9"/>
      <c r="D702" s="9"/>
      <c r="E702" s="9"/>
    </row>
    <row r="703" spans="1:5" ht="13">
      <c r="A703" s="9"/>
      <c r="B703" s="9"/>
      <c r="C703" s="9"/>
      <c r="D703" s="9"/>
      <c r="E703" s="9"/>
    </row>
    <row r="704" spans="1:5" ht="13">
      <c r="A704" s="9"/>
      <c r="B704" s="9"/>
      <c r="C704" s="9"/>
      <c r="D704" s="9"/>
      <c r="E704" s="9"/>
    </row>
    <row r="705" spans="1:5" ht="13">
      <c r="A705" s="9"/>
      <c r="B705" s="9"/>
      <c r="C705" s="9"/>
      <c r="D705" s="9"/>
      <c r="E705" s="9"/>
    </row>
    <row r="706" spans="1:5" ht="13">
      <c r="A706" s="9"/>
      <c r="B706" s="9"/>
      <c r="C706" s="9"/>
      <c r="D706" s="9"/>
      <c r="E706" s="9"/>
    </row>
    <row r="707" spans="1:5" ht="13">
      <c r="A707" s="9"/>
      <c r="B707" s="9"/>
      <c r="C707" s="9"/>
      <c r="D707" s="9"/>
      <c r="E707" s="9"/>
    </row>
    <row r="708" spans="1:5" ht="13">
      <c r="A708" s="9"/>
      <c r="B708" s="9"/>
      <c r="C708" s="9"/>
      <c r="D708" s="9"/>
      <c r="E708" s="9"/>
    </row>
    <row r="709" spans="1:5" ht="13">
      <c r="A709" s="9"/>
      <c r="B709" s="9"/>
      <c r="C709" s="9"/>
      <c r="D709" s="9"/>
      <c r="E709" s="9"/>
    </row>
    <row r="710" spans="1:5" ht="13">
      <c r="A710" s="9"/>
      <c r="B710" s="9"/>
      <c r="C710" s="9"/>
      <c r="D710" s="9"/>
      <c r="E710" s="9"/>
    </row>
    <row r="711" spans="1:5" ht="13">
      <c r="A711" s="9"/>
      <c r="B711" s="9"/>
      <c r="C711" s="9"/>
      <c r="D711" s="9"/>
      <c r="E711" s="9"/>
    </row>
    <row r="712" spans="1:5" ht="13">
      <c r="A712" s="9"/>
      <c r="B712" s="9"/>
      <c r="C712" s="9"/>
      <c r="D712" s="9"/>
      <c r="E712" s="9"/>
    </row>
    <row r="713" spans="1:5" ht="13">
      <c r="A713" s="9"/>
      <c r="B713" s="9"/>
      <c r="C713" s="9"/>
      <c r="D713" s="9"/>
      <c r="E713" s="9"/>
    </row>
    <row r="714" spans="1:5" ht="13">
      <c r="A714" s="9"/>
      <c r="B714" s="9"/>
      <c r="C714" s="9"/>
      <c r="D714" s="9"/>
      <c r="E714" s="9"/>
    </row>
    <row r="715" spans="1:5" ht="13">
      <c r="A715" s="9"/>
      <c r="B715" s="9"/>
      <c r="C715" s="9"/>
      <c r="D715" s="9"/>
      <c r="E715" s="9"/>
    </row>
    <row r="716" spans="1:5" ht="13">
      <c r="A716" s="9"/>
      <c r="B716" s="9"/>
      <c r="C716" s="9"/>
      <c r="D716" s="9"/>
      <c r="E716" s="9"/>
    </row>
    <row r="717" spans="1:5" ht="13">
      <c r="A717" s="9"/>
      <c r="B717" s="9"/>
      <c r="C717" s="9"/>
      <c r="D717" s="9"/>
      <c r="E717" s="9"/>
    </row>
    <row r="718" spans="1:5" ht="13">
      <c r="A718" s="9"/>
      <c r="B718" s="9"/>
      <c r="C718" s="9"/>
      <c r="D718" s="9"/>
      <c r="E718" s="9"/>
    </row>
    <row r="719" spans="1:5" ht="13">
      <c r="A719" s="9"/>
      <c r="B719" s="9"/>
      <c r="C719" s="9"/>
      <c r="D719" s="9"/>
      <c r="E719" s="9"/>
    </row>
    <row r="720" spans="1:5" ht="13">
      <c r="A720" s="9"/>
      <c r="B720" s="9"/>
      <c r="C720" s="9"/>
      <c r="D720" s="9"/>
      <c r="E720" s="9"/>
    </row>
    <row r="721" spans="1:5" ht="13">
      <c r="A721" s="9"/>
      <c r="B721" s="9"/>
      <c r="C721" s="9"/>
      <c r="D721" s="9"/>
      <c r="E721" s="9"/>
    </row>
    <row r="722" spans="1:5" ht="13">
      <c r="A722" s="9"/>
      <c r="B722" s="9"/>
      <c r="C722" s="9"/>
      <c r="D722" s="9"/>
      <c r="E722" s="9"/>
    </row>
    <row r="723" spans="1:5" ht="13">
      <c r="A723" s="9"/>
      <c r="B723" s="9"/>
      <c r="C723" s="9"/>
      <c r="D723" s="9"/>
      <c r="E723" s="9"/>
    </row>
    <row r="724" spans="1:5" ht="13">
      <c r="A724" s="9"/>
      <c r="B724" s="9"/>
      <c r="C724" s="9"/>
      <c r="D724" s="9"/>
      <c r="E724" s="9"/>
    </row>
    <row r="725" spans="1:5" ht="13">
      <c r="A725" s="9"/>
      <c r="B725" s="9"/>
      <c r="C725" s="9"/>
      <c r="D725" s="9"/>
      <c r="E725" s="9"/>
    </row>
    <row r="726" spans="1:5" ht="13">
      <c r="A726" s="9"/>
      <c r="B726" s="9"/>
      <c r="C726" s="9"/>
      <c r="D726" s="9"/>
      <c r="E726" s="9"/>
    </row>
    <row r="727" spans="1:5" ht="13">
      <c r="A727" s="9"/>
      <c r="B727" s="9"/>
      <c r="C727" s="9"/>
      <c r="D727" s="9"/>
      <c r="E727" s="9"/>
    </row>
    <row r="728" spans="1:5" ht="13">
      <c r="A728" s="9"/>
      <c r="B728" s="9"/>
      <c r="C728" s="9"/>
      <c r="D728" s="9"/>
      <c r="E728" s="9"/>
    </row>
    <row r="729" spans="1:5" ht="13">
      <c r="A729" s="9"/>
      <c r="B729" s="9"/>
      <c r="C729" s="9"/>
      <c r="D729" s="9"/>
      <c r="E729" s="9"/>
    </row>
    <row r="730" spans="1:5" ht="13">
      <c r="A730" s="9"/>
      <c r="B730" s="9"/>
      <c r="C730" s="9"/>
      <c r="D730" s="9"/>
      <c r="E730" s="9"/>
    </row>
    <row r="731" spans="1:5" ht="13">
      <c r="A731" s="9"/>
      <c r="B731" s="9"/>
      <c r="C731" s="9"/>
      <c r="D731" s="9"/>
      <c r="E731" s="9"/>
    </row>
    <row r="732" spans="1:5" ht="13">
      <c r="A732" s="9"/>
      <c r="B732" s="9"/>
      <c r="C732" s="9"/>
      <c r="D732" s="9"/>
      <c r="E732" s="9"/>
    </row>
    <row r="733" spans="1:5" ht="13">
      <c r="A733" s="9"/>
      <c r="B733" s="9"/>
      <c r="C733" s="9"/>
      <c r="D733" s="9"/>
      <c r="E733" s="9"/>
    </row>
    <row r="734" spans="1:5" ht="13">
      <c r="A734" s="9"/>
      <c r="B734" s="9"/>
      <c r="C734" s="9"/>
      <c r="D734" s="9"/>
      <c r="E734" s="9"/>
    </row>
    <row r="735" spans="1:5" ht="13">
      <c r="A735" s="9"/>
      <c r="B735" s="9"/>
      <c r="C735" s="9"/>
      <c r="D735" s="9"/>
      <c r="E735" s="9"/>
    </row>
    <row r="736" spans="1:5" ht="13">
      <c r="A736" s="9"/>
      <c r="B736" s="9"/>
      <c r="C736" s="9"/>
      <c r="D736" s="9"/>
      <c r="E736" s="9"/>
    </row>
    <row r="737" spans="1:5" ht="13">
      <c r="A737" s="9"/>
      <c r="B737" s="9"/>
      <c r="C737" s="9"/>
      <c r="D737" s="9"/>
      <c r="E737" s="9"/>
    </row>
    <row r="738" spans="1:5" ht="13">
      <c r="A738" s="9"/>
      <c r="B738" s="9"/>
      <c r="C738" s="9"/>
      <c r="D738" s="9"/>
      <c r="E738" s="9"/>
    </row>
    <row r="739" spans="1:5" ht="13">
      <c r="A739" s="9"/>
      <c r="B739" s="9"/>
      <c r="C739" s="9"/>
      <c r="D739" s="9"/>
      <c r="E739" s="9"/>
    </row>
    <row r="740" spans="1:5" ht="13">
      <c r="A740" s="9"/>
      <c r="B740" s="9"/>
      <c r="C740" s="9"/>
      <c r="D740" s="9"/>
      <c r="E740" s="9"/>
    </row>
    <row r="741" spans="1:5" ht="13">
      <c r="A741" s="9"/>
      <c r="B741" s="9"/>
      <c r="C741" s="9"/>
      <c r="D741" s="9"/>
      <c r="E741" s="9"/>
    </row>
    <row r="742" spans="1:5" ht="13">
      <c r="A742" s="9"/>
      <c r="B742" s="9"/>
      <c r="C742" s="9"/>
      <c r="D742" s="9"/>
      <c r="E742" s="9"/>
    </row>
    <row r="743" spans="1:5" ht="13">
      <c r="A743" s="9"/>
      <c r="B743" s="9"/>
      <c r="C743" s="9"/>
      <c r="D743" s="9"/>
      <c r="E743" s="9"/>
    </row>
    <row r="744" spans="1:5" ht="13">
      <c r="A744" s="9"/>
      <c r="B744" s="9"/>
      <c r="C744" s="9"/>
      <c r="D744" s="9"/>
      <c r="E744" s="9"/>
    </row>
    <row r="745" spans="1:5" ht="13">
      <c r="A745" s="9"/>
      <c r="B745" s="9"/>
      <c r="C745" s="9"/>
      <c r="D745" s="9"/>
      <c r="E745" s="9"/>
    </row>
    <row r="746" spans="1:5" ht="13">
      <c r="A746" s="9"/>
      <c r="B746" s="9"/>
      <c r="C746" s="9"/>
      <c r="D746" s="9"/>
      <c r="E746" s="9"/>
    </row>
    <row r="747" spans="1:5" ht="13">
      <c r="A747" s="9"/>
      <c r="B747" s="9"/>
      <c r="C747" s="9"/>
      <c r="D747" s="9"/>
      <c r="E747" s="9"/>
    </row>
    <row r="748" spans="1:5" ht="13">
      <c r="A748" s="9"/>
      <c r="B748" s="9"/>
      <c r="C748" s="9"/>
      <c r="D748" s="9"/>
      <c r="E748" s="9"/>
    </row>
    <row r="749" spans="1:5" ht="13">
      <c r="A749" s="9"/>
      <c r="B749" s="9"/>
      <c r="C749" s="9"/>
      <c r="D749" s="9"/>
      <c r="E749" s="9"/>
    </row>
    <row r="750" spans="1:5" ht="13">
      <c r="A750" s="9"/>
      <c r="B750" s="9"/>
      <c r="C750" s="9"/>
      <c r="D750" s="9"/>
      <c r="E750" s="9"/>
    </row>
    <row r="751" spans="1:5" ht="13">
      <c r="A751" s="9"/>
      <c r="B751" s="9"/>
      <c r="C751" s="9"/>
      <c r="D751" s="9"/>
      <c r="E751" s="9"/>
    </row>
    <row r="752" spans="1:5" ht="13">
      <c r="A752" s="9"/>
      <c r="B752" s="9"/>
      <c r="C752" s="9"/>
      <c r="D752" s="9"/>
      <c r="E752" s="9"/>
    </row>
    <row r="753" spans="1:5" ht="13">
      <c r="A753" s="9"/>
      <c r="B753" s="9"/>
      <c r="C753" s="9"/>
      <c r="D753" s="9"/>
      <c r="E753" s="9"/>
    </row>
    <row r="754" spans="1:5" ht="13">
      <c r="A754" s="9"/>
      <c r="B754" s="9"/>
      <c r="C754" s="9"/>
      <c r="D754" s="9"/>
      <c r="E754" s="9"/>
    </row>
    <row r="755" spans="1:5" ht="13">
      <c r="A755" s="9"/>
      <c r="B755" s="9"/>
      <c r="C755" s="9"/>
      <c r="D755" s="9"/>
      <c r="E755" s="9"/>
    </row>
    <row r="756" spans="1:5" ht="13">
      <c r="A756" s="9"/>
      <c r="B756" s="9"/>
      <c r="C756" s="9"/>
      <c r="D756" s="9"/>
      <c r="E756" s="9"/>
    </row>
    <row r="757" spans="1:5" ht="13">
      <c r="A757" s="9"/>
      <c r="B757" s="9"/>
      <c r="C757" s="9"/>
      <c r="D757" s="9"/>
      <c r="E757" s="9"/>
    </row>
    <row r="758" spans="1:5" ht="13">
      <c r="A758" s="9"/>
      <c r="B758" s="9"/>
      <c r="C758" s="9"/>
      <c r="D758" s="9"/>
      <c r="E758" s="9"/>
    </row>
    <row r="759" spans="1:5" ht="13">
      <c r="A759" s="9"/>
      <c r="B759" s="9"/>
      <c r="C759" s="9"/>
      <c r="D759" s="9"/>
      <c r="E759" s="9"/>
    </row>
    <row r="760" spans="1:5" ht="13">
      <c r="A760" s="9"/>
      <c r="B760" s="9"/>
      <c r="C760" s="9"/>
      <c r="D760" s="9"/>
      <c r="E760" s="9"/>
    </row>
    <row r="761" spans="1:5" ht="13">
      <c r="A761" s="9"/>
      <c r="B761" s="9"/>
      <c r="C761" s="9"/>
      <c r="D761" s="9"/>
      <c r="E761" s="9"/>
    </row>
    <row r="762" spans="1:5" ht="13">
      <c r="A762" s="9"/>
      <c r="B762" s="9"/>
      <c r="C762" s="9"/>
      <c r="D762" s="9"/>
      <c r="E762" s="9"/>
    </row>
    <row r="763" spans="1:5" ht="13">
      <c r="A763" s="9"/>
      <c r="B763" s="9"/>
      <c r="C763" s="9"/>
      <c r="D763" s="9"/>
      <c r="E763" s="9"/>
    </row>
    <row r="764" spans="1:5" ht="13">
      <c r="A764" s="9"/>
      <c r="B764" s="9"/>
      <c r="C764" s="9"/>
      <c r="D764" s="9"/>
      <c r="E764" s="9"/>
    </row>
    <row r="765" spans="1:5" ht="13">
      <c r="A765" s="9"/>
      <c r="B765" s="9"/>
      <c r="C765" s="9"/>
      <c r="D765" s="9"/>
      <c r="E765" s="9"/>
    </row>
    <row r="766" spans="1:5" ht="13">
      <c r="A766" s="9"/>
      <c r="B766" s="9"/>
      <c r="C766" s="9"/>
      <c r="D766" s="9"/>
      <c r="E766" s="9"/>
    </row>
    <row r="767" spans="1:5" ht="13">
      <c r="A767" s="9"/>
      <c r="B767" s="9"/>
      <c r="C767" s="9"/>
      <c r="D767" s="9"/>
      <c r="E767" s="9"/>
    </row>
    <row r="768" spans="1:5" ht="13">
      <c r="A768" s="9"/>
      <c r="B768" s="9"/>
      <c r="C768" s="9"/>
      <c r="D768" s="9"/>
      <c r="E768" s="9"/>
    </row>
    <row r="769" spans="1:5" ht="13">
      <c r="A769" s="9"/>
      <c r="B769" s="9"/>
      <c r="C769" s="9"/>
      <c r="D769" s="9"/>
      <c r="E769" s="9"/>
    </row>
    <row r="770" spans="1:5" ht="13">
      <c r="A770" s="9"/>
      <c r="B770" s="9"/>
      <c r="C770" s="9"/>
      <c r="D770" s="9"/>
      <c r="E770" s="9"/>
    </row>
    <row r="771" spans="1:5" ht="13">
      <c r="A771" s="9"/>
      <c r="B771" s="9"/>
      <c r="C771" s="9"/>
      <c r="D771" s="9"/>
      <c r="E771" s="9"/>
    </row>
    <row r="772" spans="1:5" ht="13">
      <c r="A772" s="9"/>
      <c r="B772" s="9"/>
      <c r="C772" s="9"/>
      <c r="D772" s="9"/>
      <c r="E772" s="9"/>
    </row>
    <row r="773" spans="1:5" ht="13">
      <c r="A773" s="9"/>
      <c r="B773" s="9"/>
      <c r="C773" s="9"/>
      <c r="D773" s="9"/>
      <c r="E773" s="9"/>
    </row>
    <row r="774" spans="1:5" ht="13">
      <c r="A774" s="9"/>
      <c r="B774" s="9"/>
      <c r="C774" s="9"/>
      <c r="D774" s="9"/>
      <c r="E774" s="9"/>
    </row>
    <row r="775" spans="1:5" ht="13">
      <c r="A775" s="9"/>
      <c r="B775" s="9"/>
      <c r="C775" s="9"/>
      <c r="D775" s="9"/>
      <c r="E775" s="9"/>
    </row>
    <row r="776" spans="1:5" ht="13">
      <c r="A776" s="9"/>
      <c r="B776" s="9"/>
      <c r="C776" s="9"/>
      <c r="D776" s="9"/>
      <c r="E776" s="9"/>
    </row>
    <row r="777" spans="1:5" ht="13">
      <c r="A777" s="9"/>
      <c r="B777" s="9"/>
      <c r="C777" s="9"/>
      <c r="D777" s="9"/>
      <c r="E777" s="9"/>
    </row>
    <row r="778" spans="1:5" ht="13">
      <c r="A778" s="9"/>
      <c r="B778" s="9"/>
      <c r="C778" s="9"/>
      <c r="D778" s="9"/>
      <c r="E778" s="9"/>
    </row>
    <row r="779" spans="1:5" ht="13">
      <c r="A779" s="9"/>
      <c r="B779" s="9"/>
      <c r="C779" s="9"/>
      <c r="D779" s="9"/>
      <c r="E779" s="9"/>
    </row>
    <row r="780" spans="1:5" ht="13">
      <c r="A780" s="9"/>
      <c r="B780" s="9"/>
      <c r="C780" s="9"/>
      <c r="D780" s="9"/>
      <c r="E780" s="9"/>
    </row>
    <row r="781" spans="1:5" ht="13">
      <c r="A781" s="9"/>
      <c r="B781" s="9"/>
      <c r="C781" s="9"/>
      <c r="D781" s="9"/>
      <c r="E781" s="9"/>
    </row>
    <row r="782" spans="1:5" ht="13">
      <c r="A782" s="9"/>
      <c r="B782" s="9"/>
      <c r="C782" s="9"/>
      <c r="D782" s="9"/>
      <c r="E782" s="9"/>
    </row>
    <row r="783" spans="1:5" ht="13">
      <c r="A783" s="9"/>
      <c r="B783" s="9"/>
      <c r="C783" s="9"/>
      <c r="D783" s="9"/>
      <c r="E783" s="9"/>
    </row>
    <row r="784" spans="1:5" ht="13">
      <c r="A784" s="9"/>
      <c r="B784" s="9"/>
      <c r="C784" s="9"/>
      <c r="D784" s="9"/>
      <c r="E784" s="9"/>
    </row>
    <row r="785" spans="1:5" ht="13">
      <c r="A785" s="9"/>
      <c r="B785" s="9"/>
      <c r="C785" s="9"/>
      <c r="D785" s="9"/>
      <c r="E785" s="9"/>
    </row>
    <row r="786" spans="1:5" ht="13">
      <c r="A786" s="9"/>
      <c r="B786" s="9"/>
      <c r="C786" s="9"/>
      <c r="D786" s="9"/>
      <c r="E786" s="9"/>
    </row>
    <row r="787" spans="1:5" ht="13">
      <c r="A787" s="9"/>
      <c r="B787" s="9"/>
      <c r="C787" s="9"/>
      <c r="D787" s="9"/>
      <c r="E787" s="9"/>
    </row>
    <row r="788" spans="1:5" ht="13">
      <c r="A788" s="9"/>
      <c r="B788" s="9"/>
      <c r="C788" s="9"/>
      <c r="D788" s="9"/>
      <c r="E788" s="9"/>
    </row>
    <row r="789" spans="1:5" ht="13">
      <c r="A789" s="9"/>
      <c r="B789" s="9"/>
      <c r="C789" s="9"/>
      <c r="D789" s="9"/>
      <c r="E789" s="9"/>
    </row>
    <row r="790" spans="1:5" ht="13">
      <c r="A790" s="9"/>
      <c r="B790" s="9"/>
      <c r="C790" s="9"/>
      <c r="D790" s="9"/>
      <c r="E790" s="9"/>
    </row>
    <row r="791" spans="1:5" ht="13">
      <c r="A791" s="9"/>
      <c r="B791" s="9"/>
      <c r="C791" s="9"/>
      <c r="D791" s="9"/>
      <c r="E791" s="9"/>
    </row>
    <row r="792" spans="1:5" ht="13">
      <c r="A792" s="9"/>
      <c r="B792" s="9"/>
      <c r="C792" s="9"/>
      <c r="D792" s="9"/>
      <c r="E792" s="9"/>
    </row>
    <row r="793" spans="1:5" ht="13">
      <c r="A793" s="9"/>
      <c r="B793" s="9"/>
      <c r="C793" s="9"/>
      <c r="D793" s="9"/>
      <c r="E793" s="9"/>
    </row>
    <row r="794" spans="1:5" ht="13">
      <c r="A794" s="9"/>
      <c r="B794" s="9"/>
      <c r="C794" s="9"/>
      <c r="D794" s="9"/>
      <c r="E794" s="9"/>
    </row>
    <row r="795" spans="1:5" ht="13">
      <c r="A795" s="9"/>
      <c r="B795" s="9"/>
      <c r="C795" s="9"/>
      <c r="D795" s="9"/>
      <c r="E795" s="9"/>
    </row>
    <row r="796" spans="1:5" ht="13">
      <c r="A796" s="9"/>
      <c r="B796" s="9"/>
      <c r="C796" s="9"/>
      <c r="D796" s="9"/>
      <c r="E796" s="9"/>
    </row>
    <row r="797" spans="1:5" ht="13">
      <c r="A797" s="9"/>
      <c r="B797" s="9"/>
      <c r="C797" s="9"/>
      <c r="D797" s="9"/>
      <c r="E797" s="9"/>
    </row>
    <row r="798" spans="1:5" ht="13">
      <c r="A798" s="9"/>
      <c r="B798" s="9"/>
      <c r="C798" s="9"/>
      <c r="D798" s="9"/>
      <c r="E798" s="9"/>
    </row>
    <row r="799" spans="1:5" ht="13">
      <c r="A799" s="9"/>
      <c r="B799" s="9"/>
      <c r="C799" s="9"/>
      <c r="D799" s="9"/>
      <c r="E799" s="9"/>
    </row>
    <row r="800" spans="1:5" ht="13">
      <c r="A800" s="9"/>
      <c r="B800" s="9"/>
      <c r="C800" s="9"/>
      <c r="D800" s="9"/>
      <c r="E800" s="9"/>
    </row>
    <row r="801" spans="1:5" ht="13">
      <c r="A801" s="9"/>
      <c r="B801" s="9"/>
      <c r="C801" s="9"/>
      <c r="D801" s="9"/>
      <c r="E801" s="9"/>
    </row>
    <row r="802" spans="1:5" ht="13">
      <c r="A802" s="9"/>
      <c r="B802" s="9"/>
      <c r="C802" s="9"/>
      <c r="D802" s="9"/>
      <c r="E802" s="9"/>
    </row>
    <row r="803" spans="1:5" ht="13">
      <c r="A803" s="9"/>
      <c r="B803" s="9"/>
      <c r="C803" s="9"/>
      <c r="D803" s="9"/>
      <c r="E803" s="9"/>
    </row>
    <row r="804" spans="1:5" ht="13">
      <c r="A804" s="9"/>
      <c r="B804" s="9"/>
      <c r="C804" s="9"/>
      <c r="D804" s="9"/>
      <c r="E804" s="9"/>
    </row>
    <row r="805" spans="1:5" ht="13">
      <c r="A805" s="9"/>
      <c r="B805" s="9"/>
      <c r="C805" s="9"/>
      <c r="D805" s="9"/>
      <c r="E805" s="9"/>
    </row>
    <row r="806" spans="1:5" ht="13">
      <c r="A806" s="9"/>
      <c r="B806" s="9"/>
      <c r="C806" s="9"/>
      <c r="D806" s="9"/>
      <c r="E806" s="9"/>
    </row>
    <row r="807" spans="1:5" ht="13">
      <c r="A807" s="9"/>
      <c r="B807" s="9"/>
      <c r="C807" s="9"/>
      <c r="D807" s="9"/>
      <c r="E807" s="9"/>
    </row>
    <row r="808" spans="1:5" ht="13">
      <c r="A808" s="9"/>
      <c r="B808" s="9"/>
      <c r="C808" s="9"/>
      <c r="D808" s="9"/>
      <c r="E808" s="9"/>
    </row>
    <row r="809" spans="1:5" ht="13">
      <c r="A809" s="9"/>
      <c r="B809" s="9"/>
      <c r="C809" s="9"/>
      <c r="D809" s="9"/>
      <c r="E809" s="9"/>
    </row>
    <row r="810" spans="1:5" ht="13">
      <c r="A810" s="9"/>
      <c r="B810" s="9"/>
      <c r="C810" s="9"/>
      <c r="D810" s="9"/>
      <c r="E810" s="9"/>
    </row>
    <row r="811" spans="1:5" ht="13">
      <c r="A811" s="9"/>
      <c r="B811" s="9"/>
      <c r="C811" s="9"/>
      <c r="D811" s="9"/>
      <c r="E811" s="9"/>
    </row>
    <row r="812" spans="1:5" ht="13">
      <c r="A812" s="9"/>
      <c r="B812" s="9"/>
      <c r="C812" s="9"/>
      <c r="D812" s="9"/>
      <c r="E812" s="9"/>
    </row>
    <row r="813" spans="1:5" ht="13">
      <c r="A813" s="9"/>
      <c r="B813" s="9"/>
      <c r="C813" s="9"/>
      <c r="D813" s="9"/>
      <c r="E813" s="9"/>
    </row>
    <row r="814" spans="1:5" ht="13">
      <c r="A814" s="9"/>
      <c r="B814" s="9"/>
      <c r="C814" s="9"/>
      <c r="D814" s="9"/>
      <c r="E814" s="9"/>
    </row>
    <row r="815" spans="1:5" ht="13">
      <c r="A815" s="9"/>
      <c r="B815" s="9"/>
      <c r="C815" s="9"/>
      <c r="D815" s="9"/>
      <c r="E815" s="9"/>
    </row>
    <row r="816" spans="1:5" ht="13">
      <c r="A816" s="9"/>
      <c r="B816" s="9"/>
      <c r="C816" s="9"/>
      <c r="D816" s="9"/>
      <c r="E816" s="9"/>
    </row>
    <row r="817" spans="1:5" ht="13">
      <c r="A817" s="9"/>
      <c r="B817" s="9"/>
      <c r="C817" s="9"/>
      <c r="D817" s="9"/>
      <c r="E817" s="9"/>
    </row>
    <row r="818" spans="1:5" ht="13">
      <c r="A818" s="9"/>
      <c r="B818" s="9"/>
      <c r="C818" s="9"/>
      <c r="D818" s="9"/>
      <c r="E818" s="9"/>
    </row>
    <row r="819" spans="1:5" ht="13">
      <c r="A819" s="9"/>
      <c r="B819" s="9"/>
      <c r="C819" s="9"/>
      <c r="D819" s="9"/>
      <c r="E819" s="9"/>
    </row>
    <row r="820" spans="1:5" ht="13">
      <c r="A820" s="9"/>
      <c r="B820" s="9"/>
      <c r="C820" s="9"/>
      <c r="D820" s="9"/>
      <c r="E820" s="9"/>
    </row>
    <row r="821" spans="1:5" ht="13">
      <c r="A821" s="9"/>
      <c r="B821" s="9"/>
      <c r="C821" s="9"/>
      <c r="D821" s="9"/>
      <c r="E821" s="9"/>
    </row>
    <row r="822" spans="1:5" ht="13">
      <c r="A822" s="9"/>
      <c r="B822" s="9"/>
      <c r="C822" s="9"/>
      <c r="D822" s="9"/>
      <c r="E822" s="9"/>
    </row>
    <row r="823" spans="1:5" ht="13">
      <c r="A823" s="9"/>
      <c r="B823" s="9"/>
      <c r="C823" s="9"/>
      <c r="D823" s="9"/>
      <c r="E823" s="9"/>
    </row>
    <row r="824" spans="1:5" ht="13">
      <c r="A824" s="9"/>
      <c r="B824" s="9"/>
      <c r="C824" s="9"/>
      <c r="D824" s="9"/>
      <c r="E824" s="9"/>
    </row>
    <row r="825" spans="1:5" ht="13">
      <c r="A825" s="9"/>
      <c r="B825" s="9"/>
      <c r="C825" s="9"/>
      <c r="D825" s="9"/>
      <c r="E825" s="9"/>
    </row>
    <row r="826" spans="1:5" ht="13">
      <c r="A826" s="9"/>
      <c r="B826" s="9"/>
      <c r="C826" s="9"/>
      <c r="D826" s="9"/>
      <c r="E826" s="9"/>
    </row>
    <row r="827" spans="1:5" ht="13">
      <c r="A827" s="9"/>
      <c r="B827" s="9"/>
      <c r="C827" s="9"/>
      <c r="D827" s="9"/>
      <c r="E827" s="9"/>
    </row>
    <row r="828" spans="1:5" ht="13">
      <c r="A828" s="9"/>
      <c r="B828" s="9"/>
      <c r="C828" s="9"/>
      <c r="D828" s="9"/>
      <c r="E828" s="9"/>
    </row>
    <row r="829" spans="1:5" ht="13">
      <c r="A829" s="9"/>
      <c r="B829" s="9"/>
      <c r="C829" s="9"/>
      <c r="D829" s="9"/>
      <c r="E829" s="9"/>
    </row>
    <row r="830" spans="1:5" ht="13">
      <c r="A830" s="9"/>
      <c r="B830" s="9"/>
      <c r="C830" s="9"/>
      <c r="D830" s="9"/>
      <c r="E830" s="9"/>
    </row>
    <row r="831" spans="1:5" ht="13">
      <c r="A831" s="9"/>
      <c r="B831" s="9"/>
      <c r="C831" s="9"/>
      <c r="D831" s="9"/>
      <c r="E831" s="9"/>
    </row>
    <row r="832" spans="1:5" ht="13">
      <c r="A832" s="9"/>
      <c r="B832" s="9"/>
      <c r="C832" s="9"/>
      <c r="D832" s="9"/>
      <c r="E832" s="9"/>
    </row>
    <row r="833" spans="1:5" ht="13">
      <c r="A833" s="9"/>
      <c r="B833" s="9"/>
      <c r="C833" s="9"/>
      <c r="D833" s="9"/>
      <c r="E833" s="9"/>
    </row>
    <row r="834" spans="1:5" ht="13">
      <c r="A834" s="9"/>
      <c r="B834" s="9"/>
      <c r="C834" s="9"/>
      <c r="D834" s="9"/>
      <c r="E834" s="9"/>
    </row>
    <row r="835" spans="1:5" ht="13">
      <c r="A835" s="9"/>
      <c r="B835" s="9"/>
      <c r="C835" s="9"/>
      <c r="D835" s="9"/>
      <c r="E835" s="9"/>
    </row>
    <row r="836" spans="1:5" ht="13">
      <c r="A836" s="9"/>
      <c r="B836" s="9"/>
      <c r="C836" s="9"/>
      <c r="D836" s="9"/>
      <c r="E836" s="9"/>
    </row>
    <row r="837" spans="1:5" ht="13">
      <c r="A837" s="9"/>
      <c r="B837" s="9"/>
      <c r="C837" s="9"/>
      <c r="D837" s="9"/>
      <c r="E837" s="9"/>
    </row>
    <row r="838" spans="1:5" ht="13">
      <c r="A838" s="9"/>
      <c r="B838" s="9"/>
      <c r="C838" s="9"/>
      <c r="D838" s="9"/>
      <c r="E838" s="9"/>
    </row>
    <row r="839" spans="1:5" ht="13">
      <c r="A839" s="9"/>
      <c r="B839" s="9"/>
      <c r="C839" s="9"/>
      <c r="D839" s="9"/>
      <c r="E839" s="9"/>
    </row>
    <row r="840" spans="1:5" ht="13">
      <c r="A840" s="9"/>
      <c r="B840" s="9"/>
      <c r="C840" s="9"/>
      <c r="D840" s="9"/>
      <c r="E840" s="9"/>
    </row>
    <row r="841" spans="1:5" ht="13">
      <c r="A841" s="9"/>
      <c r="B841" s="9"/>
      <c r="C841" s="9"/>
      <c r="D841" s="9"/>
      <c r="E841" s="9"/>
    </row>
    <row r="842" spans="1:5" ht="13">
      <c r="A842" s="9"/>
      <c r="B842" s="9"/>
      <c r="C842" s="9"/>
      <c r="D842" s="9"/>
      <c r="E842" s="9"/>
    </row>
    <row r="843" spans="1:5" ht="13">
      <c r="A843" s="9"/>
      <c r="B843" s="9"/>
      <c r="C843" s="9"/>
      <c r="D843" s="9"/>
      <c r="E843" s="9"/>
    </row>
    <row r="844" spans="1:5" ht="13">
      <c r="A844" s="9"/>
      <c r="B844" s="9"/>
      <c r="C844" s="9"/>
      <c r="D844" s="9"/>
      <c r="E844" s="9"/>
    </row>
    <row r="845" spans="1:5" ht="13">
      <c r="A845" s="9"/>
      <c r="B845" s="9"/>
      <c r="C845" s="9"/>
      <c r="D845" s="9"/>
      <c r="E845" s="9"/>
    </row>
    <row r="846" spans="1:5" ht="13">
      <c r="A846" s="9"/>
      <c r="B846" s="9"/>
      <c r="C846" s="9"/>
      <c r="D846" s="9"/>
      <c r="E846" s="9"/>
    </row>
    <row r="847" spans="1:5" ht="13">
      <c r="A847" s="9"/>
      <c r="B847" s="9"/>
      <c r="C847" s="9"/>
      <c r="D847" s="9"/>
      <c r="E847" s="9"/>
    </row>
    <row r="848" spans="1:5" ht="13">
      <c r="A848" s="9"/>
      <c r="B848" s="9"/>
      <c r="C848" s="9"/>
      <c r="D848" s="9"/>
      <c r="E848" s="9"/>
    </row>
    <row r="849" spans="1:5" ht="13">
      <c r="A849" s="9"/>
      <c r="B849" s="9"/>
      <c r="C849" s="9"/>
      <c r="D849" s="9"/>
      <c r="E849" s="9"/>
    </row>
    <row r="850" spans="1:5" ht="13">
      <c r="A850" s="9"/>
      <c r="B850" s="9"/>
      <c r="C850" s="9"/>
      <c r="D850" s="9"/>
      <c r="E850" s="9"/>
    </row>
    <row r="851" spans="1:5" ht="13">
      <c r="A851" s="9"/>
      <c r="B851" s="9"/>
      <c r="C851" s="9"/>
      <c r="D851" s="9"/>
      <c r="E851" s="9"/>
    </row>
    <row r="852" spans="1:5" ht="13">
      <c r="A852" s="9"/>
      <c r="B852" s="9"/>
      <c r="C852" s="9"/>
      <c r="D852" s="9"/>
      <c r="E852" s="9"/>
    </row>
    <row r="853" spans="1:5" ht="13">
      <c r="A853" s="9"/>
      <c r="B853" s="9"/>
      <c r="C853" s="9"/>
      <c r="D853" s="9"/>
      <c r="E853" s="9"/>
    </row>
    <row r="854" spans="1:5" ht="13">
      <c r="A854" s="9"/>
      <c r="B854" s="9"/>
      <c r="C854" s="9"/>
      <c r="D854" s="9"/>
      <c r="E854" s="9"/>
    </row>
    <row r="855" spans="1:5" ht="13">
      <c r="A855" s="9"/>
      <c r="B855" s="9"/>
      <c r="C855" s="9"/>
      <c r="D855" s="9"/>
      <c r="E855" s="9"/>
    </row>
    <row r="856" spans="1:5" ht="13">
      <c r="A856" s="9"/>
      <c r="B856" s="9"/>
      <c r="C856" s="9"/>
      <c r="D856" s="9"/>
      <c r="E856" s="9"/>
    </row>
    <row r="857" spans="1:5" ht="13">
      <c r="A857" s="9"/>
      <c r="B857" s="9"/>
      <c r="C857" s="9"/>
      <c r="D857" s="9"/>
      <c r="E857" s="9"/>
    </row>
    <row r="858" spans="1:5" ht="13">
      <c r="A858" s="9"/>
      <c r="B858" s="9"/>
      <c r="C858" s="9"/>
      <c r="D858" s="9"/>
      <c r="E858" s="9"/>
    </row>
    <row r="859" spans="1:5" ht="13">
      <c r="A859" s="9"/>
      <c r="B859" s="9"/>
      <c r="C859" s="9"/>
      <c r="D859" s="9"/>
      <c r="E859" s="9"/>
    </row>
    <row r="860" spans="1:5" ht="13">
      <c r="A860" s="9"/>
      <c r="B860" s="9"/>
      <c r="C860" s="9"/>
      <c r="D860" s="9"/>
      <c r="E860" s="9"/>
    </row>
    <row r="861" spans="1:5" ht="13">
      <c r="A861" s="9"/>
      <c r="B861" s="9"/>
      <c r="C861" s="9"/>
      <c r="D861" s="9"/>
      <c r="E861" s="9"/>
    </row>
    <row r="862" spans="1:5" ht="13">
      <c r="A862" s="9"/>
      <c r="B862" s="9"/>
      <c r="C862" s="9"/>
      <c r="D862" s="9"/>
      <c r="E862" s="9"/>
    </row>
    <row r="863" spans="1:5" ht="13">
      <c r="A863" s="9"/>
      <c r="B863" s="9"/>
      <c r="C863" s="9"/>
      <c r="D863" s="9"/>
      <c r="E863" s="9"/>
    </row>
    <row r="864" spans="1:5" ht="13">
      <c r="A864" s="9"/>
      <c r="B864" s="9"/>
      <c r="C864" s="9"/>
      <c r="D864" s="9"/>
      <c r="E864" s="9"/>
    </row>
    <row r="865" spans="1:5" ht="13">
      <c r="A865" s="9"/>
      <c r="B865" s="9"/>
      <c r="C865" s="9"/>
      <c r="D865" s="9"/>
      <c r="E865" s="9"/>
    </row>
    <row r="866" spans="1:5" ht="13">
      <c r="A866" s="9"/>
      <c r="B866" s="9"/>
      <c r="C866" s="9"/>
      <c r="D866" s="9"/>
      <c r="E866" s="9"/>
    </row>
    <row r="867" spans="1:5" ht="13">
      <c r="A867" s="9"/>
      <c r="B867" s="9"/>
      <c r="C867" s="9"/>
      <c r="D867" s="9"/>
      <c r="E867" s="9"/>
    </row>
    <row r="868" spans="1:5" ht="13">
      <c r="A868" s="9"/>
      <c r="B868" s="9"/>
      <c r="C868" s="9"/>
      <c r="D868" s="9"/>
      <c r="E868" s="9"/>
    </row>
    <row r="869" spans="1:5" ht="13">
      <c r="A869" s="9"/>
      <c r="B869" s="9"/>
      <c r="C869" s="9"/>
      <c r="D869" s="9"/>
      <c r="E869" s="9"/>
    </row>
    <row r="870" spans="1:5" ht="13">
      <c r="A870" s="9"/>
      <c r="B870" s="9"/>
      <c r="C870" s="9"/>
      <c r="D870" s="9"/>
      <c r="E870" s="9"/>
    </row>
    <row r="871" spans="1:5" ht="13">
      <c r="A871" s="9"/>
      <c r="B871" s="9"/>
      <c r="C871" s="9"/>
      <c r="D871" s="9"/>
      <c r="E871" s="9"/>
    </row>
    <row r="872" spans="1:5" ht="13">
      <c r="A872" s="9"/>
      <c r="B872" s="9"/>
      <c r="C872" s="9"/>
      <c r="D872" s="9"/>
      <c r="E872" s="9"/>
    </row>
    <row r="873" spans="1:5" ht="13">
      <c r="A873" s="9"/>
      <c r="B873" s="9"/>
      <c r="C873" s="9"/>
      <c r="D873" s="9"/>
      <c r="E873" s="9"/>
    </row>
    <row r="874" spans="1:5" ht="13">
      <c r="A874" s="9"/>
      <c r="B874" s="9"/>
      <c r="C874" s="9"/>
      <c r="D874" s="9"/>
      <c r="E874" s="9"/>
    </row>
    <row r="875" spans="1:5" ht="13">
      <c r="A875" s="9"/>
      <c r="B875" s="9"/>
      <c r="C875" s="9"/>
      <c r="D875" s="9"/>
      <c r="E875" s="9"/>
    </row>
    <row r="876" spans="1:5" ht="13">
      <c r="A876" s="9"/>
      <c r="B876" s="9"/>
      <c r="C876" s="9"/>
      <c r="D876" s="9"/>
      <c r="E876" s="9"/>
    </row>
    <row r="877" spans="1:5" ht="13">
      <c r="A877" s="9"/>
      <c r="B877" s="9"/>
      <c r="C877" s="9"/>
      <c r="D877" s="9"/>
      <c r="E877" s="9"/>
    </row>
    <row r="878" spans="1:5" ht="13">
      <c r="A878" s="9"/>
      <c r="B878" s="9"/>
      <c r="C878" s="9"/>
      <c r="D878" s="9"/>
      <c r="E878" s="9"/>
    </row>
    <row r="879" spans="1:5" ht="13">
      <c r="A879" s="9"/>
      <c r="B879" s="9"/>
      <c r="C879" s="9"/>
      <c r="D879" s="9"/>
      <c r="E879" s="9"/>
    </row>
    <row r="880" spans="1:5" ht="13">
      <c r="A880" s="9"/>
      <c r="B880" s="9"/>
      <c r="C880" s="9"/>
      <c r="D880" s="9"/>
      <c r="E880" s="9"/>
    </row>
    <row r="881" spans="1:5" ht="13">
      <c r="A881" s="9"/>
      <c r="B881" s="9"/>
      <c r="C881" s="9"/>
      <c r="D881" s="9"/>
      <c r="E881" s="9"/>
    </row>
    <row r="882" spans="1:5" ht="13">
      <c r="A882" s="9"/>
      <c r="B882" s="9"/>
      <c r="C882" s="9"/>
      <c r="D882" s="9"/>
      <c r="E882" s="9"/>
    </row>
    <row r="883" spans="1:5" ht="13">
      <c r="A883" s="9"/>
      <c r="B883" s="9"/>
      <c r="C883" s="9"/>
      <c r="D883" s="9"/>
      <c r="E883" s="9"/>
    </row>
    <row r="884" spans="1:5" ht="13">
      <c r="A884" s="9"/>
      <c r="B884" s="9"/>
      <c r="C884" s="9"/>
      <c r="D884" s="9"/>
      <c r="E884" s="9"/>
    </row>
    <row r="885" spans="1:5" ht="13">
      <c r="A885" s="9"/>
      <c r="B885" s="9"/>
      <c r="C885" s="9"/>
      <c r="D885" s="9"/>
      <c r="E885" s="9"/>
    </row>
    <row r="886" spans="1:5" ht="13">
      <c r="A886" s="9"/>
      <c r="B886" s="9"/>
      <c r="C886" s="9"/>
      <c r="D886" s="9"/>
      <c r="E886" s="9"/>
    </row>
    <row r="887" spans="1:5" ht="13">
      <c r="A887" s="9"/>
      <c r="B887" s="9"/>
      <c r="C887" s="9"/>
      <c r="D887" s="9"/>
      <c r="E887" s="9"/>
    </row>
    <row r="888" spans="1:5" ht="13">
      <c r="A888" s="9"/>
      <c r="B888" s="9"/>
      <c r="C888" s="9"/>
      <c r="D888" s="9"/>
      <c r="E888" s="9"/>
    </row>
    <row r="889" spans="1:5" ht="13">
      <c r="A889" s="9"/>
      <c r="B889" s="9"/>
      <c r="C889" s="9"/>
      <c r="D889" s="9"/>
      <c r="E889" s="9"/>
    </row>
    <row r="890" spans="1:5" ht="13">
      <c r="A890" s="9"/>
      <c r="B890" s="9"/>
      <c r="C890" s="9"/>
      <c r="D890" s="9"/>
      <c r="E890" s="9"/>
    </row>
    <row r="891" spans="1:5" ht="13">
      <c r="A891" s="9"/>
      <c r="B891" s="9"/>
      <c r="C891" s="9"/>
      <c r="D891" s="9"/>
      <c r="E891" s="9"/>
    </row>
    <row r="892" spans="1:5" ht="13">
      <c r="A892" s="9"/>
      <c r="B892" s="9"/>
      <c r="C892" s="9"/>
      <c r="D892" s="9"/>
      <c r="E892" s="9"/>
    </row>
    <row r="893" spans="1:5" ht="13">
      <c r="A893" s="9"/>
      <c r="B893" s="9"/>
      <c r="C893" s="9"/>
      <c r="D893" s="9"/>
      <c r="E893" s="9"/>
    </row>
    <row r="894" spans="1:5" ht="13">
      <c r="A894" s="9"/>
      <c r="B894" s="9"/>
      <c r="C894" s="9"/>
      <c r="D894" s="9"/>
      <c r="E894" s="9"/>
    </row>
    <row r="895" spans="1:5" ht="13">
      <c r="A895" s="9"/>
      <c r="B895" s="9"/>
      <c r="C895" s="9"/>
      <c r="D895" s="9"/>
      <c r="E895" s="9"/>
    </row>
    <row r="896" spans="1:5" ht="13">
      <c r="A896" s="9"/>
      <c r="B896" s="9"/>
      <c r="C896" s="9"/>
      <c r="D896" s="9"/>
      <c r="E896" s="9"/>
    </row>
    <row r="897" spans="1:5" ht="13">
      <c r="A897" s="9"/>
      <c r="B897" s="9"/>
      <c r="C897" s="9"/>
      <c r="D897" s="9"/>
      <c r="E897" s="9"/>
    </row>
    <row r="898" spans="1:5" ht="13">
      <c r="A898" s="9"/>
      <c r="B898" s="9"/>
      <c r="C898" s="9"/>
      <c r="D898" s="9"/>
      <c r="E898" s="9"/>
    </row>
    <row r="899" spans="1:5" ht="13">
      <c r="A899" s="9"/>
      <c r="B899" s="9"/>
      <c r="C899" s="9"/>
      <c r="D899" s="9"/>
      <c r="E899" s="9"/>
    </row>
    <row r="900" spans="1:5" ht="13">
      <c r="A900" s="9"/>
      <c r="B900" s="9"/>
      <c r="C900" s="9"/>
      <c r="D900" s="9"/>
      <c r="E900" s="9"/>
    </row>
    <row r="901" spans="1:5" ht="13">
      <c r="A901" s="9"/>
      <c r="B901" s="9"/>
      <c r="C901" s="9"/>
      <c r="D901" s="9"/>
      <c r="E901" s="9"/>
    </row>
    <row r="902" spans="1:5" ht="13">
      <c r="A902" s="9"/>
      <c r="B902" s="9"/>
      <c r="C902" s="9"/>
      <c r="D902" s="9"/>
      <c r="E902" s="9"/>
    </row>
    <row r="903" spans="1:5" ht="13">
      <c r="A903" s="9"/>
      <c r="B903" s="9"/>
      <c r="C903" s="9"/>
      <c r="D903" s="9"/>
      <c r="E903" s="9"/>
    </row>
    <row r="904" spans="1:5" ht="13">
      <c r="A904" s="9"/>
      <c r="B904" s="9"/>
      <c r="C904" s="9"/>
      <c r="D904" s="9"/>
      <c r="E904" s="9"/>
    </row>
    <row r="905" spans="1:5" ht="13">
      <c r="A905" s="9"/>
      <c r="B905" s="9"/>
      <c r="C905" s="9"/>
      <c r="D905" s="9"/>
      <c r="E905" s="9"/>
    </row>
    <row r="906" spans="1:5" ht="13">
      <c r="A906" s="9"/>
      <c r="B906" s="9"/>
      <c r="C906" s="9"/>
      <c r="D906" s="9"/>
      <c r="E906" s="9"/>
    </row>
    <row r="907" spans="1:5" ht="13">
      <c r="A907" s="9"/>
      <c r="B907" s="9"/>
      <c r="C907" s="9"/>
      <c r="D907" s="9"/>
      <c r="E907" s="9"/>
    </row>
    <row r="908" spans="1:5" ht="13">
      <c r="A908" s="9"/>
      <c r="B908" s="9"/>
      <c r="C908" s="9"/>
      <c r="D908" s="9"/>
      <c r="E908" s="9"/>
    </row>
    <row r="909" spans="1:5" ht="13">
      <c r="A909" s="9"/>
      <c r="B909" s="9"/>
      <c r="C909" s="9"/>
      <c r="D909" s="9"/>
      <c r="E909" s="9"/>
    </row>
    <row r="910" spans="1:5" ht="13">
      <c r="A910" s="9"/>
      <c r="B910" s="9"/>
      <c r="C910" s="9"/>
      <c r="D910" s="9"/>
      <c r="E910" s="9"/>
    </row>
    <row r="911" spans="1:5" ht="13">
      <c r="A911" s="9"/>
      <c r="B911" s="9"/>
      <c r="C911" s="9"/>
      <c r="D911" s="9"/>
      <c r="E911" s="9"/>
    </row>
    <row r="912" spans="1:5" ht="13">
      <c r="A912" s="9"/>
      <c r="B912" s="9"/>
      <c r="C912" s="9"/>
      <c r="D912" s="9"/>
      <c r="E912" s="9"/>
    </row>
    <row r="913" spans="1:5" ht="13">
      <c r="A913" s="9"/>
      <c r="B913" s="9"/>
      <c r="C913" s="9"/>
      <c r="D913" s="9"/>
      <c r="E913" s="9"/>
    </row>
    <row r="914" spans="1:5" ht="13">
      <c r="A914" s="9"/>
      <c r="B914" s="9"/>
      <c r="C914" s="9"/>
      <c r="D914" s="9"/>
      <c r="E914" s="9"/>
    </row>
    <row r="915" spans="1:5" ht="13">
      <c r="A915" s="9"/>
      <c r="B915" s="9"/>
      <c r="C915" s="9"/>
      <c r="D915" s="9"/>
      <c r="E915" s="9"/>
    </row>
    <row r="916" spans="1:5" ht="13">
      <c r="A916" s="9"/>
      <c r="B916" s="9"/>
      <c r="C916" s="9"/>
      <c r="D916" s="9"/>
      <c r="E916" s="9"/>
    </row>
    <row r="917" spans="1:5" ht="13">
      <c r="A917" s="9"/>
      <c r="B917" s="9"/>
      <c r="C917" s="9"/>
      <c r="D917" s="9"/>
      <c r="E917" s="9"/>
    </row>
    <row r="918" spans="1:5" ht="13">
      <c r="A918" s="9"/>
      <c r="B918" s="9"/>
      <c r="C918" s="9"/>
      <c r="D918" s="9"/>
      <c r="E918" s="9"/>
    </row>
    <row r="919" spans="1:5" ht="13">
      <c r="A919" s="9"/>
      <c r="B919" s="9"/>
      <c r="C919" s="9"/>
      <c r="D919" s="9"/>
      <c r="E919" s="9"/>
    </row>
    <row r="920" spans="1:5" ht="13">
      <c r="A920" s="9"/>
      <c r="B920" s="9"/>
      <c r="C920" s="9"/>
      <c r="D920" s="9"/>
      <c r="E920" s="9"/>
    </row>
    <row r="921" spans="1:5" ht="13">
      <c r="A921" s="9"/>
      <c r="B921" s="9"/>
      <c r="C921" s="9"/>
      <c r="D921" s="9"/>
      <c r="E921" s="9"/>
    </row>
    <row r="922" spans="1:5" ht="13">
      <c r="A922" s="9"/>
      <c r="B922" s="9"/>
      <c r="C922" s="9"/>
      <c r="D922" s="9"/>
      <c r="E922" s="9"/>
    </row>
    <row r="923" spans="1:5" ht="13">
      <c r="A923" s="9"/>
      <c r="B923" s="9"/>
      <c r="C923" s="9"/>
      <c r="D923" s="9"/>
      <c r="E923" s="9"/>
    </row>
    <row r="924" spans="1:5" ht="13">
      <c r="A924" s="9"/>
      <c r="B924" s="9"/>
      <c r="C924" s="9"/>
      <c r="D924" s="9"/>
      <c r="E924" s="9"/>
    </row>
    <row r="925" spans="1:5" ht="13">
      <c r="A925" s="9"/>
      <c r="B925" s="9"/>
      <c r="C925" s="9"/>
      <c r="D925" s="9"/>
      <c r="E925" s="9"/>
    </row>
    <row r="926" spans="1:5" ht="13">
      <c r="A926" s="9"/>
      <c r="B926" s="9"/>
      <c r="C926" s="9"/>
      <c r="D926" s="9"/>
      <c r="E926" s="9"/>
    </row>
    <row r="927" spans="1:5" ht="13">
      <c r="A927" s="9"/>
      <c r="B927" s="9"/>
      <c r="C927" s="9"/>
      <c r="D927" s="9"/>
      <c r="E927" s="9"/>
    </row>
    <row r="928" spans="1:5" ht="13">
      <c r="A928" s="9"/>
      <c r="B928" s="9"/>
      <c r="C928" s="9"/>
      <c r="D928" s="9"/>
      <c r="E928" s="9"/>
    </row>
    <row r="929" spans="1:5" ht="13">
      <c r="A929" s="9"/>
      <c r="B929" s="9"/>
      <c r="C929" s="9"/>
      <c r="D929" s="9"/>
      <c r="E929" s="9"/>
    </row>
    <row r="930" spans="1:5" ht="13">
      <c r="A930" s="9"/>
      <c r="B930" s="9"/>
      <c r="C930" s="9"/>
      <c r="D930" s="9"/>
      <c r="E930" s="9"/>
    </row>
    <row r="931" spans="1:5" ht="13">
      <c r="A931" s="9"/>
      <c r="B931" s="9"/>
      <c r="C931" s="9"/>
      <c r="D931" s="9"/>
      <c r="E931" s="9"/>
    </row>
    <row r="932" spans="1:5" ht="13">
      <c r="A932" s="9"/>
      <c r="B932" s="9"/>
      <c r="C932" s="9"/>
      <c r="D932" s="9"/>
      <c r="E932" s="9"/>
    </row>
    <row r="933" spans="1:5" ht="13">
      <c r="A933" s="9"/>
      <c r="B933" s="9"/>
      <c r="C933" s="9"/>
      <c r="D933" s="9"/>
      <c r="E933" s="9"/>
    </row>
    <row r="934" spans="1:5" ht="13">
      <c r="A934" s="9"/>
      <c r="B934" s="9"/>
      <c r="C934" s="9"/>
      <c r="D934" s="9"/>
      <c r="E934" s="9"/>
    </row>
    <row r="935" spans="1:5" ht="13">
      <c r="A935" s="9"/>
      <c r="B935" s="9"/>
      <c r="C935" s="9"/>
      <c r="D935" s="9"/>
      <c r="E935" s="9"/>
    </row>
    <row r="936" spans="1:5" ht="13">
      <c r="A936" s="9"/>
      <c r="B936" s="9"/>
      <c r="C936" s="9"/>
      <c r="D936" s="9"/>
      <c r="E936" s="9"/>
    </row>
    <row r="937" spans="1:5" ht="13">
      <c r="A937" s="9"/>
      <c r="B937" s="9"/>
      <c r="C937" s="9"/>
      <c r="D937" s="9"/>
      <c r="E937" s="9"/>
    </row>
    <row r="938" spans="1:5" ht="13">
      <c r="A938" s="9"/>
      <c r="B938" s="9"/>
      <c r="C938" s="9"/>
      <c r="D938" s="9"/>
      <c r="E938" s="9"/>
    </row>
    <row r="939" spans="1:5" ht="13">
      <c r="A939" s="9"/>
      <c r="B939" s="9"/>
      <c r="C939" s="9"/>
      <c r="D939" s="9"/>
      <c r="E939" s="9"/>
    </row>
    <row r="940" spans="1:5" ht="13">
      <c r="A940" s="9"/>
      <c r="B940" s="9"/>
      <c r="C940" s="9"/>
      <c r="D940" s="9"/>
      <c r="E940" s="9"/>
    </row>
    <row r="941" spans="1:5" ht="13">
      <c r="A941" s="9"/>
      <c r="B941" s="9"/>
      <c r="C941" s="9"/>
      <c r="D941" s="9"/>
      <c r="E941" s="9"/>
    </row>
    <row r="942" spans="1:5" ht="13">
      <c r="A942" s="9"/>
      <c r="B942" s="9"/>
      <c r="C942" s="9"/>
      <c r="D942" s="9"/>
      <c r="E942" s="9"/>
    </row>
    <row r="943" spans="1:5" ht="13">
      <c r="A943" s="9"/>
      <c r="B943" s="9"/>
      <c r="C943" s="9"/>
      <c r="D943" s="9"/>
      <c r="E943" s="9"/>
    </row>
    <row r="944" spans="1:5" ht="13">
      <c r="A944" s="9"/>
      <c r="B944" s="9"/>
      <c r="C944" s="9"/>
      <c r="D944" s="9"/>
      <c r="E944" s="9"/>
    </row>
    <row r="945" spans="1:5" ht="13">
      <c r="A945" s="9"/>
      <c r="B945" s="9"/>
      <c r="C945" s="9"/>
      <c r="D945" s="9"/>
      <c r="E945" s="9"/>
    </row>
    <row r="946" spans="1:5" ht="13">
      <c r="A946" s="9"/>
      <c r="B946" s="9"/>
      <c r="C946" s="9"/>
      <c r="D946" s="9"/>
      <c r="E946" s="9"/>
    </row>
    <row r="947" spans="1:5" ht="13">
      <c r="A947" s="9"/>
      <c r="B947" s="9"/>
      <c r="C947" s="9"/>
      <c r="D947" s="9"/>
      <c r="E947" s="9"/>
    </row>
    <row r="948" spans="1:5" ht="13">
      <c r="A948" s="9"/>
      <c r="B948" s="9"/>
      <c r="C948" s="9"/>
      <c r="D948" s="9"/>
      <c r="E948" s="9"/>
    </row>
    <row r="949" spans="1:5" ht="13">
      <c r="A949" s="9"/>
      <c r="B949" s="9"/>
      <c r="C949" s="9"/>
      <c r="D949" s="9"/>
      <c r="E949" s="9"/>
    </row>
    <row r="950" spans="1:5" ht="13">
      <c r="A950" s="9"/>
      <c r="B950" s="9"/>
      <c r="C950" s="9"/>
      <c r="D950" s="9"/>
      <c r="E950" s="9"/>
    </row>
    <row r="951" spans="1:5" ht="13">
      <c r="A951" s="9"/>
      <c r="B951" s="9"/>
      <c r="C951" s="9"/>
      <c r="D951" s="9"/>
      <c r="E951" s="9"/>
    </row>
    <row r="952" spans="1:5" ht="13">
      <c r="A952" s="9"/>
      <c r="B952" s="9"/>
      <c r="C952" s="9"/>
      <c r="D952" s="9"/>
      <c r="E952" s="9"/>
    </row>
    <row r="953" spans="1:5" ht="13">
      <c r="A953" s="9"/>
      <c r="B953" s="9"/>
      <c r="C953" s="9"/>
      <c r="D953" s="9"/>
      <c r="E953" s="9"/>
    </row>
    <row r="954" spans="1:5" ht="13">
      <c r="A954" s="9"/>
      <c r="B954" s="9"/>
      <c r="C954" s="9"/>
      <c r="D954" s="9"/>
      <c r="E954" s="9"/>
    </row>
    <row r="955" spans="1:5" ht="13">
      <c r="A955" s="9"/>
      <c r="B955" s="9"/>
      <c r="C955" s="9"/>
      <c r="D955" s="9"/>
      <c r="E955" s="9"/>
    </row>
    <row r="956" spans="1:5" ht="13">
      <c r="A956" s="9"/>
      <c r="B956" s="9"/>
      <c r="C956" s="9"/>
      <c r="D956" s="9"/>
      <c r="E956" s="9"/>
    </row>
    <row r="957" spans="1:5" ht="13">
      <c r="A957" s="9"/>
      <c r="B957" s="9"/>
      <c r="C957" s="9"/>
      <c r="D957" s="9"/>
      <c r="E957" s="9"/>
    </row>
    <row r="958" spans="1:5" ht="13">
      <c r="A958" s="9"/>
      <c r="B958" s="9"/>
      <c r="C958" s="9"/>
      <c r="D958" s="9"/>
      <c r="E958" s="9"/>
    </row>
    <row r="959" spans="1:5" ht="13">
      <c r="A959" s="9"/>
      <c r="B959" s="9"/>
      <c r="C959" s="9"/>
      <c r="D959" s="9"/>
      <c r="E959" s="9"/>
    </row>
    <row r="960" spans="1:5" ht="13">
      <c r="A960" s="9"/>
      <c r="B960" s="9"/>
      <c r="C960" s="9"/>
      <c r="D960" s="9"/>
      <c r="E960" s="9"/>
    </row>
    <row r="961" spans="1:5" ht="13">
      <c r="A961" s="9"/>
      <c r="B961" s="9"/>
      <c r="C961" s="9"/>
      <c r="D961" s="9"/>
      <c r="E961" s="9"/>
    </row>
    <row r="962" spans="1:5" ht="13">
      <c r="A962" s="9"/>
      <c r="B962" s="9"/>
      <c r="C962" s="9"/>
      <c r="D962" s="9"/>
      <c r="E962" s="9"/>
    </row>
    <row r="963" spans="1:5" ht="13">
      <c r="A963" s="9"/>
      <c r="B963" s="9"/>
      <c r="C963" s="9"/>
      <c r="D963" s="9"/>
      <c r="E963" s="9"/>
    </row>
    <row r="964" spans="1:5" ht="13">
      <c r="A964" s="9"/>
      <c r="B964" s="9"/>
      <c r="C964" s="9"/>
      <c r="D964" s="9"/>
      <c r="E964" s="9"/>
    </row>
    <row r="965" spans="1:5" ht="13">
      <c r="A965" s="9"/>
      <c r="B965" s="9"/>
      <c r="C965" s="9"/>
      <c r="D965" s="9"/>
      <c r="E965" s="9"/>
    </row>
    <row r="966" spans="1:5" ht="13">
      <c r="A966" s="9"/>
      <c r="B966" s="9"/>
      <c r="C966" s="9"/>
      <c r="D966" s="9"/>
      <c r="E966" s="9"/>
    </row>
    <row r="967" spans="1:5" ht="13">
      <c r="A967" s="9"/>
      <c r="B967" s="9"/>
      <c r="C967" s="9"/>
      <c r="D967" s="9"/>
      <c r="E967" s="9"/>
    </row>
    <row r="968" spans="1:5" ht="13">
      <c r="A968" s="9"/>
      <c r="B968" s="9"/>
      <c r="C968" s="9"/>
      <c r="D968" s="9"/>
      <c r="E968" s="9"/>
    </row>
    <row r="969" spans="1:5" ht="13">
      <c r="A969" s="9"/>
      <c r="B969" s="9"/>
      <c r="C969" s="9"/>
      <c r="D969" s="9"/>
      <c r="E969" s="9"/>
    </row>
    <row r="970" spans="1:5" ht="13">
      <c r="A970" s="9"/>
      <c r="B970" s="9"/>
      <c r="C970" s="9"/>
      <c r="D970" s="9"/>
      <c r="E970" s="9"/>
    </row>
    <row r="971" spans="1:5" ht="13">
      <c r="A971" s="9"/>
      <c r="B971" s="9"/>
      <c r="C971" s="9"/>
      <c r="D971" s="9"/>
      <c r="E971" s="9"/>
    </row>
    <row r="972" spans="1:5" ht="13">
      <c r="A972" s="9"/>
      <c r="B972" s="9"/>
      <c r="C972" s="9"/>
      <c r="D972" s="9"/>
      <c r="E972" s="9"/>
    </row>
    <row r="973" spans="1:5" ht="13">
      <c r="A973" s="9"/>
      <c r="B973" s="9"/>
      <c r="C973" s="9"/>
      <c r="D973" s="9"/>
      <c r="E973" s="9"/>
    </row>
    <row r="974" spans="1:5" ht="13">
      <c r="A974" s="9"/>
      <c r="B974" s="9"/>
      <c r="C974" s="9"/>
      <c r="D974" s="9"/>
      <c r="E974" s="9"/>
    </row>
    <row r="975" spans="1:5" ht="13">
      <c r="A975" s="9"/>
      <c r="B975" s="9"/>
      <c r="C975" s="9"/>
      <c r="D975" s="9"/>
      <c r="E975" s="9"/>
    </row>
    <row r="976" spans="1:5" ht="13">
      <c r="A976" s="9"/>
      <c r="B976" s="9"/>
      <c r="C976" s="9"/>
      <c r="D976" s="9"/>
      <c r="E976" s="9"/>
    </row>
    <row r="977" spans="1:5" ht="13">
      <c r="A977" s="9"/>
      <c r="B977" s="9"/>
      <c r="C977" s="9"/>
      <c r="D977" s="9"/>
      <c r="E977" s="9"/>
    </row>
    <row r="978" spans="1:5" ht="13">
      <c r="A978" s="9"/>
      <c r="B978" s="9"/>
      <c r="C978" s="9"/>
      <c r="D978" s="9"/>
      <c r="E978" s="9"/>
    </row>
    <row r="979" spans="1:5" ht="13">
      <c r="A979" s="9"/>
      <c r="B979" s="9"/>
      <c r="C979" s="9"/>
      <c r="D979" s="9"/>
      <c r="E979" s="9"/>
    </row>
    <row r="980" spans="1:5" ht="13">
      <c r="A980" s="9"/>
      <c r="B980" s="9"/>
      <c r="C980" s="9"/>
      <c r="D980" s="9"/>
      <c r="E980" s="9"/>
    </row>
    <row r="981" spans="1:5" ht="13">
      <c r="A981" s="9"/>
      <c r="B981" s="9"/>
      <c r="C981" s="9"/>
      <c r="D981" s="9"/>
      <c r="E981" s="9"/>
    </row>
    <row r="982" spans="1:5" ht="13">
      <c r="A982" s="9"/>
      <c r="B982" s="9"/>
      <c r="C982" s="9"/>
      <c r="D982" s="9"/>
      <c r="E982" s="9"/>
    </row>
    <row r="983" spans="1:5" ht="13">
      <c r="A983" s="9"/>
      <c r="B983" s="9"/>
      <c r="C983" s="9"/>
      <c r="D983" s="9"/>
      <c r="E983" s="9"/>
    </row>
    <row r="984" spans="1:5" ht="13">
      <c r="A984" s="9"/>
      <c r="B984" s="9"/>
      <c r="C984" s="9"/>
      <c r="D984" s="9"/>
      <c r="E984" s="9"/>
    </row>
    <row r="985" spans="1:5" ht="13">
      <c r="A985" s="9"/>
      <c r="B985" s="9"/>
      <c r="C985" s="9"/>
      <c r="D985" s="9"/>
      <c r="E985" s="9"/>
    </row>
    <row r="986" spans="1:5" ht="13">
      <c r="A986" s="9"/>
      <c r="B986" s="9"/>
      <c r="C986" s="9"/>
      <c r="D986" s="9"/>
      <c r="E986" s="9"/>
    </row>
    <row r="987" spans="1:5" ht="13">
      <c r="A987" s="9"/>
      <c r="B987" s="9"/>
      <c r="C987" s="9"/>
      <c r="D987" s="9"/>
      <c r="E987" s="9"/>
    </row>
    <row r="988" spans="1:5" ht="13">
      <c r="A988" s="9"/>
      <c r="B988" s="9"/>
      <c r="C988" s="9"/>
      <c r="D988" s="9"/>
      <c r="E988" s="9"/>
    </row>
    <row r="989" spans="1:5" ht="13">
      <c r="A989" s="9"/>
      <c r="B989" s="9"/>
      <c r="C989" s="9"/>
      <c r="D989" s="9"/>
      <c r="E989" s="9"/>
    </row>
    <row r="990" spans="1:5" ht="13">
      <c r="A990" s="9"/>
      <c r="B990" s="9"/>
      <c r="C990" s="9"/>
      <c r="D990" s="9"/>
      <c r="E990" s="9"/>
    </row>
    <row r="991" spans="1:5" ht="13">
      <c r="A991" s="9"/>
      <c r="B991" s="9"/>
      <c r="C991" s="9"/>
      <c r="D991" s="9"/>
      <c r="E991" s="9"/>
    </row>
    <row r="992" spans="1:5" ht="13">
      <c r="A992" s="9"/>
      <c r="B992" s="9"/>
      <c r="C992" s="9"/>
      <c r="D992" s="9"/>
      <c r="E992" s="9"/>
    </row>
    <row r="993" spans="1:5" ht="13">
      <c r="A993" s="9"/>
      <c r="B993" s="9"/>
      <c r="C993" s="9"/>
      <c r="D993" s="9"/>
      <c r="E993" s="9"/>
    </row>
    <row r="994" spans="1:5" ht="13">
      <c r="A994" s="22"/>
      <c r="B994" s="22"/>
      <c r="C994" s="22"/>
      <c r="D994" s="22"/>
      <c r="E994" s="22"/>
    </row>
    <row r="995" spans="1:5" ht="13">
      <c r="A995" s="22"/>
      <c r="B995" s="22"/>
      <c r="C995" s="22"/>
      <c r="D995" s="22"/>
      <c r="E995" s="22"/>
    </row>
    <row r="996" spans="1:5" ht="13">
      <c r="A996" s="22"/>
      <c r="B996" s="22"/>
      <c r="C996" s="22"/>
      <c r="D996" s="22"/>
      <c r="E996" s="22"/>
    </row>
    <row r="997" spans="1:5" ht="13">
      <c r="A997" s="22"/>
      <c r="B997" s="22"/>
      <c r="C997" s="22"/>
      <c r="D997" s="22"/>
      <c r="E997" s="22"/>
    </row>
    <row r="998" spans="1:5" ht="13">
      <c r="A998" s="22"/>
      <c r="B998" s="22"/>
      <c r="C998" s="22"/>
      <c r="D998" s="22"/>
      <c r="E998" s="22"/>
    </row>
    <row r="999" spans="1:5" ht="13">
      <c r="A999" s="22"/>
      <c r="B999" s="22"/>
      <c r="C999" s="22"/>
      <c r="D999" s="22"/>
      <c r="E999" s="22"/>
    </row>
    <row r="1000" spans="1:5" ht="13">
      <c r="A1000" s="22"/>
      <c r="B1000" s="22"/>
      <c r="C1000" s="22"/>
      <c r="D1000" s="22"/>
      <c r="E1000" s="22"/>
    </row>
    <row r="1001" spans="1:5" ht="13">
      <c r="A1001" s="22"/>
      <c r="B1001" s="22"/>
      <c r="C1001" s="22"/>
      <c r="D1001" s="22"/>
      <c r="E1001" s="22"/>
    </row>
    <row r="1002" spans="1:5" ht="13">
      <c r="A1002" s="22"/>
      <c r="B1002" s="22"/>
      <c r="C1002" s="22"/>
      <c r="D1002" s="22"/>
      <c r="E1002" s="22"/>
    </row>
    <row r="1003" spans="1:5" ht="13">
      <c r="A1003" s="22"/>
      <c r="B1003" s="22"/>
      <c r="C1003" s="22"/>
      <c r="D1003" s="22"/>
      <c r="E1003" s="22"/>
    </row>
    <row r="1004" spans="1:5" ht="13">
      <c r="A1004" s="22"/>
      <c r="B1004" s="22"/>
      <c r="C1004" s="22"/>
      <c r="D1004" s="22"/>
      <c r="E1004" s="22"/>
    </row>
    <row r="1005" spans="1:5" ht="13">
      <c r="A1005" s="22"/>
      <c r="B1005" s="22"/>
      <c r="C1005" s="22"/>
      <c r="D1005" s="22"/>
      <c r="E1005" s="22"/>
    </row>
    <row r="1006" spans="1:5" ht="13">
      <c r="A1006" s="22"/>
      <c r="B1006" s="22"/>
      <c r="C1006" s="22"/>
      <c r="D1006" s="22"/>
      <c r="E1006" s="22"/>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📢Brief</vt:lpstr>
      <vt:lpstr>Data Cleaning</vt:lpstr>
      <vt:lpstr>Pivot Table</vt:lpstr>
      <vt:lpstr>Dashboard</vt:lpstr>
      <vt:lpstr>Insight, Summary &amp; Strategy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Alfian Afriansyah</cp:lastModifiedBy>
  <dcterms:created xsi:type="dcterms:W3CDTF">2026-04-19T05:37:14Z</dcterms:created>
  <dcterms:modified xsi:type="dcterms:W3CDTF">2026-04-23T04:11:03Z</dcterms:modified>
</cp:coreProperties>
</file>